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001 HPA Data\"/>
    </mc:Choice>
  </mc:AlternateContent>
  <xr:revisionPtr revIDLastSave="0" documentId="13_ncr:1_{81BA1B03-9634-4D53-BF6A-75354DF9398A}" xr6:coauthVersionLast="47" xr6:coauthVersionMax="47" xr10:uidLastSave="{00000000-0000-0000-0000-000000000000}"/>
  <bookViews>
    <workbookView xWindow="-120" yWindow="-120" windowWidth="29040" windowHeight="15720" tabRatio="765" firstSheet="1" activeTab="2" xr2:uid="{00000000-000D-0000-FFFF-FFFF00000000}"/>
  </bookViews>
  <sheets>
    <sheet name="Calcutta (2)" sheetId="20" state="hidden" r:id="rId1"/>
    <sheet name="Instructions" sheetId="9" r:id="rId2"/>
    <sheet name="Control Page" sheetId="7" r:id="rId3"/>
    <sheet name="Calcutta" sheetId="11" r:id="rId4"/>
    <sheet name="Most Improved" sheetId="19" r:id="rId5"/>
    <sheet name="Ticket" sheetId="6" r:id="rId6"/>
    <sheet name="Stats" sheetId="12" r:id="rId7"/>
    <sheet name="2022" sheetId="22" r:id="rId8"/>
    <sheet name="2021" sheetId="21" r:id="rId9"/>
    <sheet name="2020" sheetId="16" r:id="rId10"/>
    <sheet name="Template" sheetId="14" state="hidden" r:id="rId11"/>
    <sheet name="2019" sheetId="15" r:id="rId12"/>
    <sheet name="2018" sheetId="13" r:id="rId13"/>
    <sheet name="2017" sheetId="8" r:id="rId14"/>
    <sheet name="2016" sheetId="1" r:id="rId15"/>
    <sheet name="Images" sheetId="17" r:id="rId16"/>
    <sheet name="Sheet4" sheetId="3" r:id="rId17"/>
    <sheet name="Backup" sheetId="10" r:id="rId18"/>
  </sheets>
  <definedNames>
    <definedName name="_xlnm._FilterDatabase" localSheetId="14" hidden="1">'2016'!$B$1:$B$66</definedName>
    <definedName name="_xlnm.Print_Area" localSheetId="13">'2017'!$A$1:$N$77</definedName>
    <definedName name="_xlnm.Print_Area" localSheetId="12">'2018'!$A$1:$N$77</definedName>
    <definedName name="_xlnm.Print_Area" localSheetId="11">'2019'!$A$1:$N$77</definedName>
    <definedName name="_xlnm.Print_Area" localSheetId="9">'2020'!$A$1:$N$77</definedName>
    <definedName name="_xlnm.Print_Area" localSheetId="8">'2021'!$A$1:$N$77</definedName>
    <definedName name="_xlnm.Print_Area" localSheetId="7">'2022'!$A$1:$N$77</definedName>
    <definedName name="_xlnm.Print_Area" localSheetId="3">Calcutta!$A$1:$M$27</definedName>
    <definedName name="_xlnm.Print_Area" localSheetId="0">'Calcutta (2)'!$A$1:$K$27</definedName>
    <definedName name="_xlnm.Print_Area" localSheetId="2">'Control Page'!$C$2:$Q$77</definedName>
    <definedName name="_xlnm.Print_Area" localSheetId="10">Template!$A$1:$N$77</definedName>
    <definedName name="_xlnm.Print_Area" localSheetId="5">Ticket!$A$1:$H$54</definedName>
    <definedName name="_xlnm.Print_Titles" localSheetId="14">'2016'!$1:$1</definedName>
    <definedName name="_xlnm.Print_Titles" localSheetId="2">'Control Page'!$2:$2</definedName>
    <definedName name="_xlnm.Print_Titles" localSheetId="16">Sheet4!$3:$3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19" l="1"/>
  <c r="R57" i="19"/>
  <c r="R65" i="19"/>
  <c r="R24" i="19"/>
  <c r="R70" i="19"/>
  <c r="R53" i="19"/>
  <c r="R34" i="19"/>
  <c r="R52" i="19"/>
  <c r="R74" i="19"/>
  <c r="R67" i="19"/>
  <c r="R45" i="19"/>
  <c r="R60" i="19"/>
  <c r="R3" i="19"/>
  <c r="R49" i="19"/>
  <c r="R71" i="19"/>
  <c r="R27" i="19"/>
  <c r="R59" i="19"/>
  <c r="R76" i="19"/>
  <c r="R55" i="19"/>
  <c r="R41" i="19"/>
  <c r="R28" i="19"/>
  <c r="R72" i="19"/>
  <c r="R64" i="19"/>
  <c r="R43" i="19"/>
  <c r="R30" i="19"/>
  <c r="R68" i="19"/>
  <c r="R39" i="19"/>
  <c r="R75" i="19"/>
  <c r="R46" i="19"/>
  <c r="R35" i="19"/>
  <c r="R42" i="19"/>
  <c r="R5" i="19"/>
  <c r="R44" i="19"/>
  <c r="R62" i="19"/>
  <c r="R26" i="19"/>
  <c r="R61" i="19"/>
  <c r="R6" i="19"/>
  <c r="R29" i="19"/>
  <c r="R73" i="19"/>
  <c r="R37" i="19"/>
  <c r="R31" i="19"/>
  <c r="R16" i="19"/>
  <c r="R20" i="19"/>
  <c r="R63" i="19"/>
  <c r="R51" i="19"/>
  <c r="R58" i="19"/>
  <c r="R32" i="19"/>
  <c r="R7" i="19"/>
  <c r="R50" i="19"/>
  <c r="R13" i="19"/>
  <c r="R66" i="19"/>
  <c r="R56" i="19"/>
  <c r="R22" i="19"/>
  <c r="R2" i="19"/>
  <c r="R54" i="19"/>
  <c r="R40" i="19"/>
  <c r="R17" i="19"/>
  <c r="R4" i="19"/>
  <c r="R38" i="19"/>
  <c r="R25" i="19"/>
  <c r="R8" i="19"/>
  <c r="R21" i="19"/>
  <c r="R69" i="19"/>
  <c r="R10" i="19"/>
  <c r="R47" i="19"/>
  <c r="R15" i="19"/>
  <c r="R11" i="19"/>
  <c r="R9" i="19"/>
  <c r="R18" i="19"/>
  <c r="R19" i="19"/>
  <c r="R14" i="19"/>
  <c r="R23" i="19"/>
  <c r="R33" i="19"/>
  <c r="R12" i="19"/>
  <c r="R48" i="19"/>
  <c r="E35" i="12"/>
  <c r="AE3" i="12"/>
  <c r="AG2" i="12"/>
  <c r="AG9" i="12"/>
  <c r="E48" i="12"/>
  <c r="E46" i="12"/>
  <c r="K38" i="12"/>
  <c r="E42" i="12"/>
  <c r="E43" i="12"/>
  <c r="H33" i="12"/>
  <c r="H42" i="12"/>
  <c r="B34" i="12"/>
  <c r="AD5" i="12"/>
  <c r="E45" i="12"/>
  <c r="AE9" i="12"/>
  <c r="K46" i="12"/>
  <c r="E37" i="12"/>
  <c r="AG4" i="12"/>
  <c r="AF7" i="12"/>
  <c r="K45" i="12"/>
  <c r="B47" i="12"/>
  <c r="AG7" i="12"/>
  <c r="AD3" i="12"/>
  <c r="K42" i="12"/>
  <c r="E33" i="12"/>
  <c r="B36" i="12"/>
  <c r="K47" i="12"/>
  <c r="K32" i="12"/>
  <c r="B32" i="12"/>
  <c r="B42" i="12"/>
  <c r="AG8" i="12"/>
  <c r="H45" i="12"/>
  <c r="AD8" i="12"/>
  <c r="AF9" i="12"/>
  <c r="H35" i="12"/>
  <c r="AG6" i="12"/>
  <c r="H32" i="12"/>
  <c r="AF4" i="12"/>
  <c r="K48" i="12"/>
  <c r="K43" i="12"/>
  <c r="B45" i="12"/>
  <c r="B46" i="12"/>
  <c r="AF5" i="12"/>
  <c r="H36" i="12"/>
  <c r="AE7" i="12"/>
  <c r="H34" i="12"/>
  <c r="AF2" i="12"/>
  <c r="AE4" i="12"/>
  <c r="AF6" i="12"/>
  <c r="B37" i="12"/>
  <c r="AE8" i="12"/>
  <c r="E36" i="12"/>
  <c r="AE2" i="12"/>
  <c r="K33" i="12"/>
  <c r="AG3" i="12"/>
  <c r="B48" i="12"/>
  <c r="H48" i="12"/>
  <c r="K35" i="12"/>
  <c r="AF3" i="12"/>
  <c r="AD9" i="12"/>
  <c r="B44" i="12"/>
  <c r="B43" i="12"/>
  <c r="AG5" i="12"/>
  <c r="AD6" i="12"/>
  <c r="AD4" i="12"/>
  <c r="E47" i="12"/>
  <c r="AD7" i="12"/>
  <c r="E38" i="12"/>
  <c r="AE5" i="12"/>
  <c r="H46" i="12"/>
  <c r="H37" i="12"/>
  <c r="B35" i="12"/>
  <c r="E34" i="12"/>
  <c r="B38" i="12"/>
  <c r="AD2" i="12"/>
  <c r="H38" i="12"/>
  <c r="K37" i="12"/>
  <c r="AF8" i="12"/>
  <c r="E32" i="12"/>
  <c r="B33" i="12"/>
  <c r="H43" i="12"/>
  <c r="E44" i="12"/>
  <c r="H44" i="12"/>
  <c r="K44" i="12"/>
  <c r="AE6" i="12"/>
  <c r="K34" i="12"/>
  <c r="H47" i="12"/>
  <c r="K36" i="12"/>
  <c r="R1" i="20" l="1"/>
  <c r="G3" i="20"/>
  <c r="G7" i="20"/>
  <c r="G21" i="20"/>
  <c r="G19" i="20"/>
  <c r="G27" i="20"/>
  <c r="G5" i="20"/>
  <c r="G11" i="20"/>
  <c r="G17" i="20"/>
  <c r="L27" i="8" l="1"/>
  <c r="G27" i="8"/>
  <c r="L10" i="8"/>
  <c r="G10" i="8"/>
  <c r="L21" i="8"/>
  <c r="G21" i="8"/>
  <c r="L20" i="8"/>
  <c r="G20" i="8"/>
  <c r="L44" i="8"/>
  <c r="G44" i="8"/>
  <c r="L18" i="8"/>
  <c r="G18" i="8"/>
  <c r="L22" i="8"/>
  <c r="G22" i="8"/>
  <c r="L49" i="8"/>
  <c r="G49" i="8"/>
  <c r="L61" i="8"/>
  <c r="G61" i="8"/>
  <c r="L43" i="8"/>
  <c r="G43" i="8"/>
  <c r="L8" i="8"/>
  <c r="G8" i="8"/>
  <c r="L50" i="8"/>
  <c r="G50" i="8"/>
  <c r="L11" i="8"/>
  <c r="G11" i="8"/>
  <c r="L24" i="8"/>
  <c r="G24" i="8"/>
  <c r="L62" i="8"/>
  <c r="G62" i="8"/>
  <c r="L29" i="8"/>
  <c r="G29" i="8"/>
  <c r="L36" i="8"/>
  <c r="G36" i="8"/>
  <c r="L47" i="8"/>
  <c r="G47" i="8"/>
  <c r="L58" i="8"/>
  <c r="G58" i="8"/>
  <c r="L25" i="8"/>
  <c r="G25" i="8"/>
  <c r="L26" i="8"/>
  <c r="G26" i="8"/>
  <c r="L38" i="8"/>
  <c r="G38" i="8"/>
  <c r="L57" i="8"/>
  <c r="G57" i="8"/>
  <c r="L16" i="8"/>
  <c r="G16" i="8"/>
  <c r="L51" i="8"/>
  <c r="G51" i="8"/>
  <c r="L67" i="8"/>
  <c r="G67" i="8"/>
  <c r="L4" i="8"/>
  <c r="G4" i="8"/>
  <c r="L45" i="8"/>
  <c r="G45" i="8"/>
  <c r="L39" i="8"/>
  <c r="G39" i="8"/>
  <c r="L37" i="8"/>
  <c r="G37" i="8"/>
  <c r="L53" i="8"/>
  <c r="G53" i="8"/>
  <c r="L41" i="8"/>
  <c r="G41" i="8"/>
  <c r="L55" i="8"/>
  <c r="G55" i="8"/>
  <c r="L9" i="8"/>
  <c r="G9" i="8"/>
  <c r="L23" i="8"/>
  <c r="G23" i="8"/>
  <c r="L34" i="8"/>
  <c r="G34" i="8"/>
  <c r="L54" i="8"/>
  <c r="G54" i="8"/>
  <c r="L65" i="8"/>
  <c r="G65" i="8"/>
  <c r="L19" i="8"/>
  <c r="G19" i="8"/>
  <c r="L48" i="8"/>
  <c r="G48" i="8"/>
  <c r="L31" i="8"/>
  <c r="G31" i="8"/>
  <c r="L63" i="8"/>
  <c r="G63" i="8"/>
  <c r="L60" i="8"/>
  <c r="G60" i="8"/>
  <c r="L14" i="8"/>
  <c r="G14" i="8"/>
  <c r="L30" i="8"/>
  <c r="G30" i="8"/>
  <c r="L40" i="8"/>
  <c r="G40" i="8"/>
  <c r="L5" i="8"/>
  <c r="G5" i="8"/>
  <c r="L32" i="8"/>
  <c r="G32" i="8"/>
  <c r="L2" i="8"/>
  <c r="G2" i="8"/>
  <c r="L46" i="8"/>
  <c r="G46" i="8"/>
  <c r="L66" i="8"/>
  <c r="G66" i="8"/>
  <c r="L3" i="8"/>
  <c r="G3" i="8"/>
  <c r="L13" i="8"/>
  <c r="G13" i="8"/>
  <c r="L64" i="8"/>
  <c r="G64" i="8"/>
  <c r="L52" i="8"/>
  <c r="G52" i="8"/>
  <c r="L59" i="8"/>
  <c r="G59" i="8"/>
  <c r="L17" i="8"/>
  <c r="G17" i="8"/>
  <c r="L56" i="8"/>
  <c r="G56" i="8"/>
  <c r="L12" i="8"/>
  <c r="G12" i="8"/>
  <c r="L33" i="8"/>
  <c r="G33" i="8"/>
  <c r="L28" i="8"/>
  <c r="G28" i="8"/>
  <c r="L15" i="8"/>
  <c r="G15" i="8"/>
  <c r="L42" i="8"/>
  <c r="G42" i="8"/>
  <c r="L6" i="8"/>
  <c r="G6" i="8"/>
  <c r="L35" i="8"/>
  <c r="G35" i="8"/>
  <c r="L7" i="8"/>
  <c r="G7" i="8"/>
  <c r="E18" i="20"/>
  <c r="F22" i="20"/>
  <c r="E15" i="20"/>
  <c r="F5" i="20"/>
  <c r="E21" i="20"/>
  <c r="G26" i="20"/>
  <c r="G15" i="20"/>
  <c r="F26" i="20"/>
  <c r="G18" i="20"/>
  <c r="F16" i="20"/>
  <c r="F17" i="20"/>
  <c r="F20" i="20"/>
  <c r="G20" i="20"/>
  <c r="F25" i="20"/>
  <c r="E5" i="20"/>
  <c r="F24" i="20"/>
  <c r="E24" i="20"/>
  <c r="E17" i="20"/>
  <c r="E20" i="20"/>
  <c r="F2" i="20"/>
  <c r="F6" i="20"/>
  <c r="E12" i="20"/>
  <c r="F8" i="20"/>
  <c r="G4" i="20"/>
  <c r="G16" i="20"/>
  <c r="E16" i="20"/>
  <c r="F19" i="20"/>
  <c r="F18" i="20"/>
  <c r="F13" i="20"/>
  <c r="E7" i="20"/>
  <c r="F7" i="20"/>
  <c r="F21" i="20"/>
  <c r="E3" i="20"/>
  <c r="G13" i="20"/>
  <c r="G2" i="20"/>
  <c r="G9" i="20"/>
  <c r="E23" i="20"/>
  <c r="F9" i="20"/>
  <c r="E8" i="20"/>
  <c r="F3" i="20"/>
  <c r="G22" i="20"/>
  <c r="E4" i="20"/>
  <c r="E10" i="20"/>
  <c r="G10" i="20"/>
  <c r="E9" i="20"/>
  <c r="F15" i="20"/>
  <c r="E26" i="20"/>
  <c r="E2" i="20"/>
  <c r="E25" i="20"/>
  <c r="E11" i="20"/>
  <c r="E22" i="20"/>
  <c r="F12" i="20"/>
  <c r="F4" i="20"/>
  <c r="F27" i="20"/>
  <c r="F14" i="20"/>
  <c r="G6" i="20"/>
  <c r="G8" i="20"/>
  <c r="F11" i="20"/>
  <c r="E14" i="20"/>
  <c r="E6" i="20"/>
  <c r="E27" i="20"/>
  <c r="E19" i="20"/>
  <c r="E13" i="20"/>
  <c r="G25" i="20"/>
  <c r="G23" i="20"/>
  <c r="F10" i="20"/>
  <c r="G24" i="20"/>
  <c r="G14" i="20"/>
  <c r="G12" i="20"/>
  <c r="F23" i="20"/>
  <c r="I22" i="20" l="1"/>
  <c r="I4" i="20"/>
  <c r="I15" i="20"/>
  <c r="I18" i="20"/>
  <c r="I2" i="20"/>
  <c r="I6" i="20"/>
  <c r="I17" i="20"/>
  <c r="I20" i="20"/>
  <c r="I13" i="20"/>
  <c r="I16" i="20"/>
  <c r="I27" i="20"/>
  <c r="I11" i="20"/>
  <c r="I14" i="20"/>
  <c r="I19" i="20"/>
  <c r="I3" i="20"/>
  <c r="I25" i="20"/>
  <c r="I23" i="20"/>
  <c r="I7" i="20"/>
  <c r="I26" i="20"/>
  <c r="I10" i="20"/>
  <c r="I9" i="20"/>
  <c r="I12" i="20"/>
  <c r="I21" i="20"/>
  <c r="I5" i="20"/>
  <c r="I24" i="20"/>
  <c r="I8" i="20"/>
  <c r="M6" i="8"/>
  <c r="M33" i="8"/>
  <c r="M59" i="8"/>
  <c r="M3" i="8"/>
  <c r="M56" i="8"/>
  <c r="M64" i="8"/>
  <c r="M46" i="8"/>
  <c r="M40" i="8"/>
  <c r="M63" i="8"/>
  <c r="M65" i="8"/>
  <c r="M9" i="8"/>
  <c r="M37" i="8"/>
  <c r="M67" i="8"/>
  <c r="M38" i="8"/>
  <c r="M47" i="8"/>
  <c r="M24" i="8"/>
  <c r="M43" i="8"/>
  <c r="M18" i="8"/>
  <c r="M10" i="8"/>
  <c r="M17" i="8"/>
  <c r="M13" i="8"/>
  <c r="M2" i="8"/>
  <c r="M30" i="8"/>
  <c r="M31" i="8"/>
  <c r="M54" i="8"/>
  <c r="M55" i="8"/>
  <c r="M39" i="8"/>
  <c r="M51" i="8"/>
  <c r="M26" i="8"/>
  <c r="M36" i="8"/>
  <c r="M11" i="8"/>
  <c r="M61" i="8"/>
  <c r="M44" i="8"/>
  <c r="M27" i="8"/>
  <c r="M28" i="8"/>
  <c r="M32" i="8"/>
  <c r="M14" i="8"/>
  <c r="M48" i="8"/>
  <c r="M34" i="8"/>
  <c r="M41" i="8"/>
  <c r="M45" i="8"/>
  <c r="M25" i="8"/>
  <c r="M29" i="8"/>
  <c r="M50" i="8"/>
  <c r="M49" i="8"/>
  <c r="M20" i="8"/>
  <c r="M12" i="8"/>
  <c r="M5" i="8"/>
  <c r="M23" i="8"/>
  <c r="M62" i="8"/>
  <c r="M22" i="8"/>
  <c r="M66" i="8"/>
  <c r="M19" i="8"/>
  <c r="M4" i="8"/>
  <c r="M57" i="8"/>
  <c r="M8" i="8"/>
  <c r="M16" i="8"/>
  <c r="M52" i="8"/>
  <c r="M60" i="8"/>
  <c r="M53" i="8"/>
  <c r="M58" i="8"/>
  <c r="M21" i="8"/>
  <c r="M42" i="8"/>
  <c r="M7" i="8"/>
  <c r="M15" i="8"/>
  <c r="M35" i="8"/>
  <c r="T1" i="11"/>
  <c r="Q3" i="11"/>
  <c r="Q2" i="11"/>
  <c r="G2" i="1" l="1"/>
  <c r="L2" i="1"/>
  <c r="G3" i="1"/>
  <c r="L3" i="1"/>
  <c r="G4" i="1"/>
  <c r="L4" i="1"/>
  <c r="G5" i="1"/>
  <c r="L5" i="1"/>
  <c r="G6" i="1"/>
  <c r="L6" i="1"/>
  <c r="G7" i="1"/>
  <c r="L7" i="1"/>
  <c r="G8" i="1"/>
  <c r="L8" i="1"/>
  <c r="G9" i="1"/>
  <c r="L9" i="1"/>
  <c r="G10" i="1"/>
  <c r="L10" i="1"/>
  <c r="G11" i="1"/>
  <c r="L11" i="1"/>
  <c r="G12" i="1"/>
  <c r="L12" i="1"/>
  <c r="G13" i="1"/>
  <c r="L13" i="1"/>
  <c r="G14" i="1"/>
  <c r="L14" i="1"/>
  <c r="G15" i="1"/>
  <c r="L15" i="1"/>
  <c r="G16" i="1"/>
  <c r="L16" i="1"/>
  <c r="G17" i="1"/>
  <c r="L17" i="1"/>
  <c r="G18" i="1"/>
  <c r="L18" i="1"/>
  <c r="G19" i="1"/>
  <c r="L19" i="1"/>
  <c r="G20" i="1"/>
  <c r="L20" i="1"/>
  <c r="G21" i="1"/>
  <c r="L21" i="1"/>
  <c r="G22" i="1"/>
  <c r="L22" i="1"/>
  <c r="G23" i="1"/>
  <c r="L23" i="1"/>
  <c r="G24" i="1"/>
  <c r="L24" i="1"/>
  <c r="G25" i="1"/>
  <c r="L25" i="1"/>
  <c r="G26" i="1"/>
  <c r="L26" i="1"/>
  <c r="G27" i="1"/>
  <c r="L27" i="1"/>
  <c r="G28" i="1"/>
  <c r="L28" i="1"/>
  <c r="G29" i="1"/>
  <c r="L29" i="1"/>
  <c r="G30" i="1"/>
  <c r="L30" i="1"/>
  <c r="G31" i="1"/>
  <c r="L31" i="1"/>
  <c r="G32" i="1"/>
  <c r="L32" i="1"/>
  <c r="G33" i="1"/>
  <c r="L33" i="1"/>
  <c r="G34" i="1"/>
  <c r="L34" i="1"/>
  <c r="G35" i="1"/>
  <c r="L35" i="1"/>
  <c r="G36" i="1"/>
  <c r="L36" i="1"/>
  <c r="G37" i="1"/>
  <c r="L37" i="1"/>
  <c r="G38" i="1"/>
  <c r="L38" i="1"/>
  <c r="G39" i="1"/>
  <c r="L39" i="1"/>
  <c r="G40" i="1"/>
  <c r="L40" i="1"/>
  <c r="G41" i="1"/>
  <c r="L41" i="1"/>
  <c r="G42" i="1"/>
  <c r="L42" i="1"/>
  <c r="G43" i="1"/>
  <c r="L43" i="1"/>
  <c r="G44" i="1"/>
  <c r="L44" i="1"/>
  <c r="G45" i="1"/>
  <c r="L45" i="1"/>
  <c r="G46" i="1"/>
  <c r="L46" i="1"/>
  <c r="G47" i="1"/>
  <c r="L47" i="1"/>
  <c r="G48" i="1"/>
  <c r="L48" i="1"/>
  <c r="G49" i="1"/>
  <c r="L49" i="1"/>
  <c r="G50" i="1"/>
  <c r="L50" i="1"/>
  <c r="G51" i="1"/>
  <c r="L51" i="1"/>
  <c r="G52" i="1"/>
  <c r="L52" i="1"/>
  <c r="G53" i="1"/>
  <c r="L53" i="1"/>
  <c r="G54" i="1"/>
  <c r="L54" i="1"/>
  <c r="G55" i="1"/>
  <c r="L55" i="1"/>
  <c r="G56" i="1"/>
  <c r="L56" i="1"/>
  <c r="G57" i="1"/>
  <c r="L57" i="1"/>
  <c r="G58" i="1"/>
  <c r="L58" i="1"/>
  <c r="G59" i="1"/>
  <c r="L59" i="1"/>
  <c r="G60" i="1"/>
  <c r="L60" i="1"/>
  <c r="G61" i="1"/>
  <c r="L61" i="1"/>
  <c r="G62" i="1"/>
  <c r="L62" i="1"/>
  <c r="G63" i="1"/>
  <c r="L63" i="1"/>
  <c r="G64" i="1"/>
  <c r="L64" i="1"/>
  <c r="G65" i="1"/>
  <c r="L65" i="1"/>
  <c r="G66" i="1"/>
  <c r="L66" i="1"/>
  <c r="G67" i="1"/>
  <c r="L67" i="1"/>
  <c r="G68" i="1"/>
  <c r="L68" i="1"/>
  <c r="F2" i="11"/>
  <c r="M30" i="1" l="1"/>
  <c r="M44" i="1"/>
  <c r="M36" i="1"/>
  <c r="M20" i="1"/>
  <c r="M67" i="1"/>
  <c r="M66" i="1"/>
  <c r="M58" i="1"/>
  <c r="M53" i="1"/>
  <c r="M41" i="1"/>
  <c r="M33" i="1"/>
  <c r="M17" i="1"/>
  <c r="M68" i="1"/>
  <c r="M12" i="1"/>
  <c r="M31" i="1"/>
  <c r="M23" i="1"/>
  <c r="M26" i="1"/>
  <c r="M46" i="1"/>
  <c r="M42" i="1"/>
  <c r="M57" i="1"/>
  <c r="M10" i="1"/>
  <c r="M6" i="1"/>
  <c r="M2" i="1"/>
  <c r="M60" i="1"/>
  <c r="M8" i="1"/>
  <c r="M65" i="1"/>
  <c r="M14" i="1"/>
  <c r="C8" i="3"/>
  <c r="C20" i="3"/>
  <c r="C22" i="3"/>
  <c r="C21" i="3"/>
  <c r="M38" i="1"/>
  <c r="M34" i="1"/>
  <c r="C5" i="3"/>
  <c r="M11" i="1"/>
  <c r="M7" i="1"/>
  <c r="M3" i="1"/>
  <c r="M39" i="1"/>
  <c r="M54" i="1"/>
  <c r="M43" i="1"/>
  <c r="M9" i="1"/>
  <c r="C18" i="3"/>
  <c r="M63" i="1"/>
  <c r="M62" i="1"/>
  <c r="M61" i="1"/>
  <c r="M55" i="1"/>
  <c r="M51" i="1"/>
  <c r="M49" i="1"/>
  <c r="M47" i="1"/>
  <c r="M40" i="1"/>
  <c r="C14" i="3"/>
  <c r="M29" i="1"/>
  <c r="M28" i="1"/>
  <c r="M27" i="1"/>
  <c r="M25" i="1"/>
  <c r="M19" i="1"/>
  <c r="M15" i="1"/>
  <c r="M13" i="1"/>
  <c r="C16" i="3"/>
  <c r="M64" i="1"/>
  <c r="M52" i="1"/>
  <c r="M48" i="1"/>
  <c r="M45" i="1"/>
  <c r="C7" i="3"/>
  <c r="C4" i="3"/>
  <c r="M5" i="1"/>
  <c r="M35" i="1"/>
  <c r="M32" i="1"/>
  <c r="M22" i="1"/>
  <c r="M16" i="1"/>
  <c r="M4" i="1"/>
  <c r="C12" i="3"/>
  <c r="C3" i="3"/>
  <c r="M50" i="1"/>
  <c r="M37" i="1"/>
  <c r="M24" i="1"/>
  <c r="M21" i="1"/>
  <c r="M18" i="1"/>
  <c r="C1" i="3"/>
  <c r="M59" i="1"/>
  <c r="C2" i="3"/>
  <c r="C19" i="3"/>
  <c r="C15" i="3"/>
  <c r="C17" i="3"/>
  <c r="C9" i="3"/>
  <c r="C6" i="3"/>
  <c r="C13" i="3"/>
  <c r="C11" i="3"/>
  <c r="C10" i="3"/>
  <c r="M56" i="1"/>
  <c r="F22" i="11"/>
  <c r="B27" i="12"/>
  <c r="K24" i="12"/>
  <c r="H8" i="12"/>
  <c r="E3" i="12"/>
  <c r="H2" i="11"/>
  <c r="G6" i="11"/>
  <c r="Q4" i="12"/>
  <c r="Z7" i="12"/>
  <c r="T8" i="12"/>
  <c r="G7" i="11"/>
  <c r="G24" i="11"/>
  <c r="AA8" i="12"/>
  <c r="G4" i="11"/>
  <c r="AC9" i="12"/>
  <c r="T9" i="12"/>
  <c r="B23" i="12"/>
  <c r="W9" i="12"/>
  <c r="F27" i="11"/>
  <c r="G20" i="11"/>
  <c r="AA3" i="12"/>
  <c r="F6" i="11"/>
  <c r="K22" i="12"/>
  <c r="U2" i="12"/>
  <c r="H12" i="12"/>
  <c r="B6" i="12"/>
  <c r="O7" i="12"/>
  <c r="T2" i="12"/>
  <c r="B2" i="12"/>
  <c r="U7" i="12"/>
  <c r="K6" i="12"/>
  <c r="F7" i="11"/>
  <c r="H15" i="12"/>
  <c r="O5" i="12"/>
  <c r="B8" i="12"/>
  <c r="H6" i="11"/>
  <c r="G9" i="11"/>
  <c r="AA7" i="12"/>
  <c r="H22" i="11"/>
  <c r="G14" i="11"/>
  <c r="V4" i="12"/>
  <c r="H23" i="12"/>
  <c r="Y7" i="12"/>
  <c r="R2" i="12"/>
  <c r="R4" i="12"/>
  <c r="H7" i="11"/>
  <c r="Q7" i="12"/>
  <c r="S7" i="12"/>
  <c r="AA9" i="12"/>
  <c r="V8" i="12"/>
  <c r="K18" i="12"/>
  <c r="F21" i="11"/>
  <c r="B14" i="12"/>
  <c r="H22" i="12"/>
  <c r="AB9" i="12"/>
  <c r="F24" i="11"/>
  <c r="H6" i="12"/>
  <c r="U6" i="12"/>
  <c r="G18" i="11"/>
  <c r="R9" i="12"/>
  <c r="G5" i="11"/>
  <c r="E23" i="12"/>
  <c r="AA6" i="12"/>
  <c r="H17" i="12"/>
  <c r="R8" i="12"/>
  <c r="Y2" i="12"/>
  <c r="F26" i="11"/>
  <c r="F12" i="11"/>
  <c r="R3" i="12"/>
  <c r="V3" i="12"/>
  <c r="B28" i="12"/>
  <c r="H24" i="11"/>
  <c r="S3" i="12"/>
  <c r="K3" i="12"/>
  <c r="U5" i="12"/>
  <c r="AB2" i="12"/>
  <c r="K28" i="12"/>
  <c r="X4" i="12"/>
  <c r="AB5" i="12"/>
  <c r="H18" i="11"/>
  <c r="AC7" i="12"/>
  <c r="B7" i="12"/>
  <c r="K2" i="12"/>
  <c r="K26" i="12"/>
  <c r="F10" i="11"/>
  <c r="F4" i="11"/>
  <c r="E13" i="12"/>
  <c r="B12" i="12"/>
  <c r="P8" i="12"/>
  <c r="W5" i="12"/>
  <c r="F3" i="11"/>
  <c r="G12" i="11"/>
  <c r="H18" i="12"/>
  <c r="H5" i="12"/>
  <c r="K15" i="12"/>
  <c r="W8" i="12"/>
  <c r="B16" i="12"/>
  <c r="H2" i="12"/>
  <c r="X8" i="12"/>
  <c r="E4" i="12"/>
  <c r="H5" i="11"/>
  <c r="V9" i="12"/>
  <c r="P7" i="12"/>
  <c r="H14" i="11"/>
  <c r="S5" i="12"/>
  <c r="Y9" i="12"/>
  <c r="F14" i="11"/>
  <c r="P5" i="12"/>
  <c r="G23" i="11"/>
  <c r="Q5" i="12"/>
  <c r="P2" i="12"/>
  <c r="W4" i="12"/>
  <c r="E16" i="12"/>
  <c r="AC5" i="12"/>
  <c r="P3" i="12"/>
  <c r="S8" i="12"/>
  <c r="E22" i="12"/>
  <c r="P6" i="12"/>
  <c r="H15" i="11"/>
  <c r="E15" i="12"/>
  <c r="H25" i="12"/>
  <c r="H17" i="11"/>
  <c r="H16" i="11"/>
  <c r="B15" i="12"/>
  <c r="H26" i="11"/>
  <c r="F23" i="11"/>
  <c r="Z9" i="12"/>
  <c r="H27" i="12"/>
  <c r="K7" i="12"/>
  <c r="B3" i="12"/>
  <c r="Q8" i="12"/>
  <c r="G13" i="11"/>
  <c r="F18" i="11"/>
  <c r="Z5" i="12"/>
  <c r="O3" i="12"/>
  <c r="H4" i="11"/>
  <c r="B5" i="12"/>
  <c r="B25" i="12"/>
  <c r="K23" i="12"/>
  <c r="AA4" i="12"/>
  <c r="X3" i="12"/>
  <c r="H3" i="11"/>
  <c r="Z6" i="12"/>
  <c r="AB7" i="12"/>
  <c r="H23" i="11"/>
  <c r="T4" i="12"/>
  <c r="G25" i="11"/>
  <c r="H28" i="12"/>
  <c r="H26" i="12"/>
  <c r="W6" i="12"/>
  <c r="E27" i="12"/>
  <c r="E6" i="12"/>
  <c r="G3" i="11"/>
  <c r="W2" i="12"/>
  <c r="G11" i="11"/>
  <c r="V2" i="12"/>
  <c r="F19" i="11"/>
  <c r="W3" i="12"/>
  <c r="K4" i="12"/>
  <c r="Y6" i="12"/>
  <c r="E2" i="12"/>
  <c r="Y3" i="12"/>
  <c r="X2" i="12"/>
  <c r="B17" i="12"/>
  <c r="Q3" i="12"/>
  <c r="X7" i="12"/>
  <c r="AB8" i="12"/>
  <c r="H16" i="12"/>
  <c r="O6" i="12"/>
  <c r="R6" i="12"/>
  <c r="G21" i="11"/>
  <c r="Q9" i="12"/>
  <c r="F13" i="11"/>
  <c r="F25" i="11"/>
  <c r="K25" i="12"/>
  <c r="E14" i="12"/>
  <c r="B22" i="12"/>
  <c r="E5" i="12"/>
  <c r="K14" i="12"/>
  <c r="H24" i="12"/>
  <c r="H4" i="12"/>
  <c r="F9" i="11"/>
  <c r="U4" i="12"/>
  <c r="O4" i="12"/>
  <c r="E12" i="12"/>
  <c r="H8" i="11"/>
  <c r="F5" i="11"/>
  <c r="AA5" i="12"/>
  <c r="H12" i="11"/>
  <c r="T7" i="12"/>
  <c r="H19" i="11"/>
  <c r="T5" i="12"/>
  <c r="P9" i="12"/>
  <c r="K27" i="12"/>
  <c r="H3" i="12"/>
  <c r="Q6" i="12"/>
  <c r="AC3" i="12"/>
  <c r="V6" i="12"/>
  <c r="H14" i="12"/>
  <c r="G19" i="11"/>
  <c r="G26" i="11"/>
  <c r="E17" i="12"/>
  <c r="B18" i="12"/>
  <c r="H21" i="11"/>
  <c r="H13" i="11"/>
  <c r="AC8" i="12"/>
  <c r="AB3" i="12"/>
  <c r="AC6" i="12"/>
  <c r="K16" i="12"/>
  <c r="AA2" i="12"/>
  <c r="Z4" i="12"/>
  <c r="Q2" i="12"/>
  <c r="K17" i="12"/>
  <c r="Z8" i="12"/>
  <c r="G8" i="11"/>
  <c r="K5" i="12"/>
  <c r="U8" i="12"/>
  <c r="E24" i="12"/>
  <c r="X9" i="12"/>
  <c r="E7" i="12"/>
  <c r="F11" i="11"/>
  <c r="AB4" i="12"/>
  <c r="V7" i="12"/>
  <c r="F20" i="11"/>
  <c r="G10" i="11"/>
  <c r="E18" i="12"/>
  <c r="Z2" i="12"/>
  <c r="H25" i="11"/>
  <c r="AC4" i="12"/>
  <c r="G16" i="11"/>
  <c r="H13" i="12"/>
  <c r="X5" i="12"/>
  <c r="G17" i="11"/>
  <c r="R5" i="12"/>
  <c r="O8" i="12"/>
  <c r="O9" i="12"/>
  <c r="E8" i="12"/>
  <c r="G22" i="11"/>
  <c r="AB6" i="12"/>
  <c r="Y5" i="12"/>
  <c r="O2" i="12"/>
  <c r="S4" i="12"/>
  <c r="V5" i="12"/>
  <c r="E26" i="12"/>
  <c r="B4" i="12"/>
  <c r="F15" i="11"/>
  <c r="K13" i="12"/>
  <c r="F16" i="11"/>
  <c r="H20" i="11"/>
  <c r="G27" i="11"/>
  <c r="S2" i="12"/>
  <c r="W7" i="12"/>
  <c r="K8" i="12"/>
  <c r="P4" i="12"/>
  <c r="G15" i="11"/>
  <c r="S6" i="12"/>
  <c r="F17" i="11"/>
  <c r="E28" i="12"/>
  <c r="E25" i="12"/>
  <c r="T6" i="12"/>
  <c r="K12" i="12"/>
  <c r="R7" i="12"/>
  <c r="Y4" i="12"/>
  <c r="H10" i="11"/>
  <c r="S9" i="12"/>
  <c r="X6" i="12"/>
  <c r="H7" i="12"/>
  <c r="U9" i="12"/>
  <c r="H11" i="11"/>
  <c r="F8" i="11"/>
  <c r="T3" i="12"/>
  <c r="Z3" i="12"/>
  <c r="B13" i="12"/>
  <c r="AC2" i="12"/>
  <c r="B24" i="12"/>
  <c r="U3" i="12"/>
  <c r="G2" i="11"/>
  <c r="Y8" i="12"/>
  <c r="H9" i="11"/>
  <c r="B26" i="12"/>
  <c r="H27" i="11"/>
  <c r="K21" i="11" l="1"/>
  <c r="K20" i="11"/>
  <c r="K6" i="11"/>
  <c r="K12" i="11"/>
  <c r="K23" i="11"/>
  <c r="K24" i="11"/>
  <c r="K17" i="11"/>
  <c r="K14" i="11"/>
  <c r="K9" i="11"/>
  <c r="K22" i="11"/>
  <c r="K26" i="11"/>
  <c r="K4" i="11"/>
  <c r="K3" i="11"/>
  <c r="K8" i="11"/>
  <c r="K7" i="11"/>
  <c r="K18" i="11"/>
  <c r="K19" i="11"/>
  <c r="K2" i="11"/>
  <c r="K16" i="11"/>
  <c r="K27" i="11"/>
  <c r="K10" i="11"/>
  <c r="K11" i="11"/>
  <c r="K13" i="11"/>
  <c r="K5" i="11"/>
  <c r="K25" i="11"/>
  <c r="K15" i="11"/>
</calcChain>
</file>

<file path=xl/sharedStrings.xml><?xml version="1.0" encoding="utf-8"?>
<sst xmlns="http://schemas.openxmlformats.org/spreadsheetml/2006/main" count="1575" uniqueCount="475">
  <si>
    <t>Place</t>
  </si>
  <si>
    <t>Team #</t>
  </si>
  <si>
    <t>Name</t>
  </si>
  <si>
    <t>Day 1 # of Fish</t>
  </si>
  <si>
    <t>Day 1 Weight</t>
  </si>
  <si>
    <t>Released</t>
  </si>
  <si>
    <t>Day 1 Total</t>
  </si>
  <si>
    <t>Day 1 Big Fish</t>
  </si>
  <si>
    <t>Day 2 Weight</t>
  </si>
  <si>
    <t>Day 2 Total</t>
  </si>
  <si>
    <t>Grand Total</t>
  </si>
  <si>
    <t>Day 2 Big Fish</t>
  </si>
  <si>
    <t>Sort into place standing on day one</t>
  </si>
  <si>
    <t>After day one tournament inputs, highlight "Day 1 Total"</t>
  </si>
  <si>
    <t>click on Tools, then Protection, then unprotect</t>
  </si>
  <si>
    <t>click on data, then sort</t>
  </si>
  <si>
    <t>click on expand the selection then sort</t>
  </si>
  <si>
    <t>sort by Day 1 Total, then click decending, then ok</t>
  </si>
  <si>
    <t>Sort into place standings on total tournament</t>
  </si>
  <si>
    <t>After final results are inputted, highlight "Grand Total".</t>
  </si>
  <si>
    <t>click on tools, then protection, then unprotect</t>
  </si>
  <si>
    <t>click on expand the selection, then sort</t>
  </si>
  <si>
    <t>sort by Grand Total then click decending, then ok</t>
  </si>
  <si>
    <t>Once this is done then # places in numerical order</t>
  </si>
  <si>
    <t>from 1 to 65. Check for ties, make a note of any ties.</t>
  </si>
  <si>
    <t>Sort again, only this time sort Team #'s.</t>
  </si>
  <si>
    <t>Click on tools and protect.</t>
  </si>
  <si>
    <t>Teams</t>
  </si>
  <si>
    <t>Weight</t>
  </si>
  <si>
    <t>Darc Duprel               Mike Plaggemeyer</t>
  </si>
  <si>
    <t>Thomas Perlick        Mike Crozier</t>
  </si>
  <si>
    <t>Mike Delahoyde        Doug Kymala</t>
  </si>
  <si>
    <t>Jammey Gabert          Ken Gabert</t>
  </si>
  <si>
    <t>Tim Emme                 Bert Emme</t>
  </si>
  <si>
    <t>Jason Geuke            Brian Geuke</t>
  </si>
  <si>
    <t>Parker Shoun              Bob Shoun</t>
  </si>
  <si>
    <t xml:space="preserve">Day 2 # of Fish     </t>
  </si>
  <si>
    <t>Tom Neisen              Matt Neisen</t>
  </si>
  <si>
    <t>Johnathon Toth                                 Rod Toth</t>
  </si>
  <si>
    <t>Robert Sukut                                      Ryan Berger</t>
  </si>
  <si>
    <t>Wade Bail                                          Trevor Fisher</t>
  </si>
  <si>
    <t>Shannon Baseman                             Becky Hughes</t>
  </si>
  <si>
    <t>Ron Tietjon                                 Tyson Tietjon</t>
  </si>
  <si>
    <t>Bill Blickensderfer                                 Loren Kasuske</t>
  </si>
  <si>
    <t>Ryan Fredericksen         Lori Fredericksen</t>
  </si>
  <si>
    <t>Quentin Danley                        Ryan Geuke</t>
  </si>
  <si>
    <t>Cody Schvelke                         Bucky Derflinger</t>
  </si>
  <si>
    <t>Chance Hershey                      Darla Hershey</t>
  </si>
  <si>
    <t>Tyler Barrett                           Carla Barrett</t>
  </si>
  <si>
    <t>Roger McNary                     Brad Nelson</t>
  </si>
  <si>
    <t>Jim Gouldin                 Jeremy Gouldin</t>
  </si>
  <si>
    <t>John Magnusson                     Michal Magnusson</t>
  </si>
  <si>
    <t>Rod Malo                      Robert Frolander</t>
  </si>
  <si>
    <t>Jason Jahner                    Jon Halverson</t>
  </si>
  <si>
    <t>Darian Reede                    Jim Grapentine</t>
  </si>
  <si>
    <t>Kent Johner                      Mike Kimball</t>
  </si>
  <si>
    <t>Chuck Watson                                               Jeff Watson</t>
  </si>
  <si>
    <t>Buyer</t>
  </si>
  <si>
    <t>Amount</t>
  </si>
  <si>
    <t xml:space="preserve">Calcutta </t>
  </si>
  <si>
    <t>Mike Smith                   Bob Smith</t>
  </si>
  <si>
    <t>Sam Cerkoney                 Jody Cerkoney</t>
  </si>
  <si>
    <t>Aaron Arehart                          Roman Lopez</t>
  </si>
  <si>
    <t>John Tinnell                                      Brian Baley</t>
  </si>
  <si>
    <t>Mike Frolander               Steve Wilson</t>
  </si>
  <si>
    <t>Hawkeye Tichi                    Mark Roe</t>
  </si>
  <si>
    <t>Bill Anders                                 Marty Schvelke</t>
  </si>
  <si>
    <t>Joe Banker                                       Justin Raber</t>
  </si>
  <si>
    <t xml:space="preserve">Greg Abdallah                                       Mike Donahue                                          </t>
  </si>
  <si>
    <t xml:space="preserve">Jeff Hendrickson                                    Dave Kaiser                                       </t>
  </si>
  <si>
    <t>Ryan Harvey                                   Jerod Crandall</t>
  </si>
  <si>
    <t>Eric Johner                                     Steve Meyer</t>
  </si>
  <si>
    <t>Chandler Harris                             Terry Harris</t>
  </si>
  <si>
    <t>Monte Neiman                                          Danial Melanson</t>
  </si>
  <si>
    <t>52-2-50</t>
  </si>
  <si>
    <t>24-36-31</t>
  </si>
  <si>
    <t>39-6-34</t>
  </si>
  <si>
    <t>15-37-25</t>
  </si>
  <si>
    <t>35-7-21</t>
  </si>
  <si>
    <t>4-64-30</t>
  </si>
  <si>
    <t>53-10-38</t>
  </si>
  <si>
    <t>20-56-43</t>
  </si>
  <si>
    <t>49-17-5</t>
  </si>
  <si>
    <t>13-9-61</t>
  </si>
  <si>
    <t>47-18-28</t>
  </si>
  <si>
    <t>16-42-11</t>
  </si>
  <si>
    <t>65-1-27</t>
  </si>
  <si>
    <t>60-29-8</t>
  </si>
  <si>
    <t>19-41-66</t>
  </si>
  <si>
    <t>62-54-22</t>
  </si>
  <si>
    <t>63-14-59</t>
  </si>
  <si>
    <t>46-57-48</t>
  </si>
  <si>
    <t>26-44-32</t>
  </si>
  <si>
    <t>23-58-12</t>
  </si>
  <si>
    <t>40-55-33</t>
  </si>
  <si>
    <t>51-3-45</t>
  </si>
  <si>
    <t>Kenny Merrill                        Joe Loll</t>
  </si>
  <si>
    <t>JJ Mortensen                           Tom Fleming</t>
  </si>
  <si>
    <t>Lanny Roderick                          Robin Roderick</t>
  </si>
  <si>
    <t>Scott Tschetter                            Shenandoa Manning</t>
  </si>
  <si>
    <t>Kelvin Wendt                                  Bill Hoffman</t>
  </si>
  <si>
    <t>Pete Krush                   Trent Vanderboom</t>
  </si>
  <si>
    <t>Kent Burnison                     Rick Sperry</t>
  </si>
  <si>
    <t>Mike Dick                  Tyler  Dick</t>
  </si>
  <si>
    <t>Tony Albright                       Dalyn McCann</t>
  </si>
  <si>
    <t>Ron Snyder                   Kenny Ryman</t>
  </si>
  <si>
    <t>Dennis Fritz                 Nic Brickman</t>
  </si>
  <si>
    <t>Tom Osborn                    Lonny  Kracht</t>
  </si>
  <si>
    <t>Adam Daigle                Shane Novotny</t>
  </si>
  <si>
    <t>Joseph Giaculli              Tony Dean</t>
  </si>
  <si>
    <t>Scott Borup Jr                Marly Borup</t>
  </si>
  <si>
    <t>Luke Steinmetz              Colter Steinmetz</t>
  </si>
  <si>
    <t>Jerome Langum            Roger Mosset</t>
  </si>
  <si>
    <t>Russell Blakeman          Tanner Hedrickson</t>
  </si>
  <si>
    <t>Wayne Hunt            Jeremiah Jurisch</t>
  </si>
  <si>
    <t>Dale Smith            Kenny Samson</t>
  </si>
  <si>
    <t>Michael Steichen                Loyd Griswold</t>
  </si>
  <si>
    <t>Tom Kraft                  Hunter Kraft</t>
  </si>
  <si>
    <t>Scott Rogers             Ryan Burdick</t>
  </si>
  <si>
    <t>Brad Tschetter             Fred Tschetter</t>
  </si>
  <si>
    <t xml:space="preserve">Ben Norlin                 Kelly Maser           </t>
  </si>
  <si>
    <t>Rod Malo                      Ryan Malo</t>
  </si>
  <si>
    <t>Dennis Fritz                 Dean Weinzetl</t>
  </si>
  <si>
    <t>John Magnusson                     Brian Magnusson</t>
  </si>
  <si>
    <t>Mike Dick                  Mike Ellis</t>
  </si>
  <si>
    <t>Luke Steinmetz              Travis Havener</t>
  </si>
  <si>
    <t>Aaron Arehart                          Dave Arehart</t>
  </si>
  <si>
    <t>Tom Osborn                    Jean Osborn</t>
  </si>
  <si>
    <t>Scott Rogers            Joel Hartman</t>
  </si>
  <si>
    <t>Kenny Merrill                       Jim Justice</t>
  </si>
  <si>
    <t>Dave Dell                         Jerri Dell</t>
  </si>
  <si>
    <t>Craig O'connell                          Todd Harmon</t>
  </si>
  <si>
    <t>Cory Hemeyer                  Jamey Watts</t>
  </si>
  <si>
    <t>John Geib                 Duane Newlander</t>
  </si>
  <si>
    <t>Derek Shoun                            Zachary Shoun</t>
  </si>
  <si>
    <t>Tim Engalls                        Tess Malo</t>
  </si>
  <si>
    <t>Jim Haefs                            Joyce Haefs</t>
  </si>
  <si>
    <t>Mark Bachman                      Jake Bachman</t>
  </si>
  <si>
    <t>Bryce Kulm                            C.R. Nedved</t>
  </si>
  <si>
    <t>Ryan Mahoney                       Chris Bailey</t>
  </si>
  <si>
    <t>Lonny Kracht                     Kody Kracht</t>
  </si>
  <si>
    <t>Brandon Seitz                         Casey Higgons</t>
  </si>
  <si>
    <t>Larry Carden                        Don Mousel</t>
  </si>
  <si>
    <t>Jerome Sechser                      Alex Corliss</t>
  </si>
  <si>
    <t>Scott Borup                Marly Borup</t>
  </si>
  <si>
    <t>Darc Duprel                      Mike Plaggemeyer</t>
  </si>
  <si>
    <t>Cody Schuelke             Bucky Derflinger</t>
  </si>
  <si>
    <t>Current Year</t>
  </si>
  <si>
    <t>DATE</t>
  </si>
  <si>
    <t>Team Number</t>
  </si>
  <si>
    <t>Team Members</t>
  </si>
  <si>
    <t>Number of Fish:</t>
  </si>
  <si>
    <t>Raw Weight:</t>
  </si>
  <si>
    <t>Number of Fish Released</t>
  </si>
  <si>
    <t>Total Weight</t>
  </si>
  <si>
    <t>Day 1 Weigh In</t>
  </si>
  <si>
    <t>Day 2 Weigh In</t>
  </si>
  <si>
    <t>Big Fish</t>
  </si>
  <si>
    <t>Grand total Weight</t>
  </si>
  <si>
    <t xml:space="preserve">Current Standing </t>
  </si>
  <si>
    <t>Received By:</t>
  </si>
  <si>
    <t>Issued By:</t>
  </si>
  <si>
    <t>Number of Fish</t>
  </si>
  <si>
    <t>Raw Weight</t>
  </si>
  <si>
    <t>Status</t>
  </si>
  <si>
    <t>Team 1</t>
  </si>
  <si>
    <t>Team 2</t>
  </si>
  <si>
    <t>Team 3</t>
  </si>
  <si>
    <t>Group</t>
  </si>
  <si>
    <t>Best Team total</t>
  </si>
  <si>
    <t>Average Day 1</t>
  </si>
  <si>
    <t>Average Day 2</t>
  </si>
  <si>
    <t>Big Fish Day 1</t>
  </si>
  <si>
    <t>Big Fish Day 2</t>
  </si>
  <si>
    <t>Avg Big fish</t>
  </si>
  <si>
    <t>Total Caught</t>
  </si>
  <si>
    <t>Total Released</t>
  </si>
  <si>
    <t>Statistic</t>
  </si>
  <si>
    <t>Avg Big Fish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</si>
  <si>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</si>
  <si>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</si>
  <si>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</si>
  <si>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</si>
  <si>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</si>
  <si>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</si>
  <si>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</si>
  <si>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</si>
  <si>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</si>
  <si>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</si>
  <si>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</si>
  <si>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</si>
  <si>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</si>
  <si>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</si>
  <si>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</si>
  <si>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Day 1 ST.Dev</t>
  </si>
  <si>
    <t>Day 2 ST.Dev</t>
  </si>
  <si>
    <t>Big Fish ST.Dev</t>
  </si>
  <si>
    <t>Eric Johner
Steve Meyer</t>
  </si>
  <si>
    <t>Mike Ellis
Mike Dick</t>
  </si>
  <si>
    <t>Greg Abdallah
John Arleth</t>
  </si>
  <si>
    <t>Kent Johner
Mike Kimball</t>
  </si>
  <si>
    <t>Bill Blickensderfer
Loren Kasuske</t>
  </si>
  <si>
    <t>Rod Toth
Jonathon Toth</t>
  </si>
  <si>
    <t>Ben Norlin
Kelly  Maser</t>
  </si>
  <si>
    <t>Jim Sherman
Jake Hazenbilen</t>
  </si>
  <si>
    <t>Robert Sukut
Ryan Berger</t>
  </si>
  <si>
    <t>Darc Duprel
Mike Plaggermeyer</t>
  </si>
  <si>
    <t>Jim Grapentine
Darian Reede</t>
  </si>
  <si>
    <t>Bryce Kulm
Chester Nedued</t>
  </si>
  <si>
    <t>Jerome Langum
Roger Mosset</t>
  </si>
  <si>
    <t>Terry Harris
Chandler Harris</t>
  </si>
  <si>
    <t>Chance Hershey
Darla Hershey</t>
  </si>
  <si>
    <t>Ryan Harvey
Jerod Crandall</t>
  </si>
  <si>
    <t>Matt Scott
Greg Bohls</t>
  </si>
  <si>
    <t>Mike Delahoyde
Doug Kaymala</t>
  </si>
  <si>
    <t>Larry Carden
Don Mousel</t>
  </si>
  <si>
    <t>Adam Daigle
Shene Novotny</t>
  </si>
  <si>
    <t>Levi Humbracht
Jake Moreland</t>
  </si>
  <si>
    <t>Mike Iverson
Steve Zubrod</t>
  </si>
  <si>
    <t>Tim Ingalls
Tess Malo</t>
  </si>
  <si>
    <t>Troy Stugelmeyer
Chase Stugelmeyer</t>
  </si>
  <si>
    <t>Jerome Seshser
Alex Corliss</t>
  </si>
  <si>
    <t>Mark Bevier
Jolene Bevier</t>
  </si>
  <si>
    <t>Brian Geuke
Jason Geuke</t>
  </si>
  <si>
    <t>Jim Gouldin
Jeremy Gouldin</t>
  </si>
  <si>
    <t>Scott Tschetter
Shenandoa Manning</t>
  </si>
  <si>
    <t>Ken Gabert
Jammey Gabert</t>
  </si>
  <si>
    <t>Roger McNary
Brad Nelson</t>
  </si>
  <si>
    <t>Tom Neisen
Matthew Neisen</t>
  </si>
  <si>
    <t>Mike Rogers
Mike Sneesby</t>
  </si>
  <si>
    <t>Tony Albright
Dalton McCann</t>
  </si>
  <si>
    <t>Mike Frolander
Steve Wilson</t>
  </si>
  <si>
    <t>Wade Bail
Trevor Fisher</t>
  </si>
  <si>
    <t>Jason Jahner
Travis Ladson</t>
  </si>
  <si>
    <t>Parker Shoun
Bob Shoun</t>
  </si>
  <si>
    <t>Blake Sandidge
Darin Mcintosh</t>
  </si>
  <si>
    <t>Hawkeye Tichi
Keven Vaughn</t>
  </si>
  <si>
    <t>Scott Rogers
Joe Hartman</t>
  </si>
  <si>
    <t>Fred Tschetter
Brad Tschetter</t>
  </si>
  <si>
    <t>Michael Steichen
Brent Jansen</t>
  </si>
  <si>
    <t>Tanner Johnson
Riley Dalzell</t>
  </si>
  <si>
    <t>Mike Smith
Bob Smith</t>
  </si>
  <si>
    <t>Bill Anders
Marty Schuelke</t>
  </si>
  <si>
    <t>Kerry Giffen
Troy Mills</t>
  </si>
  <si>
    <t>Lanny Roderick
Robin Roderick</t>
  </si>
  <si>
    <t>Aaron Arehart
Dave Arehart</t>
  </si>
  <si>
    <t>Rod Malo
Ryan Malo</t>
  </si>
  <si>
    <t>JJ Mortenson
Cole Keeler</t>
  </si>
  <si>
    <t>Lee Harstad
Daphne Loup</t>
  </si>
  <si>
    <t>Mark Bachman
Jake  Bachman</t>
  </si>
  <si>
    <t>Dean Weinzetl
Bud Harrison</t>
  </si>
  <si>
    <t>Brandon Seitz
Casey Higgins</t>
  </si>
  <si>
    <t>Alan Gifford
Michael Kautz</t>
  </si>
  <si>
    <t>Tim Emme
Bert Emme</t>
  </si>
  <si>
    <t>Sam Cerkoney
Jody Cerkoney</t>
  </si>
  <si>
    <t>Trevor Fisher
Brady Hathaway</t>
  </si>
  <si>
    <t>John Magnusson
Michal Magnusson</t>
  </si>
  <si>
    <t>Pete Krush
Trent Vanderboom</t>
  </si>
  <si>
    <t>Dave Dell
Jerri Dell</t>
  </si>
  <si>
    <t>Joshua Kusser
Alisha Kusser</t>
  </si>
  <si>
    <t>Tom Osborn
Jean  Osborn</t>
  </si>
  <si>
    <t>Katlin Stensland
Cort Cundy</t>
  </si>
  <si>
    <t>Glenn Hodges
Kelvin Wendt</t>
  </si>
  <si>
    <t>Ron Tietjen
Tyson Tietjen</t>
  </si>
  <si>
    <t>Joe Loll
Brandon Loll</t>
  </si>
  <si>
    <t>Rusty Karlson
Nick Derby</t>
  </si>
  <si>
    <t>Shannon Vasknetz
Marty Symonds</t>
  </si>
  <si>
    <t>Katherine Hammill
Jeff Watson</t>
  </si>
  <si>
    <t>David Kaiser
Jeff Hendrickson</t>
  </si>
  <si>
    <t>Cody Schulke
Bucky Derflinger</t>
  </si>
  <si>
    <t>Shannon Baseman
Rebecca Hughes</t>
  </si>
  <si>
    <t>Dayln McCann
Jesse McCann</t>
  </si>
  <si>
    <t>Don Sharp
Norman Landphere</t>
  </si>
  <si>
    <t>note:</t>
  </si>
  <si>
    <t>could make list of teams not generated</t>
  </si>
  <si>
    <t>or get 78 or 75 teams for even calcutta</t>
  </si>
  <si>
    <t>Team1 Day 2  GT</t>
  </si>
  <si>
    <t>Team2 Day 2 GT</t>
  </si>
  <si>
    <t>Team3 Day 2 GT</t>
  </si>
  <si>
    <t>Greg Bohls
Steve Kozel</t>
  </si>
  <si>
    <t>Greg Abdallah
Mike Donahue</t>
  </si>
  <si>
    <t>Dave  Dell
Jerri Dell</t>
  </si>
  <si>
    <t>Jeff Hendrickson
Dave Kaiser</t>
  </si>
  <si>
    <t>Joel Hartman
Scott Rogers</t>
  </si>
  <si>
    <t>Duallen Tichi
Kevin Vaughn</t>
  </si>
  <si>
    <t>Brian Jordan
Bill Hoffman</t>
  </si>
  <si>
    <t>Michael Steichen
Brendt Jenson</t>
  </si>
  <si>
    <t>Mike Dick
Mike Ellis</t>
  </si>
  <si>
    <t>Lanny Roderick
Tom Fish</t>
  </si>
  <si>
    <t>Kevin Wendt
Glenn Hodges</t>
  </si>
  <si>
    <t>Jake Moreland
Levi Humbracht</t>
  </si>
  <si>
    <t>Tyson Tietjen
Ron Tietjen</t>
  </si>
  <si>
    <t>John Magnusson
Brian Magnusson</t>
  </si>
  <si>
    <t>Jason Geuke
Bryan Geuke</t>
  </si>
  <si>
    <t>Joe Loll
John Cooper</t>
  </si>
  <si>
    <t>Loren Kasuske
Bill Blickensderfer</t>
  </si>
  <si>
    <t>Jerome Langum
Roger Mossett</t>
  </si>
  <si>
    <t>Adam Daigle
Shane Novotny</t>
  </si>
  <si>
    <t>Mike Delahoyde
Doug Kymala</t>
  </si>
  <si>
    <t>Jerome Sochser
Alex Corliss</t>
  </si>
  <si>
    <t>Jerry Mortensen
Cole Keeler</t>
  </si>
  <si>
    <t>Wade Bail
trevor Fisher</t>
  </si>
  <si>
    <t>Marty Leberknight
Mike Leberknight</t>
  </si>
  <si>
    <t>Josha Kusser
Alisha Kusser</t>
  </si>
  <si>
    <t>Jim Haefs
Joyce Haefs</t>
  </si>
  <si>
    <t>Blake Sandidge
Lane Sandidge</t>
  </si>
  <si>
    <t>Ryan Frederickson
Lori Frederickson</t>
  </si>
  <si>
    <t>Lonny Kracht
Kody Kracht</t>
  </si>
  <si>
    <t>Tom Osborn
Mason Wells</t>
  </si>
  <si>
    <t>Aaron Arehart
Uriah Arehart</t>
  </si>
  <si>
    <t>Don Quinn
Fred Maurer</t>
  </si>
  <si>
    <t>Jonathon Toth
Rod Toth</t>
  </si>
  <si>
    <t>Kelly Maser
Ben Norlin</t>
  </si>
  <si>
    <t>Kent Burnison
Rick Walton</t>
  </si>
  <si>
    <t>Kerry Giffen
Jesse Kracht</t>
  </si>
  <si>
    <t>Cort Cundy
Katlin Stensland</t>
  </si>
  <si>
    <t>Quentin Danley
Randy Simkins</t>
  </si>
  <si>
    <t>Shannon Baseman
Becky Hughes</t>
  </si>
  <si>
    <t>Arlie Davis
Bob Fernau</t>
  </si>
  <si>
    <t>Sam Cerkoney
jody Cerkoney</t>
  </si>
  <si>
    <t>James Trimble
Will Graves</t>
  </si>
  <si>
    <t>Luke Steinmetz
Clayton Steinmetz</t>
  </si>
  <si>
    <t>Dean Weinzetl
Bub Harrison</t>
  </si>
  <si>
    <t>Jeff Watson
Shawn Lipp</t>
  </si>
  <si>
    <t>Darin McIntosh
Jeremiah Jurisch</t>
  </si>
  <si>
    <t>Dan Peterson
Danny Petersen</t>
  </si>
  <si>
    <t>Rodney Messmer
Mike Jennings</t>
  </si>
  <si>
    <t>Chad Hanson
Justin Djoseland</t>
  </si>
  <si>
    <t>Cody Schuelke
Bucky Derflinger</t>
  </si>
  <si>
    <t>Derek Shoon
Zachery Shoon</t>
  </si>
  <si>
    <t>Todd Harmon
Teven Harmon</t>
  </si>
  <si>
    <t xml:space="preserve">4.16	</t>
  </si>
  <si>
    <t>Missing</t>
  </si>
  <si>
    <t>Printed D1</t>
  </si>
  <si>
    <t>Printed D2</t>
  </si>
  <si>
    <t>Bill  Blickensderfer
Loren Kasuske</t>
  </si>
  <si>
    <t>Aaron Arehart
Harld Arehart</t>
  </si>
  <si>
    <t>Joe Loll
Kenny Merrell</t>
  </si>
  <si>
    <t>Mark Bachman
Jake Bachman</t>
  </si>
  <si>
    <t>Ben Norlin
Kelly Maser</t>
  </si>
  <si>
    <t>Roger McNarly
Joe Vaith</t>
  </si>
  <si>
    <t>Ryan Fredericksen
Lori Fredericksen</t>
  </si>
  <si>
    <t>Kelvin Wendt
Glenn Hodges</t>
  </si>
  <si>
    <t>Blake Sandidge
Jim Haefs</t>
  </si>
  <si>
    <t>Brandon Seitz
John Cooper</t>
  </si>
  <si>
    <t>Matt James
Chad Porsch</t>
  </si>
  <si>
    <t>Mike Frolander
Steven Wilson</t>
  </si>
  <si>
    <t>Jason Geuke
Brian Geuke</t>
  </si>
  <si>
    <t>Cal Modlin
Kevin Jennigues</t>
  </si>
  <si>
    <t>Tom Neisen
Matt Neisen</t>
  </si>
  <si>
    <t>Tyrel Johnson
Ted Brookey</t>
  </si>
  <si>
    <t>Daniel Ellefson
Jeff Reetz</t>
  </si>
  <si>
    <t>Mark Stiller
Dan Buehler</t>
  </si>
  <si>
    <t>Scott Rogers
Mike Rogers</t>
  </si>
  <si>
    <t>Doug Pudwill
Shawn Pudwill</t>
  </si>
  <si>
    <t>James Timble
Will Graves</t>
  </si>
  <si>
    <t>Rob Crandall 
Bob Crandall</t>
  </si>
  <si>
    <t>Mark Bevier
Russell Simkins</t>
  </si>
  <si>
    <t>Robert Schmidt
Christopher Baldridge</t>
  </si>
  <si>
    <t>Jeremiah Jurisch
Darin McIntosh</t>
  </si>
  <si>
    <t>Justin Duncan
Lonny Kracht</t>
  </si>
  <si>
    <t>Kent Burnisen
Jamie Watts</t>
  </si>
  <si>
    <t>Wade Bail
Marty Schuelke</t>
  </si>
  <si>
    <t>Kent Johner
Talon Johner</t>
  </si>
  <si>
    <t>Matt Scott
Wes Hartmann</t>
  </si>
  <si>
    <t>Tony Albright
Dalyn McCann</t>
  </si>
  <si>
    <t>Derek Shoun
Zachary Shoun</t>
  </si>
  <si>
    <t>Mike Kimball
Chris Egerdahl</t>
  </si>
  <si>
    <t>Lane Sandidge
Kopea Derby</t>
  </si>
  <si>
    <t>Jade Ager
Andre Ager</t>
  </si>
  <si>
    <t>Alan Gifford
Vikki Morell</t>
  </si>
  <si>
    <t>Fred Tschetter
Brad Tschertter</t>
  </si>
  <si>
    <t>YES</t>
  </si>
  <si>
    <t>74,2,</t>
  </si>
  <si>
    <t>Team 4</t>
  </si>
  <si>
    <t>Team4 Day 2 GT</t>
  </si>
  <si>
    <t>Missing Teams</t>
  </si>
  <si>
    <t>C</t>
  </si>
  <si>
    <t>Day 2  GT</t>
  </si>
  <si>
    <t>Roger McNary
Joe Vaith</t>
  </si>
  <si>
    <t>Matt James
Chad Porsche</t>
  </si>
  <si>
    <t>Lanny Roderick
Jeremiah Jurisch</t>
  </si>
  <si>
    <t>Shenandoa Manning
Scott Tschetter</t>
  </si>
  <si>
    <t>Will Graves
James Trimble</t>
  </si>
  <si>
    <t>Michal Magnusson
Brian Magnusson</t>
  </si>
  <si>
    <t>John Magnusson
Mel Snow</t>
  </si>
  <si>
    <t>Steve Kozel
Greg Bohls</t>
  </si>
  <si>
    <t>Blake Sandidge
Blayne Sandidge</t>
  </si>
  <si>
    <t>Don Sharp
Dustin Sharp</t>
  </si>
  <si>
    <t>Ron Crandall
Bob Crandall</t>
  </si>
  <si>
    <t>Jeremy Gouldin
Tanner Gouldin</t>
  </si>
  <si>
    <t>Kelly Maser
Mike Carl</t>
  </si>
  <si>
    <t>Ben Norlin
Alex Norlin</t>
  </si>
  <si>
    <t>Mike Smith
Robert Smith</t>
  </si>
  <si>
    <t>Jonathon Toth
Rob Toth</t>
  </si>
  <si>
    <t>Robert Schmidt
Nolan Mares</t>
  </si>
  <si>
    <t>Mark Bevier
Brandon Vickerman</t>
  </si>
  <si>
    <t>Joe Loll
Kevin Farmer</t>
  </si>
  <si>
    <t>Tyrel Johnson
Kevin Smidt</t>
  </si>
  <si>
    <t>Jesse Kracht
Gage Kracht</t>
  </si>
  <si>
    <t>Calvin Modlin
Kevin Jenniges</t>
  </si>
  <si>
    <t>Dean Duncan
Justin Duncan</t>
  </si>
  <si>
    <t>Mark Bachman
Homer Collins</t>
  </si>
  <si>
    <t>Ryan Burdick
Laura Sterna</t>
  </si>
  <si>
    <t>Dave Kaiser
Jeff Hendrickson</t>
  </si>
  <si>
    <t>Tom Olson
Mason Wells</t>
  </si>
  <si>
    <t>J.J. Mortensen
Cody Parker</t>
  </si>
  <si>
    <t>Jared Lueders
Chris Brown</t>
  </si>
  <si>
    <t>Marly Borup
Scott Borup Jr.</t>
  </si>
  <si>
    <t>Jake Moreland
Daron Gruenwald</t>
  </si>
  <si>
    <t>Chad Hanson
Traci Hanson</t>
  </si>
  <si>
    <t>Tim Eymer
Dale Baldwin</t>
  </si>
  <si>
    <t>Travis Ladson
Jason Jahner</t>
  </si>
  <si>
    <t>Monty Pederson
Craig Reiman</t>
  </si>
  <si>
    <t>Matt Schmahl
Jessica Schmahl</t>
  </si>
  <si>
    <t>Shannon Baseman
Becky Stoddard</t>
  </si>
  <si>
    <t>Craig Oyler
Brian Cavanaugh</t>
  </si>
  <si>
    <t>Tanner Hendericksen
Jordan Stamper</t>
  </si>
  <si>
    <t>Ryan Cathcart
Lance Johnson</t>
  </si>
  <si>
    <t>Tim Lindblom
Jake Lindblom</t>
  </si>
  <si>
    <t>System File/Folder Structure Requirements</t>
  </si>
  <si>
    <t>Starting a New Tournament</t>
  </si>
  <si>
    <t>Moving Data to a new Computer</t>
  </si>
  <si>
    <t>on the C drive a folder with the path C:001 HPA Data must exist</t>
  </si>
  <si>
    <t>In the folder from step one a folder titled "Tourney Data"</t>
  </si>
  <si>
    <t>For each new tournament a folder with the year needs to be added</t>
  </si>
  <si>
    <t>A folder title "Tickets" needs to be created within the folder created in step 3</t>
  </si>
  <si>
    <t>most improved from day 1 to day 2 was not correct</t>
  </si>
  <si>
    <t>compare day 1 placement (ranking) to day 2 placement (ranking)</t>
  </si>
  <si>
    <t>Day 1 Rank</t>
  </si>
  <si>
    <t>Day 2 Rank</t>
  </si>
  <si>
    <t>Change in Rank</t>
  </si>
  <si>
    <t>2031</t>
  </si>
  <si>
    <t>2032</t>
  </si>
  <si>
    <t>2033</t>
  </si>
  <si>
    <t>2034</t>
  </si>
  <si>
    <t>Doug Kymala
N A</t>
  </si>
  <si>
    <t>Doug  Kymala
N A</t>
  </si>
  <si>
    <t>Marly Borup
Scott Borup</t>
  </si>
  <si>
    <t>Jason Geuke
John Cooper</t>
  </si>
  <si>
    <t>Brandon Seitz
Rob  Crandall</t>
  </si>
  <si>
    <t>Tony Albright
Daylan McCann</t>
  </si>
  <si>
    <t>Kent Burnison
Oren Loken</t>
  </si>
  <si>
    <t>Mike Delahoyde
Loren Kasuske</t>
  </si>
  <si>
    <t>Johnathon Toth
Rod Toth</t>
  </si>
  <si>
    <t>Jeremy Gouldin
James Gouldin</t>
  </si>
  <si>
    <t>N A
N A</t>
  </si>
  <si>
    <t>Matt Neisen
Tom Neisen</t>
  </si>
  <si>
    <t>Craig Reiman
Monty Pederson</t>
  </si>
  <si>
    <t>Nolan Mares
Christian Bowie</t>
  </si>
  <si>
    <t>Tyrel Johnson
Ted Brooky</t>
  </si>
  <si>
    <t>Mark Bachman
Jarrett Ingram</t>
  </si>
  <si>
    <t>Greg Abdallah
Jim Randash</t>
  </si>
  <si>
    <t>Mike Steichen
Ben Land</t>
  </si>
  <si>
    <t>Jerome Sechser
Lance Sutter</t>
  </si>
  <si>
    <t>Craig Conn
Thomas Harvey</t>
  </si>
  <si>
    <t>Ryan Mahoney
Jamie Hatch</t>
  </si>
  <si>
    <t>Jesse Kracht
Brian Staley</t>
  </si>
  <si>
    <t>Mike Ocobock
Brandon Umphlet</t>
  </si>
  <si>
    <t>John Halverson
Levi Halverson</t>
  </si>
  <si>
    <t>Jeff Sever
Tyler Sever</t>
  </si>
  <si>
    <t>Jason Robbins
Kenny Robbins</t>
  </si>
  <si>
    <t>Brian Delfino
Brady Delfino</t>
  </si>
  <si>
    <t>Nels Juso
Matthew Novak</t>
  </si>
  <si>
    <t>Mike Sneesby
Mike Rogers</t>
  </si>
  <si>
    <t>Curt Marchiando
Joe Shiffran</t>
  </si>
  <si>
    <t>Lee Cordell
Ryan Burdick</t>
  </si>
  <si>
    <t>Duane Wolfe
Katherine Hammill</t>
  </si>
  <si>
    <t>Bryce Lutz
Angela Lutz</t>
  </si>
  <si>
    <t>Cal Modlin
Sandy Linn</t>
  </si>
  <si>
    <t>Doug  Kaymala
Jim Fitzgarld</t>
  </si>
  <si>
    <t>Ryan  Fredericksen
Derek Fredericksen</t>
  </si>
  <si>
    <t>Josh Oyen
Kipp Rische</t>
  </si>
  <si>
    <t>DNF</t>
  </si>
  <si>
    <t>2022 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</si>
</sst>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32" x14ac:knownFonts="1">
    <font>
      <sz val="10"/>
      <name val="Arial"/>
    </font>
    <font>
      <sz val="11"/>
      <color indexed="8"/>
      <name val="Calibri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36"/>
      <name val="Arial"/>
      <family val="2"/>
    </font>
    <font>
      <b/>
      <sz val="28"/>
      <name val="Arial"/>
      <family val="2"/>
    </font>
    <font>
      <b/>
      <sz val="16"/>
      <color rgb="FFFFFFFF"/>
      <name val="Calibri"/>
      <family val="2"/>
    </font>
    <font>
      <sz val="8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6" borderId="0" applyNumberFormat="0" applyBorder="0" applyAlignment="0" applyProtection="0"/>
    <xf numFmtId="0" fontId="22" fillId="2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8" borderId="0" applyNumberFormat="0" applyBorder="0" applyAlignment="0" applyProtection="0"/>
    <xf numFmtId="0" fontId="22" fillId="12" borderId="0" applyNumberFormat="0" applyBorder="0" applyAlignment="0" applyProtection="0"/>
    <xf numFmtId="0" fontId="12" fillId="13" borderId="0" applyNumberFormat="0" applyBorder="0" applyAlignment="0" applyProtection="0"/>
    <xf numFmtId="0" fontId="16" fillId="14" borderId="1" applyNumberFormat="0" applyAlignment="0" applyProtection="0"/>
    <xf numFmtId="0" fontId="18" fillId="15" borderId="2" applyNumberFormat="0" applyAlignment="0" applyProtection="0"/>
    <xf numFmtId="0" fontId="2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1" applyNumberFormat="0" applyAlignment="0" applyProtection="0"/>
    <xf numFmtId="0" fontId="17" fillId="0" borderId="6" applyNumberFormat="0" applyFill="0" applyAlignment="0" applyProtection="0"/>
    <xf numFmtId="0" fontId="13" fillId="6" borderId="0" applyNumberFormat="0" applyBorder="0" applyAlignment="0" applyProtection="0"/>
    <xf numFmtId="0" fontId="6" fillId="4" borderId="7" applyNumberFormat="0" applyFont="0" applyAlignment="0" applyProtection="0"/>
    <xf numFmtId="0" fontId="15" fillId="14" borderId="8" applyNumberFormat="0" applyAlignment="0" applyProtection="0"/>
    <xf numFmtId="0" fontId="7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19" fillId="0" borderId="0" applyNumberFormat="0" applyFill="0" applyBorder="0" applyAlignment="0" applyProtection="0"/>
    <xf numFmtId="164" fontId="26" fillId="0" borderId="0" applyFont="0" applyFill="0" applyBorder="0" applyAlignment="0" applyProtection="0"/>
  </cellStyleXfs>
  <cellXfs count="17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2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 applyProtection="1">
      <alignment horizontal="center"/>
      <protection locked="0"/>
    </xf>
    <xf numFmtId="0" fontId="4" fillId="17" borderId="0" xfId="0" applyFont="1" applyFill="1" applyAlignment="1">
      <alignment horizontal="center"/>
    </xf>
    <xf numFmtId="0" fontId="4" fillId="18" borderId="0" xfId="0" applyFont="1" applyFill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/>
    </xf>
    <xf numFmtId="0" fontId="4" fillId="18" borderId="0" xfId="0" applyFont="1" applyFill="1" applyProtection="1">
      <protection locked="0"/>
    </xf>
    <xf numFmtId="2" fontId="5" fillId="0" borderId="0" xfId="0" applyNumberFormat="1" applyFont="1"/>
    <xf numFmtId="2" fontId="4" fillId="0" borderId="0" xfId="0" applyNumberFormat="1" applyFont="1"/>
    <xf numFmtId="14" fontId="0" fillId="0" borderId="0" xfId="0" applyNumberFormat="1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4" fillId="19" borderId="0" xfId="0" applyFont="1" applyFill="1" applyAlignment="1">
      <alignment horizontal="center"/>
    </xf>
    <xf numFmtId="0" fontId="23" fillId="20" borderId="10" xfId="0" applyFont="1" applyFill="1" applyBorder="1" applyAlignment="1">
      <alignment horizontal="center" vertical="center"/>
    </xf>
    <xf numFmtId="0" fontId="23" fillId="20" borderId="10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21" borderId="0" xfId="0" applyFill="1"/>
    <xf numFmtId="0" fontId="0" fillId="0" borderId="14" xfId="0" applyBorder="1"/>
    <xf numFmtId="0" fontId="4" fillId="0" borderId="10" xfId="0" applyFont="1" applyBorder="1"/>
    <xf numFmtId="0" fontId="0" fillId="0" borderId="10" xfId="0" applyBorder="1"/>
    <xf numFmtId="0" fontId="4" fillId="0" borderId="15" xfId="0" applyFont="1" applyBorder="1"/>
    <xf numFmtId="0" fontId="0" fillId="0" borderId="15" xfId="0" applyBorder="1"/>
    <xf numFmtId="0" fontId="4" fillId="0" borderId="16" xfId="0" applyFont="1" applyBorder="1"/>
    <xf numFmtId="0" fontId="0" fillId="0" borderId="16" xfId="0" applyBorder="1"/>
    <xf numFmtId="0" fontId="4" fillId="0" borderId="17" xfId="0" applyFont="1" applyBorder="1"/>
    <xf numFmtId="0" fontId="0" fillId="0" borderId="18" xfId="0" applyBorder="1"/>
    <xf numFmtId="0" fontId="4" fillId="0" borderId="10" xfId="0" applyFont="1" applyBorder="1" applyAlignment="1">
      <alignment horizontal="left"/>
    </xf>
    <xf numFmtId="0" fontId="0" fillId="0" borderId="17" xfId="0" applyBorder="1"/>
    <xf numFmtId="0" fontId="0" fillId="22" borderId="13" xfId="0" applyFill="1" applyBorder="1"/>
    <xf numFmtId="0" fontId="0" fillId="22" borderId="21" xfId="0" applyFill="1" applyBorder="1"/>
    <xf numFmtId="0" fontId="0" fillId="22" borderId="14" xfId="0" applyFill="1" applyBorder="1"/>
    <xf numFmtId="0" fontId="0" fillId="0" borderId="20" xfId="0" applyBorder="1"/>
    <xf numFmtId="0" fontId="0" fillId="0" borderId="22" xfId="0" applyBorder="1"/>
    <xf numFmtId="0" fontId="4" fillId="22" borderId="20" xfId="0" applyFont="1" applyFill="1" applyBorder="1"/>
    <xf numFmtId="0" fontId="0" fillId="22" borderId="0" xfId="0" applyFill="1"/>
    <xf numFmtId="0" fontId="4" fillId="22" borderId="0" xfId="0" applyFont="1" applyFill="1"/>
    <xf numFmtId="0" fontId="4" fillId="0" borderId="20" xfId="0" applyFont="1" applyBorder="1"/>
    <xf numFmtId="0" fontId="0" fillId="0" borderId="23" xfId="0" applyBorder="1"/>
    <xf numFmtId="0" fontId="0" fillId="0" borderId="24" xfId="0" applyBorder="1"/>
    <xf numFmtId="0" fontId="0" fillId="0" borderId="15" xfId="0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4" fillId="17" borderId="15" xfId="0" applyFont="1" applyFill="1" applyBorder="1" applyAlignment="1">
      <alignment horizontal="center" vertical="center" wrapText="1"/>
    </xf>
    <xf numFmtId="0" fontId="0" fillId="23" borderId="15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 wrapText="1"/>
    </xf>
    <xf numFmtId="0" fontId="0" fillId="23" borderId="16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4" fillId="17" borderId="10" xfId="0" applyFont="1" applyFill="1" applyBorder="1" applyAlignment="1">
      <alignment horizontal="center" vertical="center" wrapText="1"/>
    </xf>
    <xf numFmtId="0" fontId="0" fillId="23" borderId="10" xfId="0" applyFill="1" applyBorder="1" applyAlignment="1">
      <alignment horizontal="center" vertical="center" wrapText="1"/>
    </xf>
    <xf numFmtId="0" fontId="23" fillId="0" borderId="0" xfId="0" applyFont="1"/>
    <xf numFmtId="0" fontId="0" fillId="24" borderId="0" xfId="0" applyFill="1"/>
    <xf numFmtId="0" fontId="0" fillId="0" borderId="0" xfId="0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3" fillId="25" borderId="27" xfId="0" applyFont="1" applyFill="1" applyBorder="1" applyAlignment="1">
      <alignment wrapText="1"/>
    </xf>
    <xf numFmtId="2" fontId="23" fillId="25" borderId="29" xfId="0" applyNumberFormat="1" applyFont="1" applyFill="1" applyBorder="1" applyAlignment="1">
      <alignment horizontal="center" vertical="center" wrapText="1"/>
    </xf>
    <xf numFmtId="1" fontId="23" fillId="25" borderId="29" xfId="0" applyNumberFormat="1" applyFont="1" applyFill="1" applyBorder="1" applyAlignment="1">
      <alignment horizontal="center" vertical="center" wrapText="1"/>
    </xf>
    <xf numFmtId="0" fontId="24" fillId="24" borderId="0" xfId="0" applyFont="1" applyFill="1"/>
    <xf numFmtId="0" fontId="2" fillId="0" borderId="0" xfId="0" applyFont="1" applyAlignment="1">
      <alignment horizontal="left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23" fillId="27" borderId="0" xfId="0" applyFont="1" applyFill="1"/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23" fillId="20" borderId="27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/>
    </xf>
    <xf numFmtId="0" fontId="23" fillId="20" borderId="29" xfId="0" applyFont="1" applyFill="1" applyBorder="1" applyAlignment="1">
      <alignment horizontal="center" vertical="center" wrapText="1"/>
    </xf>
    <xf numFmtId="0" fontId="0" fillId="23" borderId="43" xfId="0" applyFill="1" applyBorder="1" applyAlignment="1">
      <alignment horizontal="center" vertical="center" wrapText="1"/>
    </xf>
    <xf numFmtId="0" fontId="0" fillId="23" borderId="32" xfId="0" applyFill="1" applyBorder="1" applyAlignment="1">
      <alignment horizontal="center" vertical="center" wrapText="1"/>
    </xf>
    <xf numFmtId="0" fontId="4" fillId="17" borderId="34" xfId="0" applyFont="1" applyFill="1" applyBorder="1" applyAlignment="1">
      <alignment horizontal="center" vertical="center" wrapText="1"/>
    </xf>
    <xf numFmtId="0" fontId="0" fillId="23" borderId="35" xfId="0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23" fillId="20" borderId="26" xfId="0" applyFont="1" applyFill="1" applyBorder="1" applyAlignment="1">
      <alignment horizontal="center" vertical="center" wrapText="1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23" fillId="20" borderId="29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2" xfId="0" applyBorder="1" applyProtection="1">
      <protection locked="0"/>
    </xf>
    <xf numFmtId="164" fontId="0" fillId="0" borderId="43" xfId="42" applyFont="1" applyBorder="1" applyProtection="1">
      <protection locked="0"/>
    </xf>
    <xf numFmtId="0" fontId="0" fillId="0" borderId="31" xfId="0" applyBorder="1" applyProtection="1">
      <protection locked="0"/>
    </xf>
    <xf numFmtId="164" fontId="0" fillId="0" borderId="32" xfId="42" applyFont="1" applyBorder="1" applyProtection="1">
      <protection locked="0"/>
    </xf>
    <xf numFmtId="0" fontId="0" fillId="0" borderId="33" xfId="0" applyBorder="1" applyProtection="1">
      <protection locked="0"/>
    </xf>
    <xf numFmtId="164" fontId="0" fillId="0" borderId="35" xfId="42" applyFont="1" applyBorder="1" applyProtection="1">
      <protection locked="0"/>
    </xf>
    <xf numFmtId="0" fontId="27" fillId="22" borderId="0" xfId="0" applyFont="1" applyFill="1" applyAlignment="1">
      <alignment horizontal="center" vertical="center"/>
    </xf>
    <xf numFmtId="0" fontId="0" fillId="20" borderId="42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43" xfId="0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5" xfId="0" applyBorder="1"/>
    <xf numFmtId="0" fontId="23" fillId="21" borderId="27" xfId="0" applyFont="1" applyFill="1" applyBorder="1" applyAlignment="1">
      <alignment horizontal="center" vertical="center" wrapText="1"/>
    </xf>
    <xf numFmtId="0" fontId="23" fillId="21" borderId="28" xfId="0" applyFont="1" applyFill="1" applyBorder="1" applyAlignment="1">
      <alignment horizontal="center" vertical="center" wrapText="1"/>
    </xf>
    <xf numFmtId="0" fontId="23" fillId="21" borderId="30" xfId="0" applyFont="1" applyFill="1" applyBorder="1" applyAlignment="1">
      <alignment horizontal="center" vertical="center" wrapText="1"/>
    </xf>
    <xf numFmtId="0" fontId="23" fillId="21" borderId="29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23" fillId="30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21" borderId="51" xfId="0" applyFont="1" applyFill="1" applyBorder="1" applyAlignment="1">
      <alignment horizontal="center" vertical="center" wrapText="1"/>
    </xf>
    <xf numFmtId="0" fontId="0" fillId="0" borderId="11" xfId="0" applyBorder="1" applyAlignment="1" applyProtection="1">
      <alignment horizontal="center" vertical="center"/>
      <protection locked="0"/>
    </xf>
    <xf numFmtId="0" fontId="30" fillId="0" borderId="0" xfId="0" applyFont="1"/>
    <xf numFmtId="0" fontId="0" fillId="31" borderId="0" xfId="0" applyFill="1"/>
    <xf numFmtId="0" fontId="0" fillId="0" borderId="0" xfId="0" applyAlignment="1">
      <alignment vertical="center" wrapText="1"/>
    </xf>
    <xf numFmtId="0" fontId="25" fillId="26" borderId="0" xfId="0" applyFont="1" applyFill="1" applyAlignment="1">
      <alignment textRotation="255"/>
    </xf>
    <xf numFmtId="0" fontId="23" fillId="0" borderId="43" xfId="0" applyFont="1" applyBorder="1" applyAlignment="1">
      <alignment horizontal="center" vertical="center"/>
    </xf>
    <xf numFmtId="0" fontId="23" fillId="2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9" fillId="29" borderId="44" xfId="0" applyFont="1" applyFill="1" applyBorder="1" applyAlignment="1">
      <alignment horizontal="center" vertical="center"/>
    </xf>
    <xf numFmtId="0" fontId="28" fillId="29" borderId="4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0" borderId="15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23" fillId="28" borderId="44" xfId="0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2" builtinId="4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0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9"/>
      <tableStyleElement type="headerRow" dxfId="2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B717"/>
      <color rgb="FFE8E446"/>
      <color rgb="FFFF4B4B"/>
      <color rgb="FFD7D31B"/>
      <color rgb="FF59D36D"/>
      <color rgb="FF57E943"/>
      <color rgb="FF9D988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914400</xdr:colOff>
      <xdr:row>0</xdr:row>
      <xdr:rowOff>38100</xdr:rowOff>
    </xdr:from>
    <xdr:to>
      <xdr:col>13</xdr:col>
      <xdr:colOff>31275</xdr:colOff>
      <xdr:row>0</xdr:row>
      <xdr:rowOff>542100</xdr:rowOff>
    </xdr:to>
    <xdr:sp macro="[0]!populate_calcutta" textlink="">
      <xdr:nvSpPr>
        <xdr:cNvPr id="2" name="Rectangle 1">
          <a:extLst>
            <a:ext uri="{FF2B5EF4-FFF2-40B4-BE49-F238E27FC236}">
              <a16:creationId xmlns:a16="http://schemas.microsoft.com/office/drawing/2014/main" id="{533BF270-0456-41D5-963F-BBAC9832F824}"/>
            </a:ext>
          </a:extLst>
        </xdr:cNvPr>
        <xdr:cNvSpPr>
          <a:spLocks noChangeAspect="1"/>
        </xdr:cNvSpPr>
      </xdr:nvSpPr>
      <xdr:spPr bwMode="auto">
        <a:xfrm>
          <a:off x="7058025" y="38100"/>
          <a:ext cx="1260000" cy="504000"/>
        </a:xfrm>
        <a:prstGeom prst="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85725</xdr:colOff>
      <xdr:row>0</xdr:row>
      <xdr:rowOff>28575</xdr:rowOff>
    </xdr:from>
    <xdr:to>
      <xdr:col>14</xdr:col>
      <xdr:colOff>736125</xdr:colOff>
      <xdr:row>0</xdr:row>
      <xdr:rowOff>532575</xdr:rowOff>
    </xdr:to>
    <xdr:sp macro="[0]!clear_calcutta" textlink="">
      <xdr:nvSpPr>
        <xdr:cNvPr id="3" name="Rectangle 2">
          <a:extLst>
            <a:ext uri="{FF2B5EF4-FFF2-40B4-BE49-F238E27FC236}">
              <a16:creationId xmlns:a16="http://schemas.microsoft.com/office/drawing/2014/main" id="{FF7601F3-B34A-4648-8BFB-9B3B9E6CF3AD}"/>
            </a:ext>
          </a:extLst>
        </xdr:cNvPr>
        <xdr:cNvSpPr>
          <a:spLocks noChangeAspect="1"/>
        </xdr:cNvSpPr>
      </xdr:nvSpPr>
      <xdr:spPr bwMode="auto">
        <a:xfrm>
          <a:off x="8372475" y="28575"/>
          <a:ext cx="1260000" cy="504000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CLEAR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47625</xdr:rowOff>
    </xdr:from>
    <xdr:to>
      <xdr:col>5</xdr:col>
      <xdr:colOff>2210353</xdr:colOff>
      <xdr:row>3</xdr:row>
      <xdr:rowOff>28640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9BF2B9-53D2-4D85-9B9C-B6E7E6094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7150" y="1638300"/>
          <a:ext cx="3962953" cy="46679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9526</xdr:rowOff>
    </xdr:from>
    <xdr:to>
      <xdr:col>5</xdr:col>
      <xdr:colOff>923925</xdr:colOff>
      <xdr:row>1</xdr:row>
      <xdr:rowOff>1051242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736157-D5B8-461F-93DE-D38C099E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8575" y="171451"/>
          <a:ext cx="2705100" cy="1041716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161925</xdr:rowOff>
    </xdr:from>
    <xdr:to>
      <xdr:col>5</xdr:col>
      <xdr:colOff>2115082</xdr:colOff>
      <xdr:row>3</xdr:row>
      <xdr:rowOff>495347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40D426-4A61-462B-8961-B9F68E90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4300" y="2238375"/>
          <a:ext cx="3810532" cy="33342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5</xdr:col>
      <xdr:colOff>2105574</xdr:colOff>
      <xdr:row>5</xdr:row>
      <xdr:rowOff>85782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977A2B-0BFB-482A-88E3-35546AEAF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90950" y="2771775"/>
          <a:ext cx="3934374" cy="409632"/>
        </a:xfrm>
        <a:prstGeom prst="rect">
          <a:avLst/>
        </a:prstGeom>
      </xdr:spPr>
    </xdr:pic>
    <xdr:clientData/>
  </xdr:twoCellAnchor>
  <xdr:twoCellAnchor>
    <xdr:from>
      <xdr:col>5</xdr:col>
      <xdr:colOff>2543175</xdr:colOff>
      <xdr:row>1</xdr:row>
      <xdr:rowOff>238125</xdr:rowOff>
    </xdr:from>
    <xdr:to>
      <xdr:col>7</xdr:col>
      <xdr:colOff>161925</xdr:colOff>
      <xdr:row>1</xdr:row>
      <xdr:rowOff>1152525</xdr:rowOff>
    </xdr:to>
    <xdr:sp macro="" textlink="">
      <xdr:nvSpPr>
        <xdr:cNvPr id="6" name="Cross 5">
          <a:extLst>
            <a:ext uri="{FF2B5EF4-FFF2-40B4-BE49-F238E27FC236}">
              <a16:creationId xmlns:a16="http://schemas.microsoft.com/office/drawing/2014/main" id="{E98A0E8D-32C7-49F9-B8B2-D4F83C758D2C}"/>
            </a:ext>
          </a:extLst>
        </xdr:cNvPr>
        <xdr:cNvSpPr/>
      </xdr:nvSpPr>
      <xdr:spPr bwMode="auto">
        <a:xfrm>
          <a:off x="8162925" y="400050"/>
          <a:ext cx="914400" cy="914400"/>
        </a:xfrm>
        <a:prstGeom prst="plus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687917</xdr:colOff>
      <xdr:row>0</xdr:row>
      <xdr:rowOff>0</xdr:rowOff>
    </xdr:from>
    <xdr:to>
      <xdr:col>4</xdr:col>
      <xdr:colOff>277752</xdr:colOff>
      <xdr:row>0</xdr:row>
      <xdr:rowOff>783167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1B2C57-A689-49DE-9B6D-C78260DA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584" y="0"/>
          <a:ext cx="1393536" cy="783167"/>
        </a:xfrm>
        <a:prstGeom prst="rect">
          <a:avLst/>
        </a:prstGeom>
      </xdr:spPr>
    </xdr:pic>
    <xdr:clientData/>
  </xdr:twoCellAnchor>
  <xdr:twoCellAnchor editAs="absolute">
    <xdr:from>
      <xdr:col>15</xdr:col>
      <xdr:colOff>248859</xdr:colOff>
      <xdr:row>0</xdr:row>
      <xdr:rowOff>147108</xdr:rowOff>
    </xdr:from>
    <xdr:to>
      <xdr:col>17</xdr:col>
      <xdr:colOff>344541</xdr:colOff>
      <xdr:row>0</xdr:row>
      <xdr:rowOff>651108</xdr:rowOff>
    </xdr:to>
    <xdr:sp macro="[0]!Display_Options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spect="1"/>
        </xdr:cNvSpPr>
      </xdr:nvSpPr>
      <xdr:spPr bwMode="auto">
        <a:xfrm>
          <a:off x="10263716" y="147108"/>
          <a:ext cx="1193325" cy="504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DISPLAY</a:t>
          </a:r>
        </a:p>
      </xdr:txBody>
    </xdr:sp>
    <xdr:clientData/>
  </xdr:twoCellAnchor>
  <xdr:twoCellAnchor editAs="absolute">
    <xdr:from>
      <xdr:col>0</xdr:col>
      <xdr:colOff>85725</xdr:colOff>
      <xdr:row>0</xdr:row>
      <xdr:rowOff>95250</xdr:rowOff>
    </xdr:from>
    <xdr:to>
      <xdr:col>1</xdr:col>
      <xdr:colOff>631350</xdr:colOff>
      <xdr:row>0</xdr:row>
      <xdr:rowOff>599250</xdr:rowOff>
    </xdr:to>
    <xdr:sp macro="[0]!Manage_Teams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spect="1"/>
        </xdr:cNvSpPr>
      </xdr:nvSpPr>
      <xdr:spPr bwMode="auto">
        <a:xfrm>
          <a:off x="85725" y="95250"/>
          <a:ext cx="1260000" cy="504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TEAMS &amp;</a:t>
          </a:r>
          <a:r>
            <a:rPr lang="en-US" sz="1600" b="1" baseline="0">
              <a:solidFill>
                <a:schemeClr val="bg1"/>
              </a:solidFill>
            </a:rPr>
            <a:t> WEIGH-IN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18</xdr:col>
      <xdr:colOff>129116</xdr:colOff>
      <xdr:row>0</xdr:row>
      <xdr:rowOff>133350</xdr:rowOff>
    </xdr:from>
    <xdr:to>
      <xdr:col>19</xdr:col>
      <xdr:colOff>489080</xdr:colOff>
      <xdr:row>0</xdr:row>
      <xdr:rowOff>637350</xdr:rowOff>
    </xdr:to>
    <xdr:sp macro="[0]!Make_new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 bwMode="auto">
        <a:xfrm>
          <a:off x="12068175" y="133350"/>
          <a:ext cx="1260000" cy="504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TOURNEY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497417</xdr:colOff>
      <xdr:row>0</xdr:row>
      <xdr:rowOff>136525</xdr:rowOff>
    </xdr:from>
    <xdr:to>
      <xdr:col>15</xdr:col>
      <xdr:colOff>11923</xdr:colOff>
      <xdr:row>0</xdr:row>
      <xdr:rowOff>640525</xdr:rowOff>
    </xdr:to>
    <xdr:sp macro="[0]!Print_Options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/>
        </xdr:cNvSpPr>
      </xdr:nvSpPr>
      <xdr:spPr bwMode="auto">
        <a:xfrm>
          <a:off x="8741834" y="136525"/>
          <a:ext cx="1286458" cy="504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28576</xdr:colOff>
      <xdr:row>0</xdr:row>
      <xdr:rowOff>47625</xdr:rowOff>
    </xdr:from>
    <xdr:to>
      <xdr:col>14</xdr:col>
      <xdr:colOff>508044</xdr:colOff>
      <xdr:row>0</xdr:row>
      <xdr:rowOff>523875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 bwMode="auto">
        <a:xfrm>
          <a:off x="8153401" y="47625"/>
          <a:ext cx="1089068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NEW</a:t>
          </a:r>
          <a:r>
            <a:rPr lang="en-US" sz="1600" b="1" baseline="0">
              <a:solidFill>
                <a:sysClr val="windowText" lastClr="000000"/>
              </a:solidFill>
            </a:rPr>
            <a:t>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28575</xdr:colOff>
      <xdr:row>1</xdr:row>
      <xdr:rowOff>38100</xdr:rowOff>
    </xdr:from>
    <xdr:to>
      <xdr:col>14</xdr:col>
      <xdr:colOff>526044</xdr:colOff>
      <xdr:row>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 bwMode="auto">
        <a:xfrm>
          <a:off x="8153400" y="590550"/>
          <a:ext cx="1107069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CLEAR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38100</xdr:colOff>
      <xdr:row>3</xdr:row>
      <xdr:rowOff>76200</xdr:rowOff>
    </xdr:from>
    <xdr:to>
      <xdr:col>14</xdr:col>
      <xdr:colOff>535569</xdr:colOff>
      <xdr:row>5</xdr:row>
      <xdr:rowOff>57150</xdr:rowOff>
    </xdr:to>
    <xdr:sp macro="[0]!Lock_Calcutta" textlink="">
      <xdr:nvSpPr>
        <xdr:cNvPr id="6" name="Rectangle 5">
          <a:extLst>
            <a:ext uri="{FF2B5EF4-FFF2-40B4-BE49-F238E27FC236}">
              <a16:creationId xmlns:a16="http://schemas.microsoft.com/office/drawing/2014/main" id="{D947CFF9-863B-4E2D-816E-7EB0F035427F}"/>
            </a:ext>
          </a:extLst>
        </xdr:cNvPr>
        <xdr:cNvSpPr>
          <a:spLocks noChangeAspect="1"/>
        </xdr:cNvSpPr>
      </xdr:nvSpPr>
      <xdr:spPr bwMode="auto">
        <a:xfrm>
          <a:off x="8162925" y="1123950"/>
          <a:ext cx="1107069" cy="476250"/>
        </a:xfrm>
        <a:prstGeom prst="rect">
          <a:avLst/>
        </a:prstGeom>
        <a:solidFill>
          <a:srgbClr val="FF4B4B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47625</xdr:colOff>
      <xdr:row>5</xdr:row>
      <xdr:rowOff>123825</xdr:rowOff>
    </xdr:from>
    <xdr:to>
      <xdr:col>14</xdr:col>
      <xdr:colOff>545094</xdr:colOff>
      <xdr:row>7</xdr:row>
      <xdr:rowOff>104775</xdr:rowOff>
    </xdr:to>
    <xdr:sp macro="[0]!Unlock_Calcutta" textlink="">
      <xdr:nvSpPr>
        <xdr:cNvPr id="7" name="Rectangle 6">
          <a:extLst>
            <a:ext uri="{FF2B5EF4-FFF2-40B4-BE49-F238E27FC236}">
              <a16:creationId xmlns:a16="http://schemas.microsoft.com/office/drawing/2014/main" id="{1CC2363F-5420-4738-9B4F-13F2956A44A1}"/>
            </a:ext>
          </a:extLst>
        </xdr:cNvPr>
        <xdr:cNvSpPr>
          <a:spLocks noChangeAspect="1"/>
        </xdr:cNvSpPr>
      </xdr:nvSpPr>
      <xdr:spPr bwMode="auto">
        <a:xfrm>
          <a:off x="8172450" y="1666875"/>
          <a:ext cx="1107069" cy="476250"/>
        </a:xfrm>
        <a:prstGeom prst="rect">
          <a:avLst/>
        </a:prstGeom>
        <a:solidFill>
          <a:srgbClr val="59D36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Unlock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31751</xdr:colOff>
      <xdr:row>1</xdr:row>
      <xdr:rowOff>2012</xdr:rowOff>
    </xdr:from>
    <xdr:to>
      <xdr:col>3</xdr:col>
      <xdr:colOff>324281</xdr:colOff>
      <xdr:row>9</xdr:row>
      <xdr:rowOff>74084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CFD959-8CD9-4128-86AA-638D6316E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84" y="160762"/>
          <a:ext cx="2388030" cy="134207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29</xdr:row>
      <xdr:rowOff>31750</xdr:rowOff>
    </xdr:from>
    <xdr:to>
      <xdr:col>3</xdr:col>
      <xdr:colOff>356030</xdr:colOff>
      <xdr:row>37</xdr:row>
      <xdr:rowOff>103822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CA99F17-D6C7-460B-AF8A-D22A9EE5C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33" y="4646083"/>
          <a:ext cx="2388030" cy="13420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5</xdr:col>
      <xdr:colOff>285750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846D75-DE62-441D-BBE4-439AA6B1B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333750" cy="1876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66675</xdr:rowOff>
    </xdr:from>
    <xdr:to>
      <xdr:col>12</xdr:col>
      <xdr:colOff>457200</xdr:colOff>
      <xdr:row>36</xdr:row>
      <xdr:rowOff>105537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AA915A-1F0E-436A-92A5-66302022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9775"/>
          <a:ext cx="7772400" cy="3925062"/>
        </a:xfrm>
        <a:prstGeom prst="rect">
          <a:avLst/>
        </a:prstGeom>
      </xdr:spPr>
    </xdr:pic>
    <xdr:clientData/>
  </xdr:twoCellAnchor>
  <xdr:twoCellAnchor editAs="oneCell">
    <xdr:from>
      <xdr:col>13</xdr:col>
      <xdr:colOff>357150</xdr:colOff>
      <xdr:row>3</xdr:row>
      <xdr:rowOff>157125</xdr:rowOff>
    </xdr:from>
    <xdr:to>
      <xdr:col>26</xdr:col>
      <xdr:colOff>204750</xdr:colOff>
      <xdr:row>30</xdr:row>
      <xdr:rowOff>153238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A6A24F6-2AAB-4709-BF7D-7C7DEC2BB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950" y="642900"/>
          <a:ext cx="7772400" cy="436808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N1:AG9" totalsRowShown="0" headerRowDxfId="21" dataDxfId="20">
  <tableColumns count="20">
    <tableColumn id="1" xr3:uid="{00000000-0010-0000-0000-000001000000}" name="Statistic" dataDxfId="19"/>
    <tableColumn id="2" xr3:uid="{00000000-0010-0000-0000-000002000000}" name="2016" dataDxfId="18"/>
    <tableColumn id="3" xr3:uid="{00000000-0010-0000-0000-000003000000}" name="2017" dataDxfId="17"/>
    <tableColumn id="4" xr3:uid="{00000000-0010-0000-0000-000004000000}" name="2018" dataDxfId="16"/>
    <tableColumn id="5" xr3:uid="{00000000-0010-0000-0000-000005000000}" name="2019" dataDxfId="15"/>
    <tableColumn id="6" xr3:uid="{00000000-0010-0000-0000-000006000000}" name="2020" dataDxfId="14"/>
    <tableColumn id="7" xr3:uid="{00000000-0010-0000-0000-000007000000}" name="2021" dataDxfId="13"/>
    <tableColumn id="8" xr3:uid="{00000000-0010-0000-0000-000008000000}" name="2022" dataDxfId="12"/>
    <tableColumn id="9" xr3:uid="{00000000-0010-0000-0000-000009000000}" name="2023" dataDxfId="11"/>
    <tableColumn id="10" xr3:uid="{00000000-0010-0000-0000-00000A000000}" name="2024" dataDxfId="10"/>
    <tableColumn id="11" xr3:uid="{00000000-0010-0000-0000-00000B000000}" name="2025" dataDxfId="9"/>
    <tableColumn id="12" xr3:uid="{00000000-0010-0000-0000-00000C000000}" name="2026" dataDxfId="8"/>
    <tableColumn id="13" xr3:uid="{00000000-0010-0000-0000-00000D000000}" name="2027" dataDxfId="7"/>
    <tableColumn id="14" xr3:uid="{00000000-0010-0000-0000-00000E000000}" name="2028" dataDxfId="6"/>
    <tableColumn id="15" xr3:uid="{00000000-0010-0000-0000-00000F000000}" name="2029" dataDxfId="5"/>
    <tableColumn id="16" xr3:uid="{00000000-0010-0000-0000-000010000000}" name="2030" dataDxfId="4"/>
    <tableColumn id="17" xr3:uid="{81125E99-F15A-463B-9A50-166E52797392}" name="2031" dataDxfId="3"/>
    <tableColumn id="18" xr3:uid="{1DD8B7E9-4145-4CB4-A9A1-7CF0269FD588}" name="2032" dataDxfId="2"/>
    <tableColumn id="19" xr3:uid="{F6BE74EF-E016-42A0-8919-D9234228E1C7}" name="2033" dataDxfId="1"/>
    <tableColumn id="20" xr3:uid="{CE80FE93-BCBC-4614-9A86-B46BC59CE986}" name="203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FF2B6-8F60-43D4-B329-72A1427E2317}">
  <sheetPr codeName="Sheet18">
    <tabColor rgb="FF7030A0"/>
  </sheetPr>
  <dimension ref="A1:R113"/>
  <sheetViews>
    <sheetView zoomScaleNormal="100" workbookViewId="0">
      <pane xSplit="18" ySplit="1" topLeftCell="S12" activePane="bottomRight" state="frozen"/>
      <selection pane="topRight" activeCell="S1" sqref="S1"/>
      <selection pane="bottomLeft" activeCell="A2" sqref="A2"/>
      <selection pane="bottomRight" activeCell="I33" sqref="I33"/>
    </sheetView>
  </sheetViews>
  <sheetFormatPr defaultRowHeight="12.75" x14ac:dyDescent="0.2"/>
  <cols>
    <col min="2" max="2" width="5.85546875" customWidth="1"/>
    <col min="3" max="3" width="6.7109375" customWidth="1"/>
    <col min="4" max="4" width="6.140625" customWidth="1"/>
    <col min="5" max="5" width="9.85546875" customWidth="1"/>
    <col min="7" max="7" width="9.7109375" customWidth="1"/>
    <col min="10" max="10" width="17.28515625" customWidth="1"/>
    <col min="11" max="11" width="13.85546875" customWidth="1"/>
    <col min="15" max="15" width="13" customWidth="1"/>
  </cols>
  <sheetData>
    <row r="1" spans="1:18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36" t="s">
        <v>276</v>
      </c>
      <c r="F1" s="136" t="s">
        <v>277</v>
      </c>
      <c r="G1" s="136" t="s">
        <v>278</v>
      </c>
      <c r="H1" s="136"/>
      <c r="I1" s="139" t="s">
        <v>169</v>
      </c>
      <c r="J1" s="136" t="s">
        <v>57</v>
      </c>
      <c r="K1" s="139" t="s">
        <v>58</v>
      </c>
      <c r="P1" s="166" t="s">
        <v>147</v>
      </c>
      <c r="Q1" s="166"/>
      <c r="R1" s="83">
        <f>'Control Page'!A2</f>
        <v>2022</v>
      </c>
    </row>
    <row r="2" spans="1:18" ht="20.100000000000001" customHeight="1" x14ac:dyDescent="0.2">
      <c r="A2" s="88">
        <v>1</v>
      </c>
      <c r="B2" s="89">
        <v>63</v>
      </c>
      <c r="C2" s="90">
        <v>33</v>
      </c>
      <c r="D2" s="91">
        <v>61</v>
      </c>
      <c r="E2" s="92">
        <f ca="1">_xlfn.IFNA(INDEX(INDIRECT("'"&amp;$R$1&amp;"'!"&amp;"$A$2:$N$77"),MATCH(B2,INDIRECT("'"&amp;$R$1&amp;"'!"&amp;"$B$2:$B$77"),0),13),"-")</f>
        <v>11.53</v>
      </c>
      <c r="F2" s="49">
        <f ca="1">_xlfn.IFNA(INDEX(INDIRECT("'"&amp;$R$1&amp;"'!"&amp;"$A$2:$N$77"),MATCH(C2,INDIRECT("'"&amp;$R$1&amp;"'!"&amp;"$B$2:$B$77"),0),13),"-")</f>
        <v>7.15</v>
      </c>
      <c r="G2" s="93">
        <f ca="1">_xlfn.IFNA(INDEX(INDIRECT("'"&amp;$R$1&amp;"'!"&amp;"$A$2:$N$77"),MATCH(D2,INDIRECT("'"&amp;$R$1&amp;"'!"&amp;"$B$2:$B$77"),0),13),"-")</f>
        <v>4.2300000000000004</v>
      </c>
      <c r="H2" s="128"/>
      <c r="I2" s="129">
        <f ca="1">IF(MAX(D2,F2,G2) &gt; 0,MAX(E2,F2,G2),"-")</f>
        <v>11.53</v>
      </c>
      <c r="J2" s="121"/>
      <c r="K2" s="122"/>
      <c r="M2" t="s">
        <v>332</v>
      </c>
    </row>
    <row r="3" spans="1:18" ht="20.100000000000001" customHeight="1" x14ac:dyDescent="0.2">
      <c r="A3" s="84">
        <v>2</v>
      </c>
      <c r="B3" s="77">
        <v>14</v>
      </c>
      <c r="C3" s="78">
        <v>75</v>
      </c>
      <c r="D3" s="79">
        <v>26</v>
      </c>
      <c r="E3" s="92">
        <f t="shared" ref="E3:G27" ca="1" si="0">_xlfn.IFNA(INDEX(INDIRECT("'"&amp;$R$1&amp;"'!"&amp;"$A$2:$N$77"),MATCH(B3,INDIRECT("'"&amp;$R$1&amp;"'!"&amp;"$B$2:$B$77"),0),13),"-")</f>
        <v>11.09</v>
      </c>
      <c r="F3" s="49">
        <f t="shared" ca="1" si="0"/>
        <v>4.75</v>
      </c>
      <c r="G3" s="93">
        <f t="shared" ca="1" si="0"/>
        <v>9.2799999999999994</v>
      </c>
      <c r="H3" s="86"/>
      <c r="I3" s="94">
        <f t="shared" ref="I3:I27" ca="1" si="1">IF(MAX(D3,F3,G3) &gt; 0,MAX(E3,F3,G3),"-")</f>
        <v>11.09</v>
      </c>
      <c r="J3" s="123"/>
      <c r="K3" s="124"/>
      <c r="M3" t="s">
        <v>373</v>
      </c>
    </row>
    <row r="4" spans="1:18" ht="20.100000000000001" customHeight="1" x14ac:dyDescent="0.2">
      <c r="A4" s="84">
        <v>3</v>
      </c>
      <c r="B4" s="77">
        <v>6</v>
      </c>
      <c r="C4" s="78">
        <v>24</v>
      </c>
      <c r="D4" s="79">
        <v>52</v>
      </c>
      <c r="E4" s="92">
        <f t="shared" ca="1" si="0"/>
        <v>10.18</v>
      </c>
      <c r="F4" s="49">
        <f t="shared" ca="1" si="0"/>
        <v>7.95</v>
      </c>
      <c r="G4" s="93">
        <f t="shared" ca="1" si="0"/>
        <v>9.5</v>
      </c>
      <c r="H4" s="86"/>
      <c r="I4" s="94">
        <f t="shared" ca="1" si="1"/>
        <v>10.18</v>
      </c>
      <c r="J4" s="123"/>
      <c r="K4" s="124"/>
    </row>
    <row r="5" spans="1:18" ht="20.100000000000001" customHeight="1" x14ac:dyDescent="0.2">
      <c r="A5" s="84">
        <v>4</v>
      </c>
      <c r="B5" s="77">
        <v>13</v>
      </c>
      <c r="C5" s="78">
        <v>71</v>
      </c>
      <c r="D5" s="79">
        <v>35</v>
      </c>
      <c r="E5" s="92">
        <f t="shared" ca="1" si="0"/>
        <v>5.46</v>
      </c>
      <c r="F5" s="49">
        <f t="shared" ca="1" si="0"/>
        <v>0</v>
      </c>
      <c r="G5" s="93">
        <f t="shared" ca="1" si="0"/>
        <v>6.95</v>
      </c>
      <c r="H5" s="86"/>
      <c r="I5" s="94">
        <f t="shared" ca="1" si="1"/>
        <v>6.95</v>
      </c>
      <c r="J5" s="123"/>
      <c r="K5" s="124"/>
    </row>
    <row r="6" spans="1:18" ht="20.100000000000001" customHeight="1" x14ac:dyDescent="0.2">
      <c r="A6" s="84">
        <v>5</v>
      </c>
      <c r="B6" s="77">
        <v>38</v>
      </c>
      <c r="C6" s="78">
        <v>80</v>
      </c>
      <c r="D6" s="79">
        <v>62</v>
      </c>
      <c r="E6" s="92">
        <f t="shared" ca="1" si="0"/>
        <v>8.98</v>
      </c>
      <c r="F6" s="49" t="str">
        <f t="shared" ca="1" si="0"/>
        <v>-</v>
      </c>
      <c r="G6" s="93">
        <f t="shared" ca="1" si="0"/>
        <v>6.74</v>
      </c>
      <c r="H6" s="86"/>
      <c r="I6" s="94">
        <f t="shared" ca="1" si="1"/>
        <v>8.98</v>
      </c>
      <c r="J6" s="123"/>
      <c r="K6" s="124"/>
      <c r="N6" s="6"/>
    </row>
    <row r="7" spans="1:18" ht="20.100000000000001" customHeight="1" x14ac:dyDescent="0.2">
      <c r="A7" s="84">
        <v>6</v>
      </c>
      <c r="B7" s="77">
        <v>58</v>
      </c>
      <c r="C7" s="78">
        <v>17</v>
      </c>
      <c r="D7" s="79">
        <v>53</v>
      </c>
      <c r="E7" s="92">
        <f t="shared" ca="1" si="0"/>
        <v>0</v>
      </c>
      <c r="F7" s="49">
        <f t="shared" ca="1" si="0"/>
        <v>8.67</v>
      </c>
      <c r="G7" s="93">
        <f t="shared" ca="1" si="0"/>
        <v>6.76</v>
      </c>
      <c r="H7" s="86"/>
      <c r="I7" s="94">
        <f t="shared" ca="1" si="1"/>
        <v>8.67</v>
      </c>
      <c r="J7" s="123"/>
      <c r="K7" s="124"/>
    </row>
    <row r="8" spans="1:18" ht="20.100000000000001" customHeight="1" x14ac:dyDescent="0.2">
      <c r="A8" s="84">
        <v>7</v>
      </c>
      <c r="B8" s="77">
        <v>79</v>
      </c>
      <c r="C8" s="78">
        <v>46</v>
      </c>
      <c r="D8" s="79">
        <v>31</v>
      </c>
      <c r="E8" s="92" t="str">
        <f t="shared" ca="1" si="0"/>
        <v>-</v>
      </c>
      <c r="F8" s="49">
        <f t="shared" ca="1" si="0"/>
        <v>9.9499999999999993</v>
      </c>
      <c r="G8" s="93">
        <f t="shared" ca="1" si="0"/>
        <v>9.3800000000000008</v>
      </c>
      <c r="H8" s="86"/>
      <c r="I8" s="94">
        <f t="shared" ca="1" si="1"/>
        <v>9.9499999999999993</v>
      </c>
      <c r="J8" s="123"/>
      <c r="K8" s="124"/>
    </row>
    <row r="9" spans="1:18" ht="20.100000000000001" customHeight="1" x14ac:dyDescent="0.2">
      <c r="A9" s="84">
        <v>8</v>
      </c>
      <c r="B9" s="77">
        <v>23</v>
      </c>
      <c r="C9" s="78">
        <v>20</v>
      </c>
      <c r="D9" s="79">
        <v>56</v>
      </c>
      <c r="E9" s="92">
        <f t="shared" ca="1" si="0"/>
        <v>8.66</v>
      </c>
      <c r="F9" s="49">
        <f t="shared" ca="1" si="0"/>
        <v>4.07</v>
      </c>
      <c r="G9" s="93">
        <f t="shared" ca="1" si="0"/>
        <v>4.05</v>
      </c>
      <c r="H9" s="86"/>
      <c r="I9" s="94">
        <f t="shared" ca="1" si="1"/>
        <v>8.66</v>
      </c>
      <c r="J9" s="123"/>
      <c r="K9" s="124"/>
    </row>
    <row r="10" spans="1:18" ht="20.100000000000001" customHeight="1" x14ac:dyDescent="0.2">
      <c r="A10" s="84">
        <v>9</v>
      </c>
      <c r="B10" s="77">
        <v>49</v>
      </c>
      <c r="C10" s="78">
        <v>15</v>
      </c>
      <c r="D10" s="79">
        <v>77</v>
      </c>
      <c r="E10" s="92">
        <f t="shared" ca="1" si="0"/>
        <v>4.12</v>
      </c>
      <c r="F10" s="49">
        <f t="shared" ca="1" si="0"/>
        <v>10.44</v>
      </c>
      <c r="G10" s="93" t="str">
        <f t="shared" ca="1" si="0"/>
        <v>-</v>
      </c>
      <c r="H10" s="86"/>
      <c r="I10" s="94">
        <f t="shared" ca="1" si="1"/>
        <v>10.44</v>
      </c>
      <c r="J10" s="123"/>
      <c r="K10" s="124"/>
    </row>
    <row r="11" spans="1:18" ht="20.100000000000001" customHeight="1" x14ac:dyDescent="0.2">
      <c r="A11" s="84">
        <v>10</v>
      </c>
      <c r="B11" s="77">
        <v>66</v>
      </c>
      <c r="C11" s="78">
        <v>8</v>
      </c>
      <c r="D11" s="79">
        <v>37</v>
      </c>
      <c r="E11" s="92">
        <f t="shared" ca="1" si="0"/>
        <v>6.66</v>
      </c>
      <c r="F11" s="49">
        <f t="shared" ca="1" si="0"/>
        <v>15.63</v>
      </c>
      <c r="G11" s="93">
        <f t="shared" ca="1" si="0"/>
        <v>0</v>
      </c>
      <c r="H11" s="86"/>
      <c r="I11" s="94">
        <f t="shared" ca="1" si="1"/>
        <v>15.63</v>
      </c>
      <c r="J11" s="123"/>
      <c r="K11" s="124"/>
    </row>
    <row r="12" spans="1:18" ht="20.100000000000001" customHeight="1" x14ac:dyDescent="0.2">
      <c r="A12" s="84">
        <v>11</v>
      </c>
      <c r="B12" s="77">
        <v>1</v>
      </c>
      <c r="C12" s="78">
        <v>43</v>
      </c>
      <c r="D12" s="79">
        <v>70</v>
      </c>
      <c r="E12" s="92">
        <f t="shared" ca="1" si="0"/>
        <v>1.98</v>
      </c>
      <c r="F12" s="49">
        <f t="shared" ca="1" si="0"/>
        <v>4.2</v>
      </c>
      <c r="G12" s="93">
        <f t="shared" ca="1" si="0"/>
        <v>4.0999999999999996</v>
      </c>
      <c r="H12" s="86"/>
      <c r="I12" s="94">
        <f t="shared" ca="1" si="1"/>
        <v>4.2</v>
      </c>
      <c r="J12" s="123"/>
      <c r="K12" s="124"/>
    </row>
    <row r="13" spans="1:18" ht="20.100000000000001" customHeight="1" x14ac:dyDescent="0.2">
      <c r="A13" s="84">
        <v>12</v>
      </c>
      <c r="B13" s="77">
        <v>50</v>
      </c>
      <c r="C13" s="78">
        <v>30</v>
      </c>
      <c r="D13" s="79">
        <v>44</v>
      </c>
      <c r="E13" s="92">
        <f t="shared" ca="1" si="0"/>
        <v>1.84</v>
      </c>
      <c r="F13" s="49">
        <f t="shared" ca="1" si="0"/>
        <v>7.42</v>
      </c>
      <c r="G13" s="93">
        <f t="shared" ca="1" si="0"/>
        <v>13.24</v>
      </c>
      <c r="H13" s="86"/>
      <c r="I13" s="94">
        <f t="shared" ca="1" si="1"/>
        <v>13.24</v>
      </c>
      <c r="J13" s="123"/>
      <c r="K13" s="124"/>
      <c r="M13" t="s">
        <v>273</v>
      </c>
    </row>
    <row r="14" spans="1:18" ht="20.100000000000001" customHeight="1" x14ac:dyDescent="0.2">
      <c r="A14" s="84">
        <v>13</v>
      </c>
      <c r="B14" s="77">
        <v>51</v>
      </c>
      <c r="C14" s="78">
        <v>76</v>
      </c>
      <c r="D14" s="79">
        <v>12</v>
      </c>
      <c r="E14" s="92">
        <f t="shared" ca="1" si="0"/>
        <v>11.02</v>
      </c>
      <c r="F14" s="49" t="str">
        <f t="shared" ca="1" si="0"/>
        <v>-</v>
      </c>
      <c r="G14" s="93">
        <f t="shared" ca="1" si="0"/>
        <v>9.68</v>
      </c>
      <c r="H14" s="86"/>
      <c r="I14" s="94">
        <f t="shared" ca="1" si="1"/>
        <v>11.02</v>
      </c>
      <c r="J14" s="123"/>
      <c r="K14" s="124"/>
      <c r="M14" t="s">
        <v>274</v>
      </c>
    </row>
    <row r="15" spans="1:18" ht="20.100000000000001" customHeight="1" x14ac:dyDescent="0.2">
      <c r="A15" s="84">
        <v>14</v>
      </c>
      <c r="B15" s="77">
        <v>25</v>
      </c>
      <c r="C15" s="78">
        <v>59</v>
      </c>
      <c r="D15" s="79">
        <v>21</v>
      </c>
      <c r="E15" s="92">
        <f t="shared" ca="1" si="0"/>
        <v>7.09</v>
      </c>
      <c r="F15" s="49">
        <f t="shared" ca="1" si="0"/>
        <v>4.41</v>
      </c>
      <c r="G15" s="93">
        <f t="shared" ca="1" si="0"/>
        <v>8.6300000000000008</v>
      </c>
      <c r="H15" s="86"/>
      <c r="I15" s="94">
        <f t="shared" ca="1" si="1"/>
        <v>8.6300000000000008</v>
      </c>
      <c r="J15" s="123"/>
      <c r="K15" s="124"/>
      <c r="M15" t="s">
        <v>275</v>
      </c>
    </row>
    <row r="16" spans="1:18" ht="20.100000000000001" customHeight="1" x14ac:dyDescent="0.2">
      <c r="A16" s="84">
        <v>15</v>
      </c>
      <c r="B16" s="77">
        <v>68</v>
      </c>
      <c r="C16" s="78">
        <v>73</v>
      </c>
      <c r="D16" s="79">
        <v>16</v>
      </c>
      <c r="E16" s="92">
        <f t="shared" ca="1" si="0"/>
        <v>7.86</v>
      </c>
      <c r="F16" s="49">
        <f t="shared" ca="1" si="0"/>
        <v>2.66</v>
      </c>
      <c r="G16" s="93">
        <f t="shared" ca="1" si="0"/>
        <v>9.0299999999999994</v>
      </c>
      <c r="H16" s="86"/>
      <c r="I16" s="94">
        <f t="shared" ca="1" si="1"/>
        <v>9.0299999999999994</v>
      </c>
      <c r="J16" s="123"/>
      <c r="K16" s="124"/>
    </row>
    <row r="17" spans="1:11" ht="20.100000000000001" customHeight="1" x14ac:dyDescent="0.2">
      <c r="A17" s="84">
        <v>16</v>
      </c>
      <c r="B17" s="77">
        <v>10</v>
      </c>
      <c r="C17" s="78">
        <v>64</v>
      </c>
      <c r="D17" s="79">
        <v>40</v>
      </c>
      <c r="E17" s="92">
        <f t="shared" ca="1" si="0"/>
        <v>18</v>
      </c>
      <c r="F17" s="49">
        <f t="shared" ca="1" si="0"/>
        <v>0</v>
      </c>
      <c r="G17" s="93">
        <f t="shared" ca="1" si="0"/>
        <v>4.0199999999999996</v>
      </c>
      <c r="H17" s="86"/>
      <c r="I17" s="94">
        <f t="shared" ca="1" si="1"/>
        <v>18</v>
      </c>
      <c r="J17" s="123"/>
      <c r="K17" s="124"/>
    </row>
    <row r="18" spans="1:11" ht="20.100000000000001" customHeight="1" x14ac:dyDescent="0.2">
      <c r="A18" s="84">
        <v>17</v>
      </c>
      <c r="B18" s="77">
        <v>48</v>
      </c>
      <c r="C18" s="78">
        <v>3</v>
      </c>
      <c r="D18" s="79">
        <v>28</v>
      </c>
      <c r="E18" s="92">
        <f t="shared" ca="1" si="0"/>
        <v>2.0299999999999998</v>
      </c>
      <c r="F18" s="49">
        <f t="shared" ca="1" si="0"/>
        <v>7.17</v>
      </c>
      <c r="G18" s="93">
        <f t="shared" ca="1" si="0"/>
        <v>11.32</v>
      </c>
      <c r="H18" s="86"/>
      <c r="I18" s="94">
        <f t="shared" ca="1" si="1"/>
        <v>11.32</v>
      </c>
      <c r="J18" s="123"/>
      <c r="K18" s="124"/>
    </row>
    <row r="19" spans="1:11" ht="20.100000000000001" customHeight="1" x14ac:dyDescent="0.2">
      <c r="A19" s="84">
        <v>18</v>
      </c>
      <c r="B19" s="77">
        <v>7</v>
      </c>
      <c r="C19" s="78">
        <v>67</v>
      </c>
      <c r="D19" s="79">
        <v>39</v>
      </c>
      <c r="E19" s="92">
        <f t="shared" ca="1" si="0"/>
        <v>8.18</v>
      </c>
      <c r="F19" s="49">
        <f t="shared" ca="1" si="0"/>
        <v>3.75</v>
      </c>
      <c r="G19" s="93">
        <f t="shared" ca="1" si="0"/>
        <v>10.84</v>
      </c>
      <c r="H19" s="86"/>
      <c r="I19" s="94">
        <f t="shared" ca="1" si="1"/>
        <v>10.84</v>
      </c>
      <c r="J19" s="123"/>
      <c r="K19" s="124"/>
    </row>
    <row r="20" spans="1:11" ht="20.100000000000001" customHeight="1" x14ac:dyDescent="0.2">
      <c r="A20" s="84">
        <v>19</v>
      </c>
      <c r="B20" s="77">
        <v>55</v>
      </c>
      <c r="C20" s="78">
        <v>36</v>
      </c>
      <c r="D20" s="79">
        <v>27</v>
      </c>
      <c r="E20" s="92">
        <f t="shared" ca="1" si="0"/>
        <v>11.74</v>
      </c>
      <c r="F20" s="49">
        <f t="shared" ca="1" si="0"/>
        <v>4.51</v>
      </c>
      <c r="G20" s="93">
        <f t="shared" ca="1" si="0"/>
        <v>5.57</v>
      </c>
      <c r="H20" s="86"/>
      <c r="I20" s="94">
        <f t="shared" ca="1" si="1"/>
        <v>11.74</v>
      </c>
      <c r="J20" s="123"/>
      <c r="K20" s="124"/>
    </row>
    <row r="21" spans="1:11" ht="20.100000000000001" customHeight="1" x14ac:dyDescent="0.2">
      <c r="A21" s="84">
        <v>20</v>
      </c>
      <c r="B21" s="77">
        <v>54</v>
      </c>
      <c r="C21" s="78">
        <v>4</v>
      </c>
      <c r="D21" s="79">
        <v>5</v>
      </c>
      <c r="E21" s="92">
        <f t="shared" ca="1" si="0"/>
        <v>0</v>
      </c>
      <c r="F21" s="49">
        <f t="shared" ca="1" si="0"/>
        <v>10.15</v>
      </c>
      <c r="G21" s="93">
        <f t="shared" ca="1" si="0"/>
        <v>8.69</v>
      </c>
      <c r="H21" s="86"/>
      <c r="I21" s="94">
        <f t="shared" ca="1" si="1"/>
        <v>10.15</v>
      </c>
      <c r="J21" s="123"/>
      <c r="K21" s="124"/>
    </row>
    <row r="22" spans="1:11" ht="20.100000000000001" customHeight="1" x14ac:dyDescent="0.2">
      <c r="A22" s="84">
        <v>21</v>
      </c>
      <c r="B22" s="77">
        <v>72</v>
      </c>
      <c r="C22" s="78">
        <v>41</v>
      </c>
      <c r="D22" s="79">
        <v>78</v>
      </c>
      <c r="E22" s="92">
        <f t="shared" ca="1" si="0"/>
        <v>9.35</v>
      </c>
      <c r="F22" s="49">
        <f t="shared" ca="1" si="0"/>
        <v>6.56</v>
      </c>
      <c r="G22" s="93" t="str">
        <f t="shared" ca="1" si="0"/>
        <v>-</v>
      </c>
      <c r="H22" s="86"/>
      <c r="I22" s="94">
        <f t="shared" ca="1" si="1"/>
        <v>9.35</v>
      </c>
      <c r="J22" s="123"/>
      <c r="K22" s="124"/>
    </row>
    <row r="23" spans="1:11" ht="20.100000000000001" customHeight="1" x14ac:dyDescent="0.2">
      <c r="A23" s="84">
        <v>22</v>
      </c>
      <c r="B23" s="77">
        <v>9</v>
      </c>
      <c r="C23" s="78">
        <v>60</v>
      </c>
      <c r="D23" s="79">
        <v>32</v>
      </c>
      <c r="E23" s="92">
        <f t="shared" ca="1" si="0"/>
        <v>9.9700000000000006</v>
      </c>
      <c r="F23" s="49">
        <f t="shared" ca="1" si="0"/>
        <v>8.68</v>
      </c>
      <c r="G23" s="93">
        <f t="shared" ca="1" si="0"/>
        <v>7.24</v>
      </c>
      <c r="H23" s="86"/>
      <c r="I23" s="94">
        <f t="shared" ca="1" si="1"/>
        <v>9.9700000000000006</v>
      </c>
      <c r="J23" s="123"/>
      <c r="K23" s="124"/>
    </row>
    <row r="24" spans="1:11" ht="20.100000000000001" customHeight="1" x14ac:dyDescent="0.2">
      <c r="A24" s="84">
        <v>23</v>
      </c>
      <c r="B24" s="77">
        <v>69</v>
      </c>
      <c r="C24" s="78">
        <v>45</v>
      </c>
      <c r="D24" s="79">
        <v>11</v>
      </c>
      <c r="E24" s="92">
        <f t="shared" ca="1" si="0"/>
        <v>7.29</v>
      </c>
      <c r="F24" s="49">
        <f t="shared" ca="1" si="0"/>
        <v>10.53</v>
      </c>
      <c r="G24" s="93">
        <f t="shared" ca="1" si="0"/>
        <v>0</v>
      </c>
      <c r="H24" s="86"/>
      <c r="I24" s="94">
        <f t="shared" ca="1" si="1"/>
        <v>10.53</v>
      </c>
      <c r="J24" s="123"/>
      <c r="K24" s="124"/>
    </row>
    <row r="25" spans="1:11" ht="20.100000000000001" customHeight="1" x14ac:dyDescent="0.2">
      <c r="A25" s="84">
        <v>24</v>
      </c>
      <c r="B25" s="77">
        <v>22</v>
      </c>
      <c r="C25" s="78">
        <v>47</v>
      </c>
      <c r="D25" s="79">
        <v>18</v>
      </c>
      <c r="E25" s="92">
        <f t="shared" ca="1" si="0"/>
        <v>13.01</v>
      </c>
      <c r="F25" s="49">
        <f t="shared" ca="1" si="0"/>
        <v>0</v>
      </c>
      <c r="G25" s="93">
        <f t="shared" ca="1" si="0"/>
        <v>11.31</v>
      </c>
      <c r="H25" s="86"/>
      <c r="I25" s="94">
        <f t="shared" ca="1" si="1"/>
        <v>13.01</v>
      </c>
      <c r="J25" s="123"/>
      <c r="K25" s="124"/>
    </row>
    <row r="26" spans="1:11" ht="20.100000000000001" customHeight="1" x14ac:dyDescent="0.2">
      <c r="A26" s="84">
        <v>25</v>
      </c>
      <c r="B26" s="77">
        <v>34</v>
      </c>
      <c r="C26" s="78">
        <v>57</v>
      </c>
      <c r="D26" s="79">
        <v>65</v>
      </c>
      <c r="E26" s="92">
        <f t="shared" ca="1" si="0"/>
        <v>12.12</v>
      </c>
      <c r="F26" s="49">
        <f t="shared" ca="1" si="0"/>
        <v>2.4500000000000002</v>
      </c>
      <c r="G26" s="93">
        <f t="shared" ca="1" si="0"/>
        <v>0</v>
      </c>
      <c r="H26" s="86"/>
      <c r="I26" s="94">
        <f t="shared" ca="1" si="1"/>
        <v>12.12</v>
      </c>
      <c r="J26" s="123"/>
      <c r="K26" s="124"/>
    </row>
    <row r="27" spans="1:11" ht="20.100000000000001" customHeight="1" thickBot="1" x14ac:dyDescent="0.25">
      <c r="A27" s="85">
        <v>26</v>
      </c>
      <c r="B27" s="80">
        <v>29</v>
      </c>
      <c r="C27" s="81">
        <v>19</v>
      </c>
      <c r="D27" s="82">
        <v>42</v>
      </c>
      <c r="E27" s="92">
        <f t="shared" ca="1" si="0"/>
        <v>4.57</v>
      </c>
      <c r="F27" s="49">
        <f t="shared" ca="1" si="0"/>
        <v>8.6</v>
      </c>
      <c r="G27" s="93">
        <f t="shared" ca="1" si="0"/>
        <v>4.41</v>
      </c>
      <c r="H27" s="87"/>
      <c r="I27" s="95">
        <f t="shared" ca="1" si="1"/>
        <v>8.6</v>
      </c>
      <c r="J27" s="125"/>
      <c r="K27" s="126"/>
    </row>
    <row r="28" spans="1:11" x14ac:dyDescent="0.2">
      <c r="A28" s="158">
        <v>27</v>
      </c>
      <c r="B28" s="68"/>
      <c r="C28" s="68"/>
      <c r="D28" s="68"/>
      <c r="E28" s="68"/>
      <c r="F28" s="68"/>
      <c r="G28" s="68"/>
      <c r="H28" s="68"/>
    </row>
    <row r="29" spans="1:11" x14ac:dyDescent="0.2">
      <c r="B29" s="68"/>
      <c r="C29" s="68"/>
      <c r="D29" s="68"/>
      <c r="E29" s="68"/>
      <c r="F29" s="68"/>
      <c r="G29" s="68"/>
      <c r="H29" s="68"/>
    </row>
    <row r="30" spans="1:11" x14ac:dyDescent="0.2">
      <c r="B30" s="68"/>
      <c r="C30" s="68"/>
      <c r="D30" s="68"/>
      <c r="E30" s="68"/>
      <c r="F30" s="68"/>
      <c r="G30" s="68"/>
      <c r="H30" s="68"/>
    </row>
    <row r="31" spans="1:11" x14ac:dyDescent="0.2">
      <c r="B31" s="68"/>
      <c r="C31" s="68"/>
      <c r="D31" s="68"/>
      <c r="E31" s="68"/>
      <c r="F31" s="68"/>
      <c r="G31" s="68"/>
      <c r="H31" s="68"/>
    </row>
    <row r="32" spans="1:11" x14ac:dyDescent="0.2">
      <c r="B32" s="68"/>
      <c r="C32" s="68"/>
      <c r="D32" s="68"/>
      <c r="E32" s="68"/>
      <c r="F32" s="68"/>
      <c r="G32" s="68"/>
      <c r="H32" s="68"/>
    </row>
    <row r="33" spans="2:8" x14ac:dyDescent="0.2">
      <c r="B33" s="68"/>
      <c r="C33" s="68"/>
      <c r="D33" s="68"/>
      <c r="E33" s="68"/>
      <c r="F33" s="68"/>
      <c r="G33" s="68"/>
      <c r="H33" s="68"/>
    </row>
    <row r="34" spans="2:8" x14ac:dyDescent="0.2">
      <c r="B34" s="68"/>
      <c r="C34" s="68"/>
      <c r="D34" s="68"/>
      <c r="E34" s="68"/>
      <c r="F34" s="68"/>
      <c r="G34" s="68"/>
      <c r="H34" s="68"/>
    </row>
    <row r="35" spans="2:8" x14ac:dyDescent="0.2">
      <c r="B35" s="68"/>
      <c r="C35" s="68"/>
      <c r="D35" s="68"/>
      <c r="E35" s="68"/>
      <c r="F35" s="68"/>
      <c r="G35" s="68"/>
      <c r="H35" s="68"/>
    </row>
    <row r="36" spans="2:8" x14ac:dyDescent="0.2">
      <c r="B36" s="68"/>
      <c r="C36" s="68"/>
      <c r="D36" s="68"/>
      <c r="E36" s="68"/>
      <c r="F36" s="68"/>
      <c r="G36" s="68"/>
      <c r="H36" s="68"/>
    </row>
    <row r="37" spans="2:8" x14ac:dyDescent="0.2">
      <c r="B37" s="68"/>
      <c r="C37" s="68"/>
      <c r="D37" s="68"/>
      <c r="E37" s="68"/>
      <c r="F37" s="68"/>
      <c r="G37" s="68"/>
      <c r="H37" s="68"/>
    </row>
    <row r="38" spans="2:8" x14ac:dyDescent="0.2">
      <c r="B38" s="68"/>
      <c r="C38" s="68"/>
      <c r="D38" s="68"/>
      <c r="E38" s="68"/>
      <c r="F38" s="68"/>
      <c r="G38" s="68"/>
      <c r="H38" s="68"/>
    </row>
    <row r="39" spans="2:8" x14ac:dyDescent="0.2">
      <c r="B39" s="68"/>
      <c r="C39" s="68"/>
      <c r="D39" s="68"/>
      <c r="E39" s="68"/>
      <c r="F39" s="68"/>
      <c r="G39" s="68"/>
      <c r="H39" s="68"/>
    </row>
    <row r="40" spans="2:8" x14ac:dyDescent="0.2">
      <c r="B40" s="68"/>
      <c r="C40" s="68"/>
      <c r="D40" s="68"/>
      <c r="E40" s="68"/>
      <c r="F40" s="68"/>
      <c r="G40" s="68"/>
      <c r="H40" s="68"/>
    </row>
    <row r="41" spans="2:8" x14ac:dyDescent="0.2">
      <c r="B41" s="68"/>
      <c r="C41" s="68"/>
      <c r="D41" s="68"/>
      <c r="E41" s="68"/>
      <c r="F41" s="68"/>
      <c r="G41" s="68"/>
      <c r="H41" s="68"/>
    </row>
    <row r="42" spans="2:8" x14ac:dyDescent="0.2">
      <c r="B42" s="68"/>
      <c r="C42" s="68"/>
      <c r="D42" s="68"/>
      <c r="E42" s="68"/>
      <c r="F42" s="68"/>
      <c r="G42" s="68"/>
      <c r="H42" s="68"/>
    </row>
    <row r="43" spans="2:8" x14ac:dyDescent="0.2">
      <c r="B43" s="68"/>
      <c r="C43" s="68"/>
      <c r="D43" s="68"/>
      <c r="E43" s="68"/>
      <c r="F43" s="68"/>
      <c r="G43" s="68"/>
      <c r="H43" s="68"/>
    </row>
    <row r="44" spans="2:8" x14ac:dyDescent="0.2">
      <c r="B44" s="68"/>
      <c r="C44" s="68"/>
      <c r="D44" s="68"/>
      <c r="E44" s="68"/>
      <c r="F44" s="68"/>
      <c r="G44" s="68"/>
      <c r="H44" s="68"/>
    </row>
    <row r="45" spans="2:8" x14ac:dyDescent="0.2">
      <c r="B45" s="68"/>
      <c r="C45" s="68"/>
      <c r="D45" s="68"/>
      <c r="E45" s="68"/>
      <c r="F45" s="68"/>
      <c r="G45" s="68"/>
      <c r="H45" s="68"/>
    </row>
    <row r="46" spans="2:8" x14ac:dyDescent="0.2">
      <c r="B46" s="68"/>
      <c r="C46" s="68"/>
      <c r="D46" s="68"/>
      <c r="E46" s="68"/>
      <c r="F46" s="68"/>
      <c r="G46" s="68"/>
      <c r="H46" s="68"/>
    </row>
    <row r="47" spans="2:8" x14ac:dyDescent="0.2">
      <c r="B47" s="68"/>
      <c r="C47" s="68"/>
      <c r="D47" s="68"/>
      <c r="E47" s="68"/>
      <c r="F47" s="68"/>
      <c r="G47" s="68"/>
      <c r="H47" s="68"/>
    </row>
    <row r="48" spans="2:8" x14ac:dyDescent="0.2">
      <c r="B48" s="68"/>
      <c r="C48" s="68"/>
      <c r="D48" s="68"/>
      <c r="E48" s="68"/>
      <c r="F48" s="68"/>
      <c r="G48" s="68"/>
      <c r="H48" s="68"/>
    </row>
    <row r="49" spans="2:8" x14ac:dyDescent="0.2">
      <c r="B49" s="68"/>
      <c r="C49" s="68"/>
      <c r="D49" s="68"/>
      <c r="E49" s="68"/>
      <c r="F49" s="68"/>
      <c r="G49" s="68"/>
      <c r="H49" s="68"/>
    </row>
    <row r="50" spans="2:8" x14ac:dyDescent="0.2">
      <c r="B50" s="68"/>
      <c r="C50" s="68"/>
      <c r="D50" s="68"/>
      <c r="E50" s="68"/>
      <c r="F50" s="68"/>
      <c r="G50" s="68"/>
      <c r="H50" s="68"/>
    </row>
    <row r="51" spans="2:8" x14ac:dyDescent="0.2">
      <c r="B51" s="68"/>
      <c r="C51" s="68"/>
      <c r="D51" s="68"/>
      <c r="E51" s="68"/>
      <c r="F51" s="68"/>
      <c r="G51" s="68"/>
      <c r="H51" s="68"/>
    </row>
    <row r="52" spans="2:8" x14ac:dyDescent="0.2">
      <c r="B52" s="68"/>
      <c r="C52" s="68"/>
      <c r="D52" s="68"/>
      <c r="E52" s="68"/>
      <c r="F52" s="68"/>
      <c r="G52" s="68"/>
      <c r="H52" s="68"/>
    </row>
    <row r="53" spans="2:8" x14ac:dyDescent="0.2">
      <c r="B53" s="68"/>
      <c r="C53" s="68"/>
      <c r="D53" s="68"/>
      <c r="E53" s="68"/>
      <c r="F53" s="68"/>
      <c r="G53" s="68"/>
      <c r="H53" s="68"/>
    </row>
    <row r="54" spans="2:8" x14ac:dyDescent="0.2">
      <c r="B54" s="68"/>
      <c r="C54" s="68"/>
      <c r="D54" s="68"/>
      <c r="E54" s="68"/>
      <c r="F54" s="68"/>
      <c r="G54" s="68"/>
      <c r="H54" s="68"/>
    </row>
    <row r="55" spans="2:8" x14ac:dyDescent="0.2">
      <c r="B55" s="68"/>
      <c r="C55" s="68"/>
      <c r="D55" s="68"/>
      <c r="E55" s="68"/>
      <c r="F55" s="68"/>
      <c r="G55" s="68"/>
      <c r="H55" s="68"/>
    </row>
    <row r="56" spans="2:8" x14ac:dyDescent="0.2">
      <c r="B56" s="68"/>
      <c r="C56" s="68"/>
      <c r="D56" s="68"/>
      <c r="E56" s="68"/>
      <c r="F56" s="68"/>
      <c r="G56" s="68"/>
      <c r="H56" s="68"/>
    </row>
    <row r="57" spans="2:8" x14ac:dyDescent="0.2">
      <c r="B57" s="68"/>
      <c r="C57" s="68"/>
      <c r="D57" s="68"/>
      <c r="E57" s="68"/>
      <c r="F57" s="68"/>
      <c r="G57" s="68"/>
      <c r="H57" s="68"/>
    </row>
    <row r="58" spans="2:8" x14ac:dyDescent="0.2">
      <c r="B58" s="68"/>
      <c r="C58" s="68"/>
      <c r="D58" s="68"/>
      <c r="E58" s="68"/>
      <c r="F58" s="68"/>
      <c r="G58" s="68"/>
      <c r="H58" s="68"/>
    </row>
    <row r="59" spans="2:8" x14ac:dyDescent="0.2">
      <c r="B59" s="68"/>
      <c r="C59" s="68"/>
      <c r="D59" s="68"/>
      <c r="E59" s="68"/>
      <c r="F59" s="68"/>
      <c r="G59" s="68"/>
      <c r="H59" s="68"/>
    </row>
    <row r="60" spans="2:8" x14ac:dyDescent="0.2">
      <c r="B60" s="68"/>
      <c r="C60" s="68"/>
      <c r="D60" s="68"/>
      <c r="E60" s="68"/>
      <c r="F60" s="68"/>
      <c r="G60" s="68"/>
      <c r="H60" s="68"/>
    </row>
    <row r="61" spans="2:8" x14ac:dyDescent="0.2">
      <c r="B61" s="68"/>
      <c r="C61" s="68"/>
      <c r="D61" s="68"/>
      <c r="E61" s="68"/>
      <c r="F61" s="68"/>
      <c r="G61" s="68"/>
      <c r="H61" s="68"/>
    </row>
    <row r="62" spans="2:8" x14ac:dyDescent="0.2">
      <c r="B62" s="68"/>
      <c r="C62" s="68"/>
      <c r="D62" s="68"/>
      <c r="E62" s="68"/>
      <c r="F62" s="68"/>
      <c r="G62" s="68"/>
      <c r="H62" s="68"/>
    </row>
    <row r="63" spans="2:8" x14ac:dyDescent="0.2">
      <c r="B63" s="68"/>
      <c r="C63" s="68"/>
      <c r="D63" s="68"/>
      <c r="E63" s="68"/>
      <c r="F63" s="68"/>
      <c r="G63" s="68"/>
      <c r="H63" s="68"/>
    </row>
    <row r="64" spans="2:8" x14ac:dyDescent="0.2">
      <c r="B64" s="68"/>
      <c r="C64" s="68"/>
      <c r="D64" s="68"/>
      <c r="E64" s="68"/>
      <c r="F64" s="68"/>
      <c r="G64" s="68"/>
      <c r="H64" s="68"/>
    </row>
    <row r="65" spans="2:8" x14ac:dyDescent="0.2">
      <c r="B65" s="68"/>
      <c r="C65" s="68"/>
      <c r="D65" s="68"/>
      <c r="E65" s="68"/>
      <c r="F65" s="68"/>
      <c r="G65" s="68"/>
      <c r="H65" s="68"/>
    </row>
    <row r="66" spans="2:8" x14ac:dyDescent="0.2">
      <c r="B66" s="68"/>
      <c r="C66" s="68"/>
      <c r="D66" s="68"/>
      <c r="E66" s="68"/>
      <c r="F66" s="68"/>
      <c r="G66" s="68"/>
      <c r="H66" s="68"/>
    </row>
    <row r="67" spans="2:8" x14ac:dyDescent="0.2">
      <c r="B67" s="68"/>
      <c r="C67" s="68"/>
      <c r="D67" s="68"/>
      <c r="E67" s="68"/>
      <c r="F67" s="68"/>
      <c r="G67" s="68"/>
      <c r="H67" s="68"/>
    </row>
    <row r="68" spans="2:8" x14ac:dyDescent="0.2">
      <c r="B68" s="68"/>
      <c r="C68" s="68"/>
      <c r="D68" s="68"/>
      <c r="E68" s="68"/>
      <c r="F68" s="68"/>
      <c r="G68" s="68"/>
      <c r="H68" s="68"/>
    </row>
    <row r="69" spans="2:8" x14ac:dyDescent="0.2">
      <c r="B69" s="68"/>
      <c r="C69" s="68"/>
      <c r="D69" s="68"/>
      <c r="E69" s="68"/>
      <c r="F69" s="68"/>
      <c r="G69" s="68"/>
      <c r="H69" s="68"/>
    </row>
    <row r="70" spans="2:8" x14ac:dyDescent="0.2">
      <c r="B70" s="68"/>
      <c r="C70" s="68"/>
      <c r="D70" s="68"/>
      <c r="E70" s="68"/>
      <c r="F70" s="68"/>
      <c r="G70" s="68"/>
      <c r="H70" s="68"/>
    </row>
    <row r="71" spans="2:8" x14ac:dyDescent="0.2">
      <c r="B71" s="68"/>
      <c r="C71" s="68"/>
      <c r="D71" s="68"/>
      <c r="E71" s="68"/>
      <c r="F71" s="68"/>
      <c r="G71" s="68"/>
      <c r="H71" s="68"/>
    </row>
    <row r="72" spans="2:8" x14ac:dyDescent="0.2">
      <c r="B72" s="68"/>
      <c r="C72" s="68"/>
      <c r="D72" s="68"/>
      <c r="E72" s="68"/>
      <c r="F72" s="68"/>
      <c r="G72" s="68"/>
      <c r="H72" s="68"/>
    </row>
    <row r="73" spans="2:8" x14ac:dyDescent="0.2">
      <c r="B73" s="68"/>
      <c r="C73" s="68"/>
      <c r="D73" s="68"/>
      <c r="E73" s="68"/>
      <c r="F73" s="68"/>
      <c r="G73" s="68"/>
      <c r="H73" s="68"/>
    </row>
    <row r="74" spans="2:8" x14ac:dyDescent="0.2">
      <c r="B74" s="68"/>
      <c r="C74" s="68"/>
      <c r="D74" s="68"/>
      <c r="E74" s="68"/>
      <c r="F74" s="68"/>
      <c r="G74" s="68"/>
      <c r="H74" s="68"/>
    </row>
    <row r="75" spans="2:8" x14ac:dyDescent="0.2">
      <c r="B75" s="68"/>
      <c r="C75" s="68"/>
      <c r="D75" s="68"/>
      <c r="E75" s="68"/>
      <c r="F75" s="68"/>
      <c r="G75" s="68"/>
      <c r="H75" s="68"/>
    </row>
    <row r="76" spans="2:8" x14ac:dyDescent="0.2">
      <c r="B76" s="68"/>
      <c r="C76" s="68"/>
      <c r="D76" s="68"/>
      <c r="E76" s="68"/>
      <c r="F76" s="68"/>
      <c r="G76" s="68"/>
      <c r="H76" s="68"/>
    </row>
    <row r="77" spans="2:8" x14ac:dyDescent="0.2">
      <c r="B77" s="68"/>
      <c r="C77" s="68"/>
      <c r="D77" s="68"/>
      <c r="E77" s="68"/>
      <c r="F77" s="68"/>
      <c r="G77" s="68"/>
      <c r="H77" s="68"/>
    </row>
    <row r="78" spans="2:8" x14ac:dyDescent="0.2">
      <c r="B78" s="68"/>
      <c r="C78" s="68"/>
      <c r="D78" s="68"/>
      <c r="E78" s="68"/>
      <c r="F78" s="68"/>
      <c r="G78" s="68"/>
      <c r="H78" s="68"/>
    </row>
    <row r="79" spans="2:8" x14ac:dyDescent="0.2">
      <c r="B79" s="68"/>
      <c r="C79" s="68"/>
      <c r="D79" s="68"/>
      <c r="E79" s="68"/>
      <c r="F79" s="68"/>
      <c r="G79" s="68"/>
      <c r="H79" s="68"/>
    </row>
    <row r="80" spans="2:8" x14ac:dyDescent="0.2">
      <c r="B80" s="68"/>
      <c r="C80" s="68"/>
      <c r="D80" s="68"/>
      <c r="E80" s="68"/>
      <c r="F80" s="68"/>
      <c r="G80" s="68"/>
      <c r="H80" s="68"/>
    </row>
    <row r="81" spans="2:8" x14ac:dyDescent="0.2">
      <c r="B81" s="68"/>
      <c r="C81" s="68"/>
      <c r="D81" s="68"/>
      <c r="E81" s="68"/>
      <c r="F81" s="68"/>
      <c r="G81" s="68"/>
      <c r="H81" s="68"/>
    </row>
    <row r="82" spans="2:8" x14ac:dyDescent="0.2">
      <c r="B82" s="68"/>
      <c r="C82" s="68"/>
      <c r="D82" s="68"/>
      <c r="E82" s="68"/>
      <c r="F82" s="68"/>
      <c r="G82" s="68"/>
      <c r="H82" s="68"/>
    </row>
    <row r="83" spans="2:8" x14ac:dyDescent="0.2">
      <c r="B83" s="68"/>
      <c r="C83" s="68"/>
      <c r="D83" s="68"/>
      <c r="E83" s="68"/>
      <c r="F83" s="68"/>
      <c r="G83" s="68"/>
      <c r="H83" s="68"/>
    </row>
    <row r="84" spans="2:8" x14ac:dyDescent="0.2">
      <c r="B84" s="68"/>
      <c r="C84" s="68"/>
      <c r="D84" s="68"/>
      <c r="E84" s="68"/>
      <c r="F84" s="68"/>
      <c r="G84" s="68"/>
      <c r="H84" s="68"/>
    </row>
    <row r="85" spans="2:8" x14ac:dyDescent="0.2">
      <c r="B85" s="68"/>
      <c r="C85" s="68"/>
      <c r="D85" s="68"/>
      <c r="E85" s="68"/>
      <c r="F85" s="68"/>
      <c r="G85" s="68"/>
      <c r="H85" s="68"/>
    </row>
    <row r="86" spans="2:8" x14ac:dyDescent="0.2">
      <c r="B86" s="68"/>
      <c r="C86" s="68"/>
      <c r="D86" s="68"/>
      <c r="E86" s="68"/>
      <c r="F86" s="68"/>
      <c r="G86" s="68"/>
      <c r="H86" s="68"/>
    </row>
    <row r="87" spans="2:8" x14ac:dyDescent="0.2">
      <c r="B87" s="68"/>
      <c r="C87" s="68"/>
      <c r="D87" s="68"/>
      <c r="E87" s="68"/>
      <c r="F87" s="68"/>
      <c r="G87" s="68"/>
      <c r="H87" s="68"/>
    </row>
    <row r="88" spans="2:8" x14ac:dyDescent="0.2">
      <c r="B88" s="68"/>
      <c r="C88" s="68"/>
      <c r="D88" s="68"/>
      <c r="E88" s="68"/>
      <c r="F88" s="68"/>
      <c r="G88" s="68"/>
      <c r="H88" s="68"/>
    </row>
    <row r="89" spans="2:8" x14ac:dyDescent="0.2">
      <c r="B89" s="68"/>
      <c r="C89" s="68"/>
      <c r="D89" s="68"/>
      <c r="E89" s="68"/>
      <c r="F89" s="68"/>
      <c r="G89" s="68"/>
      <c r="H89" s="68"/>
    </row>
    <row r="90" spans="2:8" x14ac:dyDescent="0.2">
      <c r="B90" s="68"/>
      <c r="C90" s="68"/>
      <c r="D90" s="68"/>
      <c r="E90" s="68"/>
      <c r="F90" s="68"/>
      <c r="G90" s="68"/>
      <c r="H90" s="68"/>
    </row>
    <row r="91" spans="2:8" x14ac:dyDescent="0.2">
      <c r="B91" s="68"/>
      <c r="C91" s="68"/>
      <c r="D91" s="68"/>
      <c r="E91" s="68"/>
      <c r="F91" s="68"/>
      <c r="G91" s="68"/>
      <c r="H91" s="68"/>
    </row>
    <row r="92" spans="2:8" x14ac:dyDescent="0.2">
      <c r="B92" s="68"/>
      <c r="C92" s="68"/>
      <c r="D92" s="68"/>
      <c r="E92" s="68"/>
      <c r="F92" s="68"/>
      <c r="G92" s="68"/>
      <c r="H92" s="68"/>
    </row>
    <row r="93" spans="2:8" x14ac:dyDescent="0.2">
      <c r="B93" s="68"/>
      <c r="C93" s="68"/>
      <c r="D93" s="68"/>
      <c r="E93" s="68"/>
      <c r="F93" s="68"/>
      <c r="G93" s="68"/>
      <c r="H93" s="68"/>
    </row>
    <row r="94" spans="2:8" x14ac:dyDescent="0.2">
      <c r="B94" s="68"/>
      <c r="C94" s="68"/>
      <c r="D94" s="68"/>
      <c r="E94" s="68"/>
      <c r="F94" s="68"/>
      <c r="G94" s="68"/>
      <c r="H94" s="68"/>
    </row>
    <row r="95" spans="2:8" x14ac:dyDescent="0.2">
      <c r="B95" s="68"/>
      <c r="C95" s="68"/>
      <c r="D95" s="68"/>
      <c r="E95" s="68"/>
      <c r="F95" s="68"/>
      <c r="G95" s="68"/>
      <c r="H95" s="68"/>
    </row>
    <row r="96" spans="2:8" x14ac:dyDescent="0.2">
      <c r="B96" s="68"/>
      <c r="C96" s="68"/>
      <c r="D96" s="68"/>
      <c r="E96" s="68"/>
      <c r="F96" s="68"/>
      <c r="G96" s="68"/>
      <c r="H96" s="68"/>
    </row>
    <row r="97" spans="2:8" x14ac:dyDescent="0.2">
      <c r="B97" s="68"/>
      <c r="C97" s="68"/>
      <c r="D97" s="68"/>
      <c r="E97" s="68"/>
      <c r="F97" s="68"/>
      <c r="G97" s="68"/>
      <c r="H97" s="68"/>
    </row>
    <row r="98" spans="2:8" x14ac:dyDescent="0.2">
      <c r="B98" s="68"/>
      <c r="C98" s="68"/>
      <c r="D98" s="68"/>
      <c r="E98" s="68"/>
      <c r="F98" s="68"/>
      <c r="G98" s="68"/>
      <c r="H98" s="68"/>
    </row>
    <row r="99" spans="2:8" x14ac:dyDescent="0.2">
      <c r="B99" s="68"/>
      <c r="C99" s="68"/>
      <c r="D99" s="68"/>
      <c r="E99" s="68"/>
      <c r="F99" s="68"/>
      <c r="G99" s="68"/>
      <c r="H99" s="68"/>
    </row>
    <row r="100" spans="2:8" x14ac:dyDescent="0.2">
      <c r="B100" s="68"/>
      <c r="C100" s="68"/>
      <c r="D100" s="68"/>
      <c r="E100" s="68"/>
      <c r="F100" s="68"/>
      <c r="G100" s="68"/>
      <c r="H100" s="68"/>
    </row>
    <row r="101" spans="2:8" x14ac:dyDescent="0.2">
      <c r="B101" s="68"/>
      <c r="C101" s="68"/>
      <c r="D101" s="68"/>
      <c r="E101" s="68"/>
      <c r="F101" s="68"/>
      <c r="G101" s="68"/>
      <c r="H101" s="68"/>
    </row>
    <row r="102" spans="2:8" x14ac:dyDescent="0.2">
      <c r="B102" s="68"/>
      <c r="C102" s="68"/>
      <c r="D102" s="68"/>
      <c r="E102" s="68"/>
      <c r="F102" s="68"/>
      <c r="G102" s="68"/>
      <c r="H102" s="68"/>
    </row>
    <row r="103" spans="2:8" x14ac:dyDescent="0.2">
      <c r="B103" s="68"/>
      <c r="C103" s="68"/>
      <c r="D103" s="68"/>
      <c r="E103" s="68"/>
      <c r="F103" s="68"/>
      <c r="G103" s="68"/>
      <c r="H103" s="68"/>
    </row>
    <row r="104" spans="2:8" x14ac:dyDescent="0.2">
      <c r="B104" s="68"/>
      <c r="C104" s="68"/>
      <c r="D104" s="68"/>
      <c r="E104" s="68"/>
      <c r="F104" s="68"/>
      <c r="G104" s="68"/>
      <c r="H104" s="68"/>
    </row>
    <row r="105" spans="2:8" x14ac:dyDescent="0.2">
      <c r="B105" s="68"/>
      <c r="C105" s="68"/>
      <c r="D105" s="68"/>
      <c r="E105" s="68"/>
      <c r="F105" s="68"/>
      <c r="G105" s="68"/>
      <c r="H105" s="68"/>
    </row>
    <row r="106" spans="2:8" x14ac:dyDescent="0.2">
      <c r="B106" s="68"/>
      <c r="C106" s="68"/>
      <c r="D106" s="68"/>
      <c r="E106" s="68"/>
      <c r="F106" s="68"/>
      <c r="G106" s="68"/>
      <c r="H106" s="68"/>
    </row>
    <row r="107" spans="2:8" x14ac:dyDescent="0.2">
      <c r="B107" s="68"/>
      <c r="C107" s="68"/>
      <c r="D107" s="68"/>
      <c r="E107" s="68"/>
      <c r="F107" s="68"/>
      <c r="G107" s="68"/>
      <c r="H107" s="68"/>
    </row>
    <row r="108" spans="2:8" x14ac:dyDescent="0.2">
      <c r="B108" s="68"/>
      <c r="C108" s="68"/>
      <c r="D108" s="68"/>
      <c r="E108" s="68"/>
      <c r="F108" s="68"/>
      <c r="G108" s="68"/>
      <c r="H108" s="68"/>
    </row>
    <row r="109" spans="2:8" x14ac:dyDescent="0.2">
      <c r="B109" s="68"/>
      <c r="C109" s="68"/>
      <c r="D109" s="68"/>
      <c r="E109" s="68"/>
      <c r="F109" s="68"/>
      <c r="G109" s="68"/>
      <c r="H109" s="68"/>
    </row>
    <row r="110" spans="2:8" x14ac:dyDescent="0.2">
      <c r="B110" s="68"/>
      <c r="C110" s="68"/>
      <c r="D110" s="68"/>
      <c r="E110" s="68"/>
      <c r="F110" s="68"/>
      <c r="G110" s="68"/>
      <c r="H110" s="68"/>
    </row>
    <row r="111" spans="2:8" x14ac:dyDescent="0.2">
      <c r="B111" s="68"/>
      <c r="C111" s="68"/>
      <c r="D111" s="68"/>
      <c r="E111" s="68"/>
      <c r="F111" s="68"/>
      <c r="G111" s="68"/>
      <c r="H111" s="68"/>
    </row>
    <row r="112" spans="2:8" x14ac:dyDescent="0.2">
      <c r="B112" s="68"/>
      <c r="C112" s="68"/>
      <c r="D112" s="68"/>
      <c r="E112" s="68"/>
      <c r="F112" s="68"/>
      <c r="G112" s="68"/>
      <c r="H112" s="68"/>
    </row>
    <row r="113" spans="2:8" x14ac:dyDescent="0.2">
      <c r="B113" s="68"/>
      <c r="C113" s="68"/>
      <c r="D113" s="68"/>
      <c r="E113" s="68"/>
      <c r="F113" s="68"/>
      <c r="G113" s="68"/>
      <c r="H113" s="68"/>
    </row>
  </sheetData>
  <mergeCells count="1">
    <mergeCell ref="P1:Q1"/>
  </mergeCells>
  <conditionalFormatting sqref="H1:H1048576">
    <cfRule type="top10" dxfId="27" priority="2" rank="1"/>
  </conditionalFormatting>
  <conditionalFormatting sqref="I1:I1048576">
    <cfRule type="top10" dxfId="26" priority="1" rank="1"/>
  </conditionalFormatting>
  <pageMargins left="0.7" right="0.7" top="1.2375" bottom="0.75" header="0.3" footer="0.3"/>
  <pageSetup scale="88" orientation="portrait" horizontalDpi="4294967294" r:id="rId1"/>
  <headerFooter>
    <oddHeader>&amp;L&amp;G&amp;C&amp;"Arial,Bold"&amp;26Calcutta&amp;R&amp;G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FF00"/>
  </sheetPr>
  <dimension ref="A1:G70"/>
  <sheetViews>
    <sheetView workbookViewId="0">
      <selection activeCell="B9" sqref="B9"/>
    </sheetView>
  </sheetViews>
  <sheetFormatPr defaultRowHeight="12.75" x14ac:dyDescent="0.2"/>
  <cols>
    <col min="2" max="2" width="47.7109375" customWidth="1"/>
    <col min="6" max="6" width="40.28515625" customWidth="1"/>
  </cols>
  <sheetData>
    <row r="1" spans="1:7" x14ac:dyDescent="0.2">
      <c r="A1" t="s">
        <v>420</v>
      </c>
      <c r="G1" s="164"/>
    </row>
    <row r="2" spans="1:7" ht="112.5" customHeight="1" x14ac:dyDescent="0.2">
      <c r="A2" s="3">
        <v>1</v>
      </c>
      <c r="B2" s="163" t="s">
        <v>423</v>
      </c>
      <c r="C2" s="167"/>
      <c r="D2" s="167"/>
      <c r="E2" s="167"/>
      <c r="F2" s="167"/>
      <c r="G2" s="3"/>
    </row>
    <row r="3" spans="1:7" ht="38.25" customHeight="1" x14ac:dyDescent="0.2">
      <c r="A3" s="3">
        <v>2</v>
      </c>
      <c r="B3" s="163" t="s">
        <v>424</v>
      </c>
      <c r="G3" s="3"/>
    </row>
    <row r="4" spans="1:7" ht="54.75" customHeight="1" x14ac:dyDescent="0.2">
      <c r="A4" s="3">
        <v>3</v>
      </c>
      <c r="B4" s="163" t="s">
        <v>425</v>
      </c>
      <c r="G4" s="3"/>
    </row>
    <row r="5" spans="1:7" ht="25.5" x14ac:dyDescent="0.2">
      <c r="A5" s="3">
        <v>4</v>
      </c>
      <c r="B5" s="163" t="s">
        <v>426</v>
      </c>
      <c r="G5" s="3"/>
    </row>
    <row r="6" spans="1:7" x14ac:dyDescent="0.2">
      <c r="A6" s="3"/>
      <c r="G6" s="3"/>
    </row>
    <row r="7" spans="1:7" x14ac:dyDescent="0.2">
      <c r="A7" s="3"/>
      <c r="G7" s="3"/>
    </row>
    <row r="8" spans="1:7" x14ac:dyDescent="0.2">
      <c r="A8" s="3"/>
      <c r="G8" s="3"/>
    </row>
    <row r="9" spans="1:7" x14ac:dyDescent="0.2">
      <c r="G9" s="3"/>
    </row>
    <row r="10" spans="1:7" x14ac:dyDescent="0.2">
      <c r="G10" s="3"/>
    </row>
    <row r="11" spans="1:7" x14ac:dyDescent="0.2">
      <c r="G11" s="3"/>
    </row>
    <row r="12" spans="1:7" x14ac:dyDescent="0.2">
      <c r="A12" t="s">
        <v>421</v>
      </c>
      <c r="G12" s="3"/>
    </row>
    <row r="13" spans="1:7" x14ac:dyDescent="0.2">
      <c r="G13" s="3"/>
    </row>
    <row r="14" spans="1:7" x14ac:dyDescent="0.2">
      <c r="G14" s="3"/>
    </row>
    <row r="15" spans="1:7" x14ac:dyDescent="0.2">
      <c r="G15" s="3"/>
    </row>
    <row r="16" spans="1:7" x14ac:dyDescent="0.2">
      <c r="A16" t="s">
        <v>422</v>
      </c>
      <c r="G16" s="3"/>
    </row>
    <row r="17" spans="2:7" x14ac:dyDescent="0.2">
      <c r="G17" s="3"/>
    </row>
    <row r="18" spans="2:7" x14ac:dyDescent="0.2">
      <c r="G18" s="3"/>
    </row>
    <row r="19" spans="2:7" x14ac:dyDescent="0.2">
      <c r="G19" s="3"/>
    </row>
    <row r="20" spans="2:7" x14ac:dyDescent="0.2">
      <c r="G20" s="3"/>
    </row>
    <row r="21" spans="2:7" x14ac:dyDescent="0.2">
      <c r="G21" s="3"/>
    </row>
    <row r="22" spans="2:7" x14ac:dyDescent="0.2">
      <c r="B22" t="s">
        <v>427</v>
      </c>
      <c r="G22" s="3"/>
    </row>
    <row r="23" spans="2:7" x14ac:dyDescent="0.2">
      <c r="B23" t="s">
        <v>428</v>
      </c>
      <c r="G23" s="3"/>
    </row>
    <row r="24" spans="2:7" x14ac:dyDescent="0.2">
      <c r="G24" s="3"/>
    </row>
    <row r="25" spans="2:7" x14ac:dyDescent="0.2">
      <c r="G25" s="3"/>
    </row>
    <row r="26" spans="2:7" x14ac:dyDescent="0.2">
      <c r="G26" s="3"/>
    </row>
    <row r="27" spans="2:7" x14ac:dyDescent="0.2">
      <c r="G27" s="3"/>
    </row>
    <row r="28" spans="2:7" x14ac:dyDescent="0.2">
      <c r="G28" s="3"/>
    </row>
    <row r="29" spans="2:7" x14ac:dyDescent="0.2">
      <c r="G29" s="3"/>
    </row>
    <row r="30" spans="2:7" x14ac:dyDescent="0.2">
      <c r="G30" s="3"/>
    </row>
    <row r="31" spans="2:7" x14ac:dyDescent="0.2">
      <c r="G31" s="3"/>
    </row>
    <row r="45" spans="1:7" s="162" customFormat="1" x14ac:dyDescent="0.2"/>
    <row r="48" spans="1:7" x14ac:dyDescent="0.2">
      <c r="A48" s="76" t="s">
        <v>12</v>
      </c>
      <c r="G48" s="164"/>
    </row>
    <row r="49" spans="1:7" x14ac:dyDescent="0.2">
      <c r="G49" s="164"/>
    </row>
    <row r="50" spans="1:7" x14ac:dyDescent="0.2">
      <c r="G50" s="164"/>
    </row>
    <row r="51" spans="1:7" x14ac:dyDescent="0.2">
      <c r="A51" t="s">
        <v>13</v>
      </c>
      <c r="G51" s="164"/>
    </row>
    <row r="52" spans="1:7" x14ac:dyDescent="0.2">
      <c r="A52" t="s">
        <v>14</v>
      </c>
      <c r="G52" s="164"/>
    </row>
    <row r="53" spans="1:7" x14ac:dyDescent="0.2">
      <c r="A53" t="s">
        <v>15</v>
      </c>
      <c r="G53" s="164"/>
    </row>
    <row r="54" spans="1:7" x14ac:dyDescent="0.2">
      <c r="A54" t="s">
        <v>16</v>
      </c>
      <c r="G54" s="164"/>
    </row>
    <row r="55" spans="1:7" x14ac:dyDescent="0.2">
      <c r="A55" t="s">
        <v>17</v>
      </c>
      <c r="G55" s="164"/>
    </row>
    <row r="56" spans="1:7" x14ac:dyDescent="0.2">
      <c r="G56" s="164"/>
    </row>
    <row r="57" spans="1:7" x14ac:dyDescent="0.2">
      <c r="G57" s="164"/>
    </row>
    <row r="58" spans="1:7" x14ac:dyDescent="0.2">
      <c r="A58" s="2" t="s">
        <v>18</v>
      </c>
      <c r="G58" s="164"/>
    </row>
    <row r="59" spans="1:7" x14ac:dyDescent="0.2">
      <c r="G59" s="164"/>
    </row>
    <row r="60" spans="1:7" x14ac:dyDescent="0.2">
      <c r="G60" s="164"/>
    </row>
    <row r="61" spans="1:7" x14ac:dyDescent="0.2">
      <c r="A61" t="s">
        <v>19</v>
      </c>
      <c r="G61" s="164"/>
    </row>
    <row r="62" spans="1:7" x14ac:dyDescent="0.2">
      <c r="A62" t="s">
        <v>20</v>
      </c>
      <c r="G62" s="164"/>
    </row>
    <row r="63" spans="1:7" x14ac:dyDescent="0.2">
      <c r="A63" t="s">
        <v>15</v>
      </c>
      <c r="G63" s="164"/>
    </row>
    <row r="64" spans="1:7" x14ac:dyDescent="0.2">
      <c r="A64" t="s">
        <v>21</v>
      </c>
      <c r="G64" s="164"/>
    </row>
    <row r="65" spans="1:7" x14ac:dyDescent="0.2">
      <c r="A65" t="s">
        <v>22</v>
      </c>
      <c r="G65" s="164"/>
    </row>
    <row r="66" spans="1:7" x14ac:dyDescent="0.2">
      <c r="G66" s="164"/>
    </row>
    <row r="67" spans="1:7" x14ac:dyDescent="0.2">
      <c r="A67" t="s">
        <v>23</v>
      </c>
      <c r="G67" s="164"/>
    </row>
    <row r="68" spans="1:7" x14ac:dyDescent="0.2">
      <c r="A68" t="s">
        <v>24</v>
      </c>
      <c r="G68" s="164"/>
    </row>
    <row r="69" spans="1:7" x14ac:dyDescent="0.2">
      <c r="A69" t="s">
        <v>25</v>
      </c>
      <c r="G69" s="164"/>
    </row>
    <row r="70" spans="1:7" x14ac:dyDescent="0.2">
      <c r="A70" t="s">
        <v>26</v>
      </c>
      <c r="G70" s="164"/>
    </row>
  </sheetData>
  <mergeCells count="1">
    <mergeCell ref="C2:F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  <pageSetUpPr fitToPage="1"/>
  </sheetPr>
  <dimension ref="A1:AD154"/>
  <sheetViews>
    <sheetView tabSelected="1" zoomScale="80" zoomScaleNormal="80" workbookViewId="0">
      <selection activeCell="W12" sqref="W12"/>
    </sheetView>
  </sheetViews>
  <sheetFormatPr defaultRowHeight="12.75" x14ac:dyDescent="0.2"/>
  <cols>
    <col min="1" max="1" width="10.7109375" customWidth="1"/>
    <col min="2" max="2" width="10.5703125" customWidth="1"/>
    <col min="3" max="3" width="7.7109375" customWidth="1"/>
    <col min="4" max="4" width="8.5703125" customWidth="1"/>
    <col min="5" max="5" width="26.7109375" customWidth="1"/>
    <col min="6" max="6" width="7.5703125" customWidth="1"/>
    <col min="7" max="7" width="9" customWidth="1"/>
    <col min="8" max="8" width="10" customWidth="1"/>
    <col min="9" max="9" width="7.7109375" customWidth="1"/>
    <col min="10" max="10" width="7.5703125" bestFit="1" customWidth="1"/>
    <col min="11" max="11" width="8.28515625" bestFit="1" customWidth="1"/>
    <col min="12" max="12" width="9" customWidth="1"/>
    <col min="13" max="13" width="11" customWidth="1"/>
    <col min="14" max="15" width="7.7109375" bestFit="1" customWidth="1"/>
    <col min="16" max="16" width="8" bestFit="1" customWidth="1"/>
    <col min="17" max="17" width="8.5703125" customWidth="1"/>
    <col min="18" max="18" width="12.85546875" customWidth="1"/>
    <col min="19" max="19" width="13.140625" customWidth="1"/>
  </cols>
  <sheetData>
    <row r="1" spans="1:30" s="67" customFormat="1" ht="63" customHeight="1" thickBot="1" x14ac:dyDescent="0.25">
      <c r="A1" s="75" t="s">
        <v>147</v>
      </c>
      <c r="C1" s="168" t="s">
        <v>474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</row>
    <row r="2" spans="1:30" ht="40.5" customHeight="1" thickBot="1" x14ac:dyDescent="0.25">
      <c r="A2" s="127">
        <v>2022</v>
      </c>
      <c r="C2" s="96" t="s">
        <v>0</v>
      </c>
      <c r="D2" s="97" t="s">
        <v>1</v>
      </c>
      <c r="E2" s="112" t="s">
        <v>2</v>
      </c>
      <c r="F2" s="96" t="s">
        <v>3</v>
      </c>
      <c r="G2" s="97" t="s">
        <v>4</v>
      </c>
      <c r="H2" s="98" t="s">
        <v>5</v>
      </c>
      <c r="I2" s="97" t="s">
        <v>6</v>
      </c>
      <c r="J2" s="99" t="s">
        <v>7</v>
      </c>
      <c r="K2" s="96" t="s">
        <v>36</v>
      </c>
      <c r="L2" s="97" t="s">
        <v>8</v>
      </c>
      <c r="M2" s="97" t="s">
        <v>5</v>
      </c>
      <c r="N2" s="97" t="s">
        <v>9</v>
      </c>
      <c r="O2" s="97" t="s">
        <v>10</v>
      </c>
      <c r="P2" s="99" t="s">
        <v>11</v>
      </c>
      <c r="Q2" s="108" t="s">
        <v>164</v>
      </c>
      <c r="R2" s="108"/>
      <c r="S2" s="108"/>
      <c r="T2" s="108"/>
    </row>
    <row r="3" spans="1:30" ht="30" customHeight="1" x14ac:dyDescent="0.2">
      <c r="C3" s="113">
        <v>1</v>
      </c>
      <c r="D3" s="50">
        <v>10</v>
      </c>
      <c r="E3" s="134" t="s">
        <v>440</v>
      </c>
      <c r="F3" s="92">
        <v>5</v>
      </c>
      <c r="G3" s="49">
        <v>7.25</v>
      </c>
      <c r="H3" s="49">
        <v>5</v>
      </c>
      <c r="I3" s="57">
        <v>8.25</v>
      </c>
      <c r="J3" s="100">
        <v>2.36</v>
      </c>
      <c r="K3" s="104">
        <v>5</v>
      </c>
      <c r="L3" s="53">
        <v>8.75</v>
      </c>
      <c r="M3" s="53">
        <v>5</v>
      </c>
      <c r="N3" s="57">
        <v>9.75</v>
      </c>
      <c r="O3" s="53">
        <v>18</v>
      </c>
      <c r="P3" s="100">
        <v>3.03</v>
      </c>
      <c r="Q3" s="109"/>
      <c r="R3" s="148"/>
      <c r="S3" s="148"/>
      <c r="T3" s="148"/>
    </row>
    <row r="4" spans="1:30" ht="30" customHeight="1" x14ac:dyDescent="0.2">
      <c r="C4" s="114">
        <v>3</v>
      </c>
      <c r="D4" s="63">
        <v>44</v>
      </c>
      <c r="E4" s="116" t="s">
        <v>345</v>
      </c>
      <c r="F4" s="70">
        <v>5</v>
      </c>
      <c r="G4" s="61">
        <v>5.96</v>
      </c>
      <c r="H4" s="61">
        <v>5</v>
      </c>
      <c r="I4" s="64">
        <v>6.96</v>
      </c>
      <c r="J4" s="101">
        <v>2.2000000000000002</v>
      </c>
      <c r="K4" s="105">
        <v>4</v>
      </c>
      <c r="L4" s="62">
        <v>5.48</v>
      </c>
      <c r="M4" s="62">
        <v>4</v>
      </c>
      <c r="N4" s="64">
        <v>6.28</v>
      </c>
      <c r="O4" s="62">
        <v>13.24</v>
      </c>
      <c r="P4" s="101">
        <v>1.89</v>
      </c>
      <c r="Q4" s="110"/>
      <c r="R4" s="149"/>
      <c r="S4" s="148"/>
      <c r="T4" s="148"/>
    </row>
    <row r="5" spans="1:30" ht="30" customHeight="1" x14ac:dyDescent="0.2">
      <c r="C5" s="114">
        <v>11</v>
      </c>
      <c r="D5" s="63">
        <v>51</v>
      </c>
      <c r="E5" s="116" t="s">
        <v>320</v>
      </c>
      <c r="F5" s="70">
        <v>4</v>
      </c>
      <c r="G5" s="61">
        <v>5.54</v>
      </c>
      <c r="H5" s="61">
        <v>4</v>
      </c>
      <c r="I5" s="64">
        <v>6.34</v>
      </c>
      <c r="J5" s="101">
        <v>2.1800000000000002</v>
      </c>
      <c r="K5" s="105">
        <v>2</v>
      </c>
      <c r="L5" s="62">
        <v>4.28</v>
      </c>
      <c r="M5" s="62">
        <v>2</v>
      </c>
      <c r="N5" s="64">
        <v>4.68</v>
      </c>
      <c r="O5" s="62">
        <v>11.02</v>
      </c>
      <c r="P5" s="101">
        <v>2.17</v>
      </c>
      <c r="Q5" s="110"/>
      <c r="R5" s="149"/>
      <c r="S5" s="148"/>
      <c r="T5" s="148"/>
    </row>
    <row r="6" spans="1:30" ht="30" customHeight="1" x14ac:dyDescent="0.2">
      <c r="C6" s="114">
        <v>7</v>
      </c>
      <c r="D6" s="63">
        <v>63</v>
      </c>
      <c r="E6" s="116" t="s">
        <v>459</v>
      </c>
      <c r="F6" s="70">
        <v>4</v>
      </c>
      <c r="G6" s="61">
        <v>5.41</v>
      </c>
      <c r="H6" s="61">
        <v>4</v>
      </c>
      <c r="I6" s="64">
        <v>6.21</v>
      </c>
      <c r="J6" s="101">
        <v>2.11</v>
      </c>
      <c r="K6" s="105">
        <v>2</v>
      </c>
      <c r="L6" s="62">
        <v>4.92</v>
      </c>
      <c r="M6" s="62">
        <v>2</v>
      </c>
      <c r="N6" s="64">
        <v>5.32</v>
      </c>
      <c r="O6" s="62">
        <v>11.53</v>
      </c>
      <c r="P6" s="101">
        <v>2.54</v>
      </c>
      <c r="Q6" s="110"/>
      <c r="R6" s="149"/>
      <c r="S6" s="148"/>
      <c r="T6" s="148"/>
    </row>
    <row r="7" spans="1:30" ht="30" customHeight="1" x14ac:dyDescent="0.2">
      <c r="C7" s="114">
        <v>15</v>
      </c>
      <c r="D7" s="63">
        <v>15</v>
      </c>
      <c r="E7" s="116" t="s">
        <v>323</v>
      </c>
      <c r="F7" s="70">
        <v>3</v>
      </c>
      <c r="G7" s="61">
        <v>5.4</v>
      </c>
      <c r="H7" s="61">
        <v>3</v>
      </c>
      <c r="I7" s="64">
        <v>6</v>
      </c>
      <c r="J7" s="101">
        <v>2.35</v>
      </c>
      <c r="K7" s="105">
        <v>2</v>
      </c>
      <c r="L7" s="62">
        <v>4.04</v>
      </c>
      <c r="M7" s="62">
        <v>2</v>
      </c>
      <c r="N7" s="64">
        <v>4.4400000000000004</v>
      </c>
      <c r="O7" s="62">
        <v>10.44</v>
      </c>
      <c r="P7" s="101">
        <v>2.11</v>
      </c>
      <c r="Q7" s="110"/>
      <c r="R7" s="149"/>
      <c r="S7" s="148"/>
      <c r="T7" s="148"/>
    </row>
    <row r="8" spans="1:30" ht="30" customHeight="1" x14ac:dyDescent="0.2">
      <c r="C8" s="114">
        <v>30</v>
      </c>
      <c r="D8" s="63">
        <v>23</v>
      </c>
      <c r="E8" s="116" t="s">
        <v>391</v>
      </c>
      <c r="F8" s="70">
        <v>4</v>
      </c>
      <c r="G8" s="61">
        <v>5.05</v>
      </c>
      <c r="H8" s="61">
        <v>4</v>
      </c>
      <c r="I8" s="64">
        <v>5.85</v>
      </c>
      <c r="J8" s="101">
        <v>1.79</v>
      </c>
      <c r="K8" s="105">
        <v>2</v>
      </c>
      <c r="L8" s="62">
        <v>2.41</v>
      </c>
      <c r="M8" s="62">
        <v>2</v>
      </c>
      <c r="N8" s="64">
        <v>2.81</v>
      </c>
      <c r="O8" s="62">
        <v>8.66</v>
      </c>
      <c r="P8" s="101">
        <v>1.63</v>
      </c>
      <c r="Q8" s="110"/>
      <c r="R8" s="149"/>
      <c r="S8" s="148"/>
      <c r="T8" s="148"/>
    </row>
    <row r="9" spans="1:30" ht="30" customHeight="1" x14ac:dyDescent="0.2">
      <c r="C9" s="114">
        <v>8</v>
      </c>
      <c r="D9" s="63">
        <v>28</v>
      </c>
      <c r="E9" s="116" t="s">
        <v>326</v>
      </c>
      <c r="F9" s="70">
        <v>3</v>
      </c>
      <c r="G9" s="61">
        <v>5.2</v>
      </c>
      <c r="H9" s="61">
        <v>3</v>
      </c>
      <c r="I9" s="64">
        <v>5.8</v>
      </c>
      <c r="J9" s="101">
        <v>2.27</v>
      </c>
      <c r="K9" s="105">
        <v>3</v>
      </c>
      <c r="L9" s="62">
        <v>4.92</v>
      </c>
      <c r="M9" s="62">
        <v>3</v>
      </c>
      <c r="N9" s="64">
        <v>5.52</v>
      </c>
      <c r="O9" s="62">
        <v>11.32</v>
      </c>
      <c r="P9" s="101">
        <v>2.15</v>
      </c>
      <c r="Q9" s="110"/>
      <c r="R9" s="149"/>
      <c r="S9" s="148"/>
      <c r="T9" s="148"/>
    </row>
    <row r="10" spans="1:30" ht="30" customHeight="1" x14ac:dyDescent="0.2">
      <c r="C10" s="114">
        <v>18</v>
      </c>
      <c r="D10" s="63">
        <v>9</v>
      </c>
      <c r="E10" s="115" t="s">
        <v>238</v>
      </c>
      <c r="F10" s="70">
        <v>3</v>
      </c>
      <c r="G10" s="61">
        <v>4.99</v>
      </c>
      <c r="H10" s="61">
        <v>3</v>
      </c>
      <c r="I10" s="64">
        <v>5.59</v>
      </c>
      <c r="J10" s="101">
        <v>2.1</v>
      </c>
      <c r="K10" s="105">
        <v>2</v>
      </c>
      <c r="L10" s="62">
        <v>3.98</v>
      </c>
      <c r="M10" s="62">
        <v>2</v>
      </c>
      <c r="N10" s="64">
        <v>4.38</v>
      </c>
      <c r="O10" s="62">
        <v>9.9700000000000006</v>
      </c>
      <c r="P10" s="101">
        <v>2.0699999999999998</v>
      </c>
      <c r="Q10" s="110"/>
      <c r="R10" s="149"/>
      <c r="S10" s="148"/>
      <c r="T10" s="148"/>
    </row>
    <row r="11" spans="1:30" ht="30" customHeight="1" x14ac:dyDescent="0.2">
      <c r="C11" s="114">
        <v>9</v>
      </c>
      <c r="D11" s="63">
        <v>18</v>
      </c>
      <c r="E11" s="116" t="s">
        <v>363</v>
      </c>
      <c r="F11" s="70">
        <v>2</v>
      </c>
      <c r="G11" s="61">
        <v>5.16</v>
      </c>
      <c r="H11" s="61">
        <v>2</v>
      </c>
      <c r="I11" s="64">
        <v>5.56</v>
      </c>
      <c r="J11" s="101">
        <v>2.81</v>
      </c>
      <c r="K11" s="105">
        <v>3</v>
      </c>
      <c r="L11" s="62">
        <v>5.15</v>
      </c>
      <c r="M11" s="62">
        <v>3</v>
      </c>
      <c r="N11" s="64">
        <v>5.75</v>
      </c>
      <c r="O11" s="62">
        <v>11.31</v>
      </c>
      <c r="P11" s="101">
        <v>2.3199999999999998</v>
      </c>
      <c r="Q11" s="110"/>
      <c r="R11" s="149"/>
      <c r="S11" s="148"/>
      <c r="T11" s="148"/>
    </row>
    <row r="12" spans="1:30" ht="30" customHeight="1" x14ac:dyDescent="0.2">
      <c r="A12" s="66"/>
      <c r="C12" s="114">
        <v>14</v>
      </c>
      <c r="D12" s="63">
        <v>45</v>
      </c>
      <c r="E12" s="116" t="s">
        <v>253</v>
      </c>
      <c r="F12" s="70">
        <v>3</v>
      </c>
      <c r="G12" s="61">
        <v>4.93</v>
      </c>
      <c r="H12" s="61">
        <v>3</v>
      </c>
      <c r="I12" s="64">
        <v>5.53</v>
      </c>
      <c r="J12" s="101">
        <v>2.0499999999999998</v>
      </c>
      <c r="K12" s="105">
        <v>3</v>
      </c>
      <c r="L12" s="62">
        <v>4.4000000000000004</v>
      </c>
      <c r="M12" s="62">
        <v>3</v>
      </c>
      <c r="N12" s="64">
        <v>5</v>
      </c>
      <c r="O12" s="62">
        <v>10.53</v>
      </c>
      <c r="P12" s="101">
        <v>1.79</v>
      </c>
      <c r="Q12" s="110"/>
      <c r="R12" s="149"/>
      <c r="S12" s="148"/>
      <c r="T12" s="148"/>
    </row>
    <row r="13" spans="1:30" ht="30" customHeight="1" x14ac:dyDescent="0.2">
      <c r="C13" s="114">
        <v>22</v>
      </c>
      <c r="D13" s="63">
        <v>31</v>
      </c>
      <c r="E13" s="116" t="s">
        <v>297</v>
      </c>
      <c r="F13" s="70">
        <v>2</v>
      </c>
      <c r="G13" s="61">
        <v>4.8600000000000003</v>
      </c>
      <c r="H13" s="61">
        <v>2</v>
      </c>
      <c r="I13" s="64">
        <v>5.26</v>
      </c>
      <c r="J13" s="101">
        <v>2.67</v>
      </c>
      <c r="K13" s="105">
        <v>2</v>
      </c>
      <c r="L13" s="62">
        <v>3.72</v>
      </c>
      <c r="M13" s="62">
        <v>2</v>
      </c>
      <c r="N13" s="64">
        <v>4.12</v>
      </c>
      <c r="O13" s="62">
        <v>9.3800000000000008</v>
      </c>
      <c r="P13" s="101">
        <v>2.02</v>
      </c>
      <c r="Q13" s="110"/>
      <c r="R13" s="149"/>
      <c r="S13" s="148"/>
      <c r="T13" s="148"/>
    </row>
    <row r="14" spans="1:30" ht="30" customHeight="1" x14ac:dyDescent="0.2">
      <c r="C14" s="114">
        <v>19</v>
      </c>
      <c r="D14" s="63">
        <v>46</v>
      </c>
      <c r="E14" s="116" t="s">
        <v>448</v>
      </c>
      <c r="F14" s="70">
        <v>2</v>
      </c>
      <c r="G14" s="61">
        <v>4.7</v>
      </c>
      <c r="H14" s="61">
        <v>2</v>
      </c>
      <c r="I14" s="64">
        <v>5.0999999999999996</v>
      </c>
      <c r="J14" s="101">
        <v>2.5299999999999998</v>
      </c>
      <c r="K14" s="105">
        <v>2</v>
      </c>
      <c r="L14" s="62">
        <v>4.45</v>
      </c>
      <c r="M14" s="62">
        <v>2</v>
      </c>
      <c r="N14" s="64">
        <v>4.8499999999999996</v>
      </c>
      <c r="O14" s="62">
        <v>9.9499999999999993</v>
      </c>
      <c r="P14" s="101">
        <v>2.38</v>
      </c>
      <c r="Q14" s="110"/>
      <c r="R14" s="149"/>
      <c r="S14" s="148"/>
      <c r="T14" s="148"/>
    </row>
    <row r="15" spans="1:30" ht="30" customHeight="1" x14ac:dyDescent="0.2">
      <c r="C15" s="114">
        <v>6</v>
      </c>
      <c r="D15" s="63">
        <v>55</v>
      </c>
      <c r="E15" s="116" t="s">
        <v>352</v>
      </c>
      <c r="F15" s="70">
        <v>3</v>
      </c>
      <c r="G15" s="61">
        <v>4.49</v>
      </c>
      <c r="H15" s="61">
        <v>3</v>
      </c>
      <c r="I15" s="64">
        <v>5.09</v>
      </c>
      <c r="J15" s="101">
        <v>2.0499999999999998</v>
      </c>
      <c r="K15" s="105">
        <v>5</v>
      </c>
      <c r="L15" s="62">
        <v>5.65</v>
      </c>
      <c r="M15" s="62">
        <v>5</v>
      </c>
      <c r="N15" s="64">
        <v>6.65</v>
      </c>
      <c r="O15" s="62">
        <v>11.74</v>
      </c>
      <c r="P15" s="101">
        <v>2.11</v>
      </c>
      <c r="Q15" s="110"/>
      <c r="R15" s="149"/>
      <c r="S15" s="148"/>
      <c r="T15" s="148"/>
    </row>
    <row r="16" spans="1:30" ht="30" customHeight="1" x14ac:dyDescent="0.2">
      <c r="C16" s="114">
        <v>21</v>
      </c>
      <c r="D16" s="63">
        <v>52</v>
      </c>
      <c r="E16" s="116" t="s">
        <v>211</v>
      </c>
      <c r="F16" s="70">
        <v>2</v>
      </c>
      <c r="G16" s="61">
        <v>4.5599999999999996</v>
      </c>
      <c r="H16" s="61">
        <v>2</v>
      </c>
      <c r="I16" s="64">
        <v>4.96</v>
      </c>
      <c r="J16" s="101">
        <v>2.42</v>
      </c>
      <c r="K16" s="105">
        <v>2</v>
      </c>
      <c r="L16" s="62">
        <v>4.1399999999999997</v>
      </c>
      <c r="M16" s="62">
        <v>2</v>
      </c>
      <c r="N16" s="64">
        <v>4.54</v>
      </c>
      <c r="O16" s="62">
        <v>9.5</v>
      </c>
      <c r="P16" s="101">
        <v>2.33</v>
      </c>
      <c r="Q16" s="110"/>
      <c r="R16" s="149"/>
      <c r="S16" s="148"/>
      <c r="T16" s="148"/>
    </row>
    <row r="17" spans="3:20" ht="30" customHeight="1" x14ac:dyDescent="0.2">
      <c r="C17" s="114">
        <v>12</v>
      </c>
      <c r="D17" s="63">
        <v>39</v>
      </c>
      <c r="E17" s="116" t="s">
        <v>307</v>
      </c>
      <c r="F17" s="70">
        <v>2</v>
      </c>
      <c r="G17" s="61">
        <v>4.5199999999999996</v>
      </c>
      <c r="H17" s="61">
        <v>2</v>
      </c>
      <c r="I17" s="64">
        <v>4.92</v>
      </c>
      <c r="J17" s="101">
        <v>2.35</v>
      </c>
      <c r="K17" s="105">
        <v>2</v>
      </c>
      <c r="L17" s="62">
        <v>5.52</v>
      </c>
      <c r="M17" s="62">
        <v>2</v>
      </c>
      <c r="N17" s="64">
        <v>5.92</v>
      </c>
      <c r="O17" s="62">
        <v>10.84</v>
      </c>
      <c r="P17" s="101">
        <v>2.38</v>
      </c>
      <c r="Q17" s="110"/>
      <c r="R17" s="149"/>
      <c r="S17" s="148"/>
      <c r="T17" s="148"/>
    </row>
    <row r="18" spans="3:20" ht="30" customHeight="1" x14ac:dyDescent="0.2">
      <c r="C18" s="114">
        <v>34</v>
      </c>
      <c r="D18" s="63">
        <v>24</v>
      </c>
      <c r="E18" s="116" t="s">
        <v>310</v>
      </c>
      <c r="F18" s="70">
        <v>2</v>
      </c>
      <c r="G18" s="61">
        <v>4.45</v>
      </c>
      <c r="H18" s="61">
        <v>2</v>
      </c>
      <c r="I18" s="64">
        <v>4.8499999999999996</v>
      </c>
      <c r="J18" s="101">
        <v>2.2400000000000002</v>
      </c>
      <c r="K18" s="105">
        <v>2</v>
      </c>
      <c r="L18" s="62">
        <v>2.7</v>
      </c>
      <c r="M18" s="62">
        <v>2</v>
      </c>
      <c r="N18" s="64">
        <v>3.1</v>
      </c>
      <c r="O18" s="62">
        <v>7.95</v>
      </c>
      <c r="P18" s="101">
        <v>2.0699999999999998</v>
      </c>
      <c r="Q18" s="110"/>
      <c r="R18" s="149"/>
      <c r="S18" s="148"/>
      <c r="T18" s="148"/>
    </row>
    <row r="19" spans="3:20" ht="30" customHeight="1" x14ac:dyDescent="0.2">
      <c r="C19" s="114">
        <v>4</v>
      </c>
      <c r="D19" s="63">
        <v>22</v>
      </c>
      <c r="E19" s="116" t="s">
        <v>287</v>
      </c>
      <c r="F19" s="70">
        <v>2</v>
      </c>
      <c r="G19" s="61">
        <v>4.3899999999999997</v>
      </c>
      <c r="H19" s="61">
        <v>2</v>
      </c>
      <c r="I19" s="64">
        <v>4.79</v>
      </c>
      <c r="J19" s="101">
        <v>2.2999999999999998</v>
      </c>
      <c r="K19" s="105">
        <v>5</v>
      </c>
      <c r="L19" s="62">
        <v>7.22</v>
      </c>
      <c r="M19" s="62">
        <v>5</v>
      </c>
      <c r="N19" s="64">
        <v>8.2200000000000006</v>
      </c>
      <c r="O19" s="62">
        <v>13.01</v>
      </c>
      <c r="P19" s="101">
        <v>2.46</v>
      </c>
      <c r="Q19" s="110"/>
      <c r="R19" s="149"/>
      <c r="S19" s="148"/>
      <c r="T19" s="148"/>
    </row>
    <row r="20" spans="3:20" ht="30" customHeight="1" x14ac:dyDescent="0.2">
      <c r="C20" s="114">
        <v>5</v>
      </c>
      <c r="D20" s="63">
        <v>34</v>
      </c>
      <c r="E20" s="116" t="s">
        <v>258</v>
      </c>
      <c r="F20" s="70">
        <v>2</v>
      </c>
      <c r="G20" s="61">
        <v>4.3899999999999997</v>
      </c>
      <c r="H20" s="61">
        <v>2</v>
      </c>
      <c r="I20" s="64">
        <v>4.79</v>
      </c>
      <c r="J20" s="101">
        <v>2.23</v>
      </c>
      <c r="K20" s="105">
        <v>2</v>
      </c>
      <c r="L20" s="62">
        <v>6.93</v>
      </c>
      <c r="M20" s="62">
        <v>2</v>
      </c>
      <c r="N20" s="64">
        <v>7.33</v>
      </c>
      <c r="O20" s="62">
        <v>12.12</v>
      </c>
      <c r="P20" s="101">
        <v>4.5999999999999996</v>
      </c>
      <c r="Q20" s="110"/>
      <c r="R20" s="149"/>
      <c r="S20" s="148"/>
      <c r="T20" s="148"/>
    </row>
    <row r="21" spans="3:20" ht="30" customHeight="1" x14ac:dyDescent="0.2">
      <c r="C21" s="114">
        <v>31</v>
      </c>
      <c r="D21" s="63">
        <v>21</v>
      </c>
      <c r="E21" s="116" t="s">
        <v>210</v>
      </c>
      <c r="F21" s="70">
        <v>2</v>
      </c>
      <c r="G21" s="61">
        <v>4.3899999999999997</v>
      </c>
      <c r="H21" s="61">
        <v>2</v>
      </c>
      <c r="I21" s="64">
        <v>4.79</v>
      </c>
      <c r="J21" s="101">
        <v>2.2599999999999998</v>
      </c>
      <c r="K21" s="105">
        <v>3</v>
      </c>
      <c r="L21" s="62">
        <v>3.24</v>
      </c>
      <c r="M21" s="62">
        <v>3</v>
      </c>
      <c r="N21" s="64">
        <v>3.84</v>
      </c>
      <c r="O21" s="62">
        <v>8.6300000000000008</v>
      </c>
      <c r="P21" s="101">
        <v>2.08</v>
      </c>
      <c r="Q21" s="110"/>
      <c r="R21" s="149"/>
      <c r="S21" s="148"/>
      <c r="T21" s="148"/>
    </row>
    <row r="22" spans="3:20" ht="30" customHeight="1" x14ac:dyDescent="0.2">
      <c r="C22" s="114">
        <v>41</v>
      </c>
      <c r="D22" s="63">
        <v>25</v>
      </c>
      <c r="E22" s="116" t="s">
        <v>284</v>
      </c>
      <c r="F22" s="70">
        <v>2</v>
      </c>
      <c r="G22" s="61">
        <v>4.3099999999999996</v>
      </c>
      <c r="H22" s="61">
        <v>2</v>
      </c>
      <c r="I22" s="64">
        <v>4.71</v>
      </c>
      <c r="J22" s="101">
        <v>2.1</v>
      </c>
      <c r="K22" s="105">
        <v>1</v>
      </c>
      <c r="L22" s="62">
        <v>2.1800000000000002</v>
      </c>
      <c r="M22" s="62">
        <v>1</v>
      </c>
      <c r="N22" s="64">
        <v>2.38</v>
      </c>
      <c r="O22" s="62">
        <v>7.09</v>
      </c>
      <c r="P22" s="101">
        <v>2.1800000000000002</v>
      </c>
      <c r="Q22" s="110" t="s">
        <v>473</v>
      </c>
      <c r="R22" s="149"/>
      <c r="S22" s="148"/>
      <c r="T22" s="148"/>
    </row>
    <row r="23" spans="3:20" ht="30" customHeight="1" x14ac:dyDescent="0.2">
      <c r="C23" s="114">
        <v>2</v>
      </c>
      <c r="D23" s="63">
        <v>8</v>
      </c>
      <c r="E23" s="115" t="s">
        <v>197</v>
      </c>
      <c r="F23" s="70">
        <v>2</v>
      </c>
      <c r="G23" s="61">
        <v>4.3</v>
      </c>
      <c r="H23" s="61">
        <v>2</v>
      </c>
      <c r="I23" s="64">
        <v>4.7</v>
      </c>
      <c r="J23" s="101">
        <v>2.2200000000000002</v>
      </c>
      <c r="K23" s="105">
        <v>7</v>
      </c>
      <c r="L23" s="62">
        <v>9.5299999999999994</v>
      </c>
      <c r="M23" s="62">
        <v>7</v>
      </c>
      <c r="N23" s="64">
        <v>10.93</v>
      </c>
      <c r="O23" s="62">
        <v>15.63</v>
      </c>
      <c r="P23" s="101">
        <v>2.72</v>
      </c>
      <c r="Q23" s="110"/>
      <c r="R23" s="149"/>
      <c r="S23" s="148"/>
      <c r="T23" s="148"/>
    </row>
    <row r="24" spans="3:20" ht="30" customHeight="1" x14ac:dyDescent="0.2">
      <c r="C24" s="114">
        <v>27</v>
      </c>
      <c r="D24" s="63">
        <v>5</v>
      </c>
      <c r="E24" s="116" t="s">
        <v>438</v>
      </c>
      <c r="F24" s="70">
        <v>2</v>
      </c>
      <c r="G24" s="61">
        <v>4.29</v>
      </c>
      <c r="H24" s="61">
        <v>2</v>
      </c>
      <c r="I24" s="64">
        <v>4.6900000000000004</v>
      </c>
      <c r="J24" s="101">
        <v>2.3199999999999998</v>
      </c>
      <c r="K24" s="105">
        <v>2</v>
      </c>
      <c r="L24" s="62">
        <v>3.6</v>
      </c>
      <c r="M24" s="62">
        <v>2</v>
      </c>
      <c r="N24" s="64">
        <v>4</v>
      </c>
      <c r="O24" s="62">
        <v>8.69</v>
      </c>
      <c r="P24" s="101">
        <v>1.81</v>
      </c>
      <c r="Q24" s="110"/>
      <c r="R24" s="149"/>
      <c r="S24" s="148"/>
      <c r="T24" s="148"/>
    </row>
    <row r="25" spans="3:20" ht="30" customHeight="1" x14ac:dyDescent="0.2">
      <c r="C25" s="114">
        <v>24</v>
      </c>
      <c r="D25" s="63">
        <v>26</v>
      </c>
      <c r="E25" s="116" t="s">
        <v>444</v>
      </c>
      <c r="F25" s="70">
        <v>2</v>
      </c>
      <c r="G25" s="61">
        <v>4.24</v>
      </c>
      <c r="H25" s="61">
        <v>2</v>
      </c>
      <c r="I25" s="64">
        <v>4.6399999999999997</v>
      </c>
      <c r="J25" s="101">
        <v>2.2400000000000002</v>
      </c>
      <c r="K25" s="105">
        <v>2</v>
      </c>
      <c r="L25" s="62">
        <v>4.24</v>
      </c>
      <c r="M25" s="62">
        <v>2</v>
      </c>
      <c r="N25" s="64">
        <v>4.6399999999999997</v>
      </c>
      <c r="O25" s="62">
        <v>9.2799999999999994</v>
      </c>
      <c r="P25" s="101">
        <v>2.14</v>
      </c>
      <c r="Q25" s="110"/>
      <c r="R25" s="149"/>
      <c r="S25" s="148"/>
      <c r="T25" s="148"/>
    </row>
    <row r="26" spans="3:20" ht="30" customHeight="1" x14ac:dyDescent="0.2">
      <c r="C26" s="114">
        <v>36</v>
      </c>
      <c r="D26" s="63">
        <v>30</v>
      </c>
      <c r="E26" s="116" t="s">
        <v>219</v>
      </c>
      <c r="F26" s="70">
        <v>2</v>
      </c>
      <c r="G26" s="61">
        <v>4.1900000000000004</v>
      </c>
      <c r="H26" s="61">
        <v>2</v>
      </c>
      <c r="I26" s="64">
        <v>4.59</v>
      </c>
      <c r="J26" s="101">
        <v>2.37</v>
      </c>
      <c r="K26" s="105">
        <v>2</v>
      </c>
      <c r="L26" s="62">
        <v>2.4300000000000002</v>
      </c>
      <c r="M26" s="62">
        <v>2</v>
      </c>
      <c r="N26" s="64">
        <v>2.83</v>
      </c>
      <c r="O26" s="62">
        <v>7.42</v>
      </c>
      <c r="P26" s="101">
        <v>1.92</v>
      </c>
      <c r="Q26" s="110"/>
      <c r="R26" s="149"/>
      <c r="S26" s="148"/>
      <c r="T26" s="148"/>
    </row>
    <row r="27" spans="3:20" ht="30" customHeight="1" x14ac:dyDescent="0.2">
      <c r="C27" s="114">
        <v>39</v>
      </c>
      <c r="D27" s="63">
        <v>3</v>
      </c>
      <c r="E27" s="116" t="s">
        <v>471</v>
      </c>
      <c r="F27" s="70">
        <v>2</v>
      </c>
      <c r="G27" s="61">
        <v>4.1399999999999997</v>
      </c>
      <c r="H27" s="61">
        <v>2</v>
      </c>
      <c r="I27" s="64">
        <v>4.54</v>
      </c>
      <c r="J27" s="101">
        <v>2.2799999999999998</v>
      </c>
      <c r="K27" s="105">
        <v>1</v>
      </c>
      <c r="L27" s="62">
        <v>2.4300000000000002</v>
      </c>
      <c r="M27" s="62">
        <v>1</v>
      </c>
      <c r="N27" s="64">
        <v>2.63</v>
      </c>
      <c r="O27" s="62">
        <v>7.17</v>
      </c>
      <c r="P27" s="101">
        <v>2.4300000000000002</v>
      </c>
      <c r="Q27" s="110"/>
      <c r="R27" s="149"/>
      <c r="S27" s="148"/>
      <c r="T27" s="148"/>
    </row>
    <row r="28" spans="3:20" ht="30" customHeight="1" x14ac:dyDescent="0.2">
      <c r="C28" s="114">
        <v>13</v>
      </c>
      <c r="D28" s="63">
        <v>2</v>
      </c>
      <c r="E28" s="116" t="s">
        <v>397</v>
      </c>
      <c r="F28" s="70">
        <v>2</v>
      </c>
      <c r="G28" s="61">
        <v>4.12</v>
      </c>
      <c r="H28" s="61">
        <v>2</v>
      </c>
      <c r="I28" s="64">
        <v>4.5199999999999996</v>
      </c>
      <c r="J28" s="101">
        <v>2.12</v>
      </c>
      <c r="K28" s="105">
        <v>3</v>
      </c>
      <c r="L28" s="62">
        <v>5.58</v>
      </c>
      <c r="M28" s="62">
        <v>3</v>
      </c>
      <c r="N28" s="64">
        <v>6.18</v>
      </c>
      <c r="O28" s="62">
        <v>10.7</v>
      </c>
      <c r="P28" s="101">
        <v>2.4500000000000002</v>
      </c>
      <c r="Q28" s="110"/>
      <c r="R28" s="149"/>
      <c r="S28" s="148"/>
      <c r="T28" s="148"/>
    </row>
    <row r="29" spans="3:20" ht="30" customHeight="1" x14ac:dyDescent="0.2">
      <c r="C29" s="114">
        <v>52</v>
      </c>
      <c r="D29" s="63">
        <v>36</v>
      </c>
      <c r="E29" s="116" t="s">
        <v>386</v>
      </c>
      <c r="F29" s="70">
        <v>2</v>
      </c>
      <c r="G29" s="61">
        <v>4.1100000000000003</v>
      </c>
      <c r="H29" s="61">
        <v>2</v>
      </c>
      <c r="I29" s="64">
        <v>4.51</v>
      </c>
      <c r="J29" s="101">
        <v>2.23</v>
      </c>
      <c r="K29" s="105">
        <v>0</v>
      </c>
      <c r="L29" s="62">
        <v>0</v>
      </c>
      <c r="M29" s="62">
        <v>0</v>
      </c>
      <c r="N29" s="64">
        <v>0</v>
      </c>
      <c r="O29" s="62">
        <v>4.51</v>
      </c>
      <c r="P29" s="101">
        <v>0</v>
      </c>
      <c r="Q29" s="110"/>
      <c r="R29" s="149"/>
      <c r="S29" s="148"/>
      <c r="T29" s="148"/>
    </row>
    <row r="30" spans="3:20" ht="30" customHeight="1" x14ac:dyDescent="0.2">
      <c r="C30" s="114">
        <v>29</v>
      </c>
      <c r="D30" s="63">
        <v>17</v>
      </c>
      <c r="E30" s="116" t="s">
        <v>226</v>
      </c>
      <c r="F30" s="70">
        <v>2</v>
      </c>
      <c r="G30" s="61">
        <v>4.0999999999999996</v>
      </c>
      <c r="H30" s="61">
        <v>2</v>
      </c>
      <c r="I30" s="64">
        <v>4.5</v>
      </c>
      <c r="J30" s="101">
        <v>2.29</v>
      </c>
      <c r="K30" s="105">
        <v>2</v>
      </c>
      <c r="L30" s="62">
        <v>3.77</v>
      </c>
      <c r="M30" s="62">
        <v>2</v>
      </c>
      <c r="N30" s="64">
        <v>4.17</v>
      </c>
      <c r="O30" s="62">
        <v>8.67</v>
      </c>
      <c r="P30" s="101">
        <v>2.0299999999999998</v>
      </c>
      <c r="Q30" s="110"/>
      <c r="R30" s="149"/>
      <c r="S30" s="148"/>
      <c r="T30" s="148"/>
    </row>
    <row r="31" spans="3:20" ht="30" customHeight="1" x14ac:dyDescent="0.2">
      <c r="C31" s="114">
        <v>44</v>
      </c>
      <c r="D31" s="63">
        <v>62</v>
      </c>
      <c r="E31" s="116" t="s">
        <v>458</v>
      </c>
      <c r="F31" s="70">
        <v>2</v>
      </c>
      <c r="G31" s="61">
        <v>4.0999999999999996</v>
      </c>
      <c r="H31" s="61">
        <v>2</v>
      </c>
      <c r="I31" s="64">
        <v>4.5</v>
      </c>
      <c r="J31" s="101">
        <v>2.1</v>
      </c>
      <c r="K31" s="105">
        <v>1</v>
      </c>
      <c r="L31" s="62">
        <v>2.04</v>
      </c>
      <c r="M31" s="62">
        <v>1</v>
      </c>
      <c r="N31" s="64">
        <v>2.2400000000000002</v>
      </c>
      <c r="O31" s="62">
        <v>6.74</v>
      </c>
      <c r="P31" s="101">
        <v>2.04</v>
      </c>
      <c r="Q31" s="110"/>
      <c r="R31" s="149"/>
      <c r="S31" s="148"/>
      <c r="T31" s="148"/>
    </row>
    <row r="32" spans="3:20" ht="30" customHeight="1" x14ac:dyDescent="0.2">
      <c r="C32" s="114">
        <v>45</v>
      </c>
      <c r="D32" s="63">
        <v>66</v>
      </c>
      <c r="E32" s="116" t="s">
        <v>461</v>
      </c>
      <c r="F32" s="70">
        <v>2</v>
      </c>
      <c r="G32" s="61">
        <v>4.0599999999999996</v>
      </c>
      <c r="H32" s="61">
        <v>2</v>
      </c>
      <c r="I32" s="64">
        <v>4.46</v>
      </c>
      <c r="J32" s="101">
        <v>2.13</v>
      </c>
      <c r="K32" s="105">
        <v>1</v>
      </c>
      <c r="L32" s="62">
        <v>2</v>
      </c>
      <c r="M32" s="62">
        <v>1</v>
      </c>
      <c r="N32" s="64">
        <v>2.2000000000000002</v>
      </c>
      <c r="O32" s="62">
        <v>6.66</v>
      </c>
      <c r="P32" s="101">
        <v>2</v>
      </c>
      <c r="Q32" s="110"/>
      <c r="R32" s="149"/>
      <c r="S32" s="148"/>
      <c r="T32" s="148"/>
    </row>
    <row r="33" spans="3:20" ht="30" customHeight="1" x14ac:dyDescent="0.2">
      <c r="C33" s="114">
        <v>53</v>
      </c>
      <c r="D33" s="63">
        <v>59</v>
      </c>
      <c r="E33" s="116" t="s">
        <v>404</v>
      </c>
      <c r="F33" s="70">
        <v>2</v>
      </c>
      <c r="G33" s="61">
        <v>4.0149999999999997</v>
      </c>
      <c r="H33" s="61">
        <v>2</v>
      </c>
      <c r="I33" s="64">
        <v>4.41</v>
      </c>
      <c r="J33" s="101">
        <v>2.2000000000000002</v>
      </c>
      <c r="K33" s="105">
        <v>0</v>
      </c>
      <c r="L33" s="62">
        <v>0</v>
      </c>
      <c r="M33" s="62">
        <v>0</v>
      </c>
      <c r="N33" s="64">
        <v>0</v>
      </c>
      <c r="O33" s="62">
        <v>4.41</v>
      </c>
      <c r="P33" s="101">
        <v>0</v>
      </c>
      <c r="Q33" s="110"/>
      <c r="R33" s="149"/>
      <c r="S33" s="148"/>
      <c r="T33" s="148"/>
    </row>
    <row r="34" spans="3:20" ht="30" customHeight="1" x14ac:dyDescent="0.2">
      <c r="C34" s="114">
        <v>54</v>
      </c>
      <c r="D34" s="63">
        <v>42</v>
      </c>
      <c r="E34" s="116" t="s">
        <v>411</v>
      </c>
      <c r="F34" s="70">
        <v>2</v>
      </c>
      <c r="G34" s="61">
        <v>4.01</v>
      </c>
      <c r="H34" s="61">
        <v>2</v>
      </c>
      <c r="I34" s="64">
        <v>4.41</v>
      </c>
      <c r="J34" s="101">
        <v>2.11</v>
      </c>
      <c r="K34" s="105">
        <v>0</v>
      </c>
      <c r="L34" s="62">
        <v>0</v>
      </c>
      <c r="M34" s="62">
        <v>0</v>
      </c>
      <c r="N34" s="64">
        <v>0</v>
      </c>
      <c r="O34" s="62">
        <v>4.41</v>
      </c>
      <c r="P34" s="101">
        <v>0</v>
      </c>
      <c r="Q34" s="110"/>
      <c r="R34" s="149"/>
      <c r="S34" s="148"/>
      <c r="T34" s="148"/>
    </row>
    <row r="35" spans="3:20" ht="30" customHeight="1" x14ac:dyDescent="0.2">
      <c r="C35" s="114">
        <v>10</v>
      </c>
      <c r="D35" s="63">
        <v>14</v>
      </c>
      <c r="E35" s="116" t="s">
        <v>379</v>
      </c>
      <c r="F35" s="70">
        <v>2</v>
      </c>
      <c r="G35" s="61">
        <v>3.87</v>
      </c>
      <c r="H35" s="61">
        <v>2</v>
      </c>
      <c r="I35" s="64">
        <v>4.2699999999999996</v>
      </c>
      <c r="J35" s="101">
        <v>1.96</v>
      </c>
      <c r="K35" s="105">
        <v>4</v>
      </c>
      <c r="L35" s="62">
        <v>6.02</v>
      </c>
      <c r="M35" s="62">
        <v>4</v>
      </c>
      <c r="N35" s="64">
        <v>6.82</v>
      </c>
      <c r="O35" s="62">
        <v>11.09</v>
      </c>
      <c r="P35" s="101">
        <v>2.31</v>
      </c>
      <c r="Q35" s="110"/>
      <c r="R35" s="149"/>
      <c r="S35" s="148"/>
      <c r="T35" s="148"/>
    </row>
    <row r="36" spans="3:20" ht="30" customHeight="1" x14ac:dyDescent="0.2">
      <c r="C36" s="114">
        <v>20</v>
      </c>
      <c r="D36" s="63">
        <v>12</v>
      </c>
      <c r="E36" s="116" t="s">
        <v>393</v>
      </c>
      <c r="F36" s="70">
        <v>2</v>
      </c>
      <c r="G36" s="61">
        <v>3.8</v>
      </c>
      <c r="H36" s="61">
        <v>2</v>
      </c>
      <c r="I36" s="64">
        <v>4.2</v>
      </c>
      <c r="J36" s="101">
        <v>1.86</v>
      </c>
      <c r="K36" s="105">
        <v>3</v>
      </c>
      <c r="L36" s="62">
        <v>4.88</v>
      </c>
      <c r="M36" s="62">
        <v>3</v>
      </c>
      <c r="N36" s="64">
        <v>5.48</v>
      </c>
      <c r="O36" s="62">
        <v>9.68</v>
      </c>
      <c r="P36" s="101">
        <v>2.1</v>
      </c>
      <c r="Q36" s="110"/>
      <c r="R36" s="149"/>
      <c r="S36" s="148"/>
      <c r="T36" s="148"/>
    </row>
    <row r="37" spans="3:20" ht="30" customHeight="1" x14ac:dyDescent="0.2">
      <c r="C37" s="114">
        <v>23</v>
      </c>
      <c r="D37" s="63">
        <v>72</v>
      </c>
      <c r="E37" s="116" t="s">
        <v>466</v>
      </c>
      <c r="F37" s="70">
        <v>2</v>
      </c>
      <c r="G37" s="61">
        <v>3.77</v>
      </c>
      <c r="H37" s="61">
        <v>2</v>
      </c>
      <c r="I37" s="64">
        <v>4.17</v>
      </c>
      <c r="J37" s="101">
        <v>2.0299999999999998</v>
      </c>
      <c r="K37" s="105">
        <v>3</v>
      </c>
      <c r="L37" s="62">
        <v>4.58</v>
      </c>
      <c r="M37" s="62">
        <v>3</v>
      </c>
      <c r="N37" s="64">
        <v>5.18</v>
      </c>
      <c r="O37" s="62">
        <v>9.35</v>
      </c>
      <c r="P37" s="101">
        <v>1.93</v>
      </c>
      <c r="Q37" s="110"/>
      <c r="R37" s="149"/>
      <c r="S37" s="148"/>
      <c r="T37" s="148"/>
    </row>
    <row r="38" spans="3:20" ht="30" customHeight="1" x14ac:dyDescent="0.2">
      <c r="C38" s="114">
        <v>26</v>
      </c>
      <c r="D38" s="63">
        <v>38</v>
      </c>
      <c r="E38" s="116" t="s">
        <v>225</v>
      </c>
      <c r="F38" s="70">
        <v>2</v>
      </c>
      <c r="G38" s="61">
        <v>3.77</v>
      </c>
      <c r="H38" s="61">
        <v>2</v>
      </c>
      <c r="I38" s="64">
        <v>4.17</v>
      </c>
      <c r="J38" s="101">
        <v>2.0099999999999998</v>
      </c>
      <c r="K38" s="105">
        <v>2</v>
      </c>
      <c r="L38" s="62">
        <v>4.41</v>
      </c>
      <c r="M38" s="62">
        <v>2</v>
      </c>
      <c r="N38" s="64">
        <v>4.8099999999999996</v>
      </c>
      <c r="O38" s="62">
        <v>8.98</v>
      </c>
      <c r="P38" s="101">
        <v>2.5</v>
      </c>
      <c r="Q38" s="110"/>
      <c r="R38" s="149"/>
      <c r="S38" s="148"/>
      <c r="T38" s="148"/>
    </row>
    <row r="39" spans="3:20" ht="30" customHeight="1" x14ac:dyDescent="0.2">
      <c r="C39" s="114">
        <v>57</v>
      </c>
      <c r="D39" s="63">
        <v>49</v>
      </c>
      <c r="E39" s="116" t="s">
        <v>451</v>
      </c>
      <c r="F39" s="70">
        <v>2</v>
      </c>
      <c r="G39" s="61">
        <v>3.72</v>
      </c>
      <c r="H39" s="61">
        <v>2</v>
      </c>
      <c r="I39" s="64">
        <v>4.12</v>
      </c>
      <c r="J39" s="101">
        <v>2</v>
      </c>
      <c r="K39" s="105">
        <v>0</v>
      </c>
      <c r="L39" s="62">
        <v>0</v>
      </c>
      <c r="M39" s="62">
        <v>0</v>
      </c>
      <c r="N39" s="64">
        <v>0</v>
      </c>
      <c r="O39" s="62">
        <v>4.12</v>
      </c>
      <c r="P39" s="101">
        <v>0</v>
      </c>
      <c r="Q39" s="110"/>
      <c r="R39" s="149"/>
      <c r="S39" s="148"/>
      <c r="T39" s="148"/>
    </row>
    <row r="40" spans="3:20" ht="30" customHeight="1" x14ac:dyDescent="0.2">
      <c r="C40" s="114">
        <v>58</v>
      </c>
      <c r="D40" s="63">
        <v>70</v>
      </c>
      <c r="E40" s="116" t="s">
        <v>464</v>
      </c>
      <c r="F40" s="70">
        <v>2</v>
      </c>
      <c r="G40" s="61">
        <v>3.7</v>
      </c>
      <c r="H40" s="61">
        <v>2</v>
      </c>
      <c r="I40" s="64">
        <v>4.0999999999999996</v>
      </c>
      <c r="J40" s="101">
        <v>2.04</v>
      </c>
      <c r="K40" s="105">
        <v>0</v>
      </c>
      <c r="L40" s="62">
        <v>0</v>
      </c>
      <c r="M40" s="62">
        <v>0</v>
      </c>
      <c r="N40" s="64">
        <v>0</v>
      </c>
      <c r="O40" s="62">
        <v>4.0999999999999996</v>
      </c>
      <c r="P40" s="101">
        <v>0</v>
      </c>
      <c r="Q40" s="110"/>
      <c r="R40" s="149"/>
      <c r="S40" s="148"/>
      <c r="T40" s="148"/>
    </row>
    <row r="41" spans="3:20" ht="30" customHeight="1" x14ac:dyDescent="0.2">
      <c r="C41" s="114">
        <v>17</v>
      </c>
      <c r="D41" s="63">
        <v>4</v>
      </c>
      <c r="E41" s="115" t="s">
        <v>387</v>
      </c>
      <c r="F41" s="70">
        <v>2</v>
      </c>
      <c r="G41" s="61">
        <v>3.68</v>
      </c>
      <c r="H41" s="61">
        <v>2</v>
      </c>
      <c r="I41" s="64">
        <v>4.08</v>
      </c>
      <c r="J41" s="101">
        <v>1.96</v>
      </c>
      <c r="K41" s="105">
        <v>3</v>
      </c>
      <c r="L41" s="62">
        <v>5.47</v>
      </c>
      <c r="M41" s="62">
        <v>3</v>
      </c>
      <c r="N41" s="64">
        <v>6.07</v>
      </c>
      <c r="O41" s="62">
        <v>10.15</v>
      </c>
      <c r="P41" s="101">
        <v>2.3199999999999998</v>
      </c>
      <c r="Q41" s="110"/>
      <c r="R41" s="150"/>
      <c r="S41" s="148"/>
      <c r="T41" s="148"/>
    </row>
    <row r="42" spans="3:20" ht="30" customHeight="1" x14ac:dyDescent="0.2">
      <c r="C42" s="114">
        <v>25</v>
      </c>
      <c r="D42" s="63">
        <v>16</v>
      </c>
      <c r="E42" s="116" t="s">
        <v>442</v>
      </c>
      <c r="F42" s="70">
        <v>2</v>
      </c>
      <c r="G42" s="61">
        <v>3.67</v>
      </c>
      <c r="H42" s="61">
        <v>2</v>
      </c>
      <c r="I42" s="64">
        <v>4.07</v>
      </c>
      <c r="J42" s="101">
        <v>1.89</v>
      </c>
      <c r="K42" s="105">
        <v>2</v>
      </c>
      <c r="L42" s="62">
        <v>4.5599999999999996</v>
      </c>
      <c r="M42" s="62">
        <v>2</v>
      </c>
      <c r="N42" s="64">
        <v>4.96</v>
      </c>
      <c r="O42" s="62">
        <v>9.0299999999999994</v>
      </c>
      <c r="P42" s="101">
        <v>2.4900000000000002</v>
      </c>
      <c r="Q42" s="110"/>
      <c r="R42" s="149"/>
      <c r="S42" s="148"/>
      <c r="T42" s="148"/>
    </row>
    <row r="43" spans="3:20" ht="30" customHeight="1" x14ac:dyDescent="0.2">
      <c r="C43" s="114">
        <v>28</v>
      </c>
      <c r="D43" s="63">
        <v>60</v>
      </c>
      <c r="E43" s="116" t="s">
        <v>456</v>
      </c>
      <c r="F43" s="70">
        <v>2</v>
      </c>
      <c r="G43" s="61">
        <v>3.66</v>
      </c>
      <c r="H43" s="61">
        <v>2</v>
      </c>
      <c r="I43" s="64">
        <v>4.0599999999999996</v>
      </c>
      <c r="J43" s="101">
        <v>1.99</v>
      </c>
      <c r="K43" s="105">
        <v>2</v>
      </c>
      <c r="L43" s="62">
        <v>4.22</v>
      </c>
      <c r="M43" s="62">
        <v>2</v>
      </c>
      <c r="N43" s="64">
        <v>4.62</v>
      </c>
      <c r="O43" s="62">
        <v>8.68</v>
      </c>
      <c r="P43" s="101">
        <v>2.2599999999999998</v>
      </c>
      <c r="Q43" s="110"/>
      <c r="R43" s="149"/>
      <c r="S43" s="148"/>
      <c r="T43" s="148"/>
    </row>
    <row r="44" spans="3:20" ht="30" customHeight="1" x14ac:dyDescent="0.2">
      <c r="C44" s="114">
        <v>16</v>
      </c>
      <c r="D44" s="63">
        <v>6</v>
      </c>
      <c r="E44" s="115" t="s">
        <v>439</v>
      </c>
      <c r="F44" s="70">
        <v>2</v>
      </c>
      <c r="G44" s="61">
        <v>3.62</v>
      </c>
      <c r="H44" s="61">
        <v>2</v>
      </c>
      <c r="I44" s="64">
        <v>4.0199999999999996</v>
      </c>
      <c r="J44" s="101">
        <v>2.46</v>
      </c>
      <c r="K44" s="105">
        <v>3</v>
      </c>
      <c r="L44" s="62">
        <v>5.56</v>
      </c>
      <c r="M44" s="62">
        <v>3</v>
      </c>
      <c r="N44" s="64">
        <v>6.16</v>
      </c>
      <c r="O44" s="62">
        <v>10.18</v>
      </c>
      <c r="P44" s="101">
        <v>2.2599999999999998</v>
      </c>
      <c r="Q44" s="110"/>
      <c r="R44" s="149"/>
      <c r="S44" s="148"/>
      <c r="T44" s="148"/>
    </row>
    <row r="45" spans="3:20" ht="30" customHeight="1" x14ac:dyDescent="0.2">
      <c r="C45" s="114">
        <v>33</v>
      </c>
      <c r="D45" s="63">
        <v>7</v>
      </c>
      <c r="E45" s="116" t="s">
        <v>246</v>
      </c>
      <c r="F45" s="70">
        <v>2</v>
      </c>
      <c r="G45" s="61">
        <v>3.58</v>
      </c>
      <c r="H45" s="61">
        <v>2</v>
      </c>
      <c r="I45" s="64">
        <v>3.98</v>
      </c>
      <c r="J45" s="101">
        <v>1.92</v>
      </c>
      <c r="K45" s="105">
        <v>2</v>
      </c>
      <c r="L45" s="62">
        <v>3.8</v>
      </c>
      <c r="M45" s="62">
        <v>2</v>
      </c>
      <c r="N45" s="64">
        <v>4.2</v>
      </c>
      <c r="O45" s="62">
        <v>8.18</v>
      </c>
      <c r="P45" s="101">
        <v>1.9</v>
      </c>
      <c r="Q45" s="110"/>
      <c r="R45" s="149"/>
      <c r="S45" s="148"/>
      <c r="T45" s="148"/>
    </row>
    <row r="46" spans="3:20" ht="30" customHeight="1" x14ac:dyDescent="0.2">
      <c r="C46" s="114">
        <v>32</v>
      </c>
      <c r="D46" s="63">
        <v>19</v>
      </c>
      <c r="E46" s="116" t="s">
        <v>443</v>
      </c>
      <c r="F46" s="70">
        <v>2</v>
      </c>
      <c r="G46" s="61">
        <v>3.5</v>
      </c>
      <c r="H46" s="61">
        <v>2</v>
      </c>
      <c r="I46" s="64">
        <v>3.9</v>
      </c>
      <c r="J46" s="101">
        <v>1.79</v>
      </c>
      <c r="K46" s="105">
        <v>2</v>
      </c>
      <c r="L46" s="62">
        <v>4.3</v>
      </c>
      <c r="M46" s="62">
        <v>2</v>
      </c>
      <c r="N46" s="64">
        <v>4.7</v>
      </c>
      <c r="O46" s="62">
        <v>8.6</v>
      </c>
      <c r="P46" s="101">
        <v>2.37</v>
      </c>
      <c r="Q46" s="110"/>
      <c r="R46" s="149"/>
      <c r="S46" s="148"/>
      <c r="T46" s="148"/>
    </row>
    <row r="47" spans="3:20" ht="30" customHeight="1" x14ac:dyDescent="0.2">
      <c r="C47" s="114">
        <v>35</v>
      </c>
      <c r="D47" s="63">
        <v>68</v>
      </c>
      <c r="E47" s="116" t="s">
        <v>462</v>
      </c>
      <c r="F47" s="70">
        <v>2</v>
      </c>
      <c r="G47" s="61">
        <v>3.48</v>
      </c>
      <c r="H47" s="61">
        <v>2</v>
      </c>
      <c r="I47" s="64">
        <v>3.88</v>
      </c>
      <c r="J47" s="101">
        <v>1.89</v>
      </c>
      <c r="K47" s="105">
        <v>2</v>
      </c>
      <c r="L47" s="62">
        <v>3.58</v>
      </c>
      <c r="M47" s="62">
        <v>2</v>
      </c>
      <c r="N47" s="64">
        <v>3.98</v>
      </c>
      <c r="O47" s="62">
        <v>7.86</v>
      </c>
      <c r="P47" s="101">
        <v>1.89</v>
      </c>
      <c r="Q47" s="110"/>
      <c r="R47" s="149"/>
      <c r="S47" s="148"/>
      <c r="T47" s="148"/>
    </row>
    <row r="48" spans="3:20" ht="30" customHeight="1" x14ac:dyDescent="0.2">
      <c r="C48" s="114">
        <v>47</v>
      </c>
      <c r="D48" s="63">
        <v>74</v>
      </c>
      <c r="E48" s="116" t="s">
        <v>468</v>
      </c>
      <c r="F48" s="70">
        <v>2</v>
      </c>
      <c r="G48" s="61">
        <v>3.46</v>
      </c>
      <c r="H48" s="61">
        <v>2</v>
      </c>
      <c r="I48" s="64">
        <v>3.86</v>
      </c>
      <c r="J48" s="101">
        <v>1.8</v>
      </c>
      <c r="K48" s="105">
        <v>1</v>
      </c>
      <c r="L48" s="62">
        <v>2.25</v>
      </c>
      <c r="M48" s="62">
        <v>1</v>
      </c>
      <c r="N48" s="64">
        <v>2.4500000000000002</v>
      </c>
      <c r="O48" s="62">
        <v>6.31</v>
      </c>
      <c r="P48" s="101">
        <v>2.25</v>
      </c>
      <c r="Q48" s="110"/>
      <c r="R48" s="149"/>
      <c r="S48" s="148"/>
      <c r="T48" s="148"/>
    </row>
    <row r="49" spans="3:20" ht="30" customHeight="1" x14ac:dyDescent="0.2">
      <c r="C49" s="114">
        <v>63</v>
      </c>
      <c r="D49" s="63">
        <v>73</v>
      </c>
      <c r="E49" s="116" t="s">
        <v>467</v>
      </c>
      <c r="F49" s="70">
        <v>1</v>
      </c>
      <c r="G49" s="61">
        <v>2.46</v>
      </c>
      <c r="H49" s="61">
        <v>1</v>
      </c>
      <c r="I49" s="64">
        <v>2.66</v>
      </c>
      <c r="J49" s="101">
        <v>2.46</v>
      </c>
      <c r="K49" s="105">
        <v>0</v>
      </c>
      <c r="L49" s="62">
        <v>0</v>
      </c>
      <c r="M49" s="62">
        <v>0</v>
      </c>
      <c r="N49" s="64">
        <v>0</v>
      </c>
      <c r="O49" s="62">
        <v>2.66</v>
      </c>
      <c r="P49" s="101">
        <v>0</v>
      </c>
      <c r="Q49" s="110"/>
      <c r="R49" s="149"/>
      <c r="S49" s="148"/>
      <c r="T49" s="148"/>
    </row>
    <row r="50" spans="3:20" ht="30" customHeight="1" x14ac:dyDescent="0.2">
      <c r="C50" s="114">
        <v>43</v>
      </c>
      <c r="D50" s="63">
        <v>53</v>
      </c>
      <c r="E50" s="116" t="s">
        <v>367</v>
      </c>
      <c r="F50" s="70">
        <v>1</v>
      </c>
      <c r="G50" s="61">
        <v>2.2999999999999998</v>
      </c>
      <c r="H50" s="61">
        <v>1</v>
      </c>
      <c r="I50" s="64">
        <v>2.5</v>
      </c>
      <c r="J50" s="101">
        <v>2.2999999999999998</v>
      </c>
      <c r="K50" s="105">
        <v>2</v>
      </c>
      <c r="L50" s="62">
        <v>3.86</v>
      </c>
      <c r="M50" s="62">
        <v>2</v>
      </c>
      <c r="N50" s="64">
        <v>4.26</v>
      </c>
      <c r="O50" s="62">
        <v>6.76</v>
      </c>
      <c r="P50" s="101">
        <v>1.97</v>
      </c>
      <c r="Q50" s="110"/>
      <c r="R50" s="149"/>
      <c r="S50" s="148"/>
      <c r="T50" s="148"/>
    </row>
    <row r="51" spans="3:20" ht="30" customHeight="1" x14ac:dyDescent="0.2">
      <c r="C51" s="114">
        <v>40</v>
      </c>
      <c r="D51" s="63">
        <v>33</v>
      </c>
      <c r="E51" s="116" t="s">
        <v>445</v>
      </c>
      <c r="F51" s="70">
        <v>1</v>
      </c>
      <c r="G51" s="61">
        <v>2.0099999999999998</v>
      </c>
      <c r="H51" s="61">
        <v>1</v>
      </c>
      <c r="I51" s="64">
        <v>2.21</v>
      </c>
      <c r="J51" s="101">
        <v>2.0099999999999998</v>
      </c>
      <c r="K51" s="105">
        <v>2</v>
      </c>
      <c r="L51" s="62">
        <v>4.54</v>
      </c>
      <c r="M51" s="62">
        <v>2</v>
      </c>
      <c r="N51" s="64">
        <v>4.9400000000000004</v>
      </c>
      <c r="O51" s="62">
        <v>7.15</v>
      </c>
      <c r="P51" s="101">
        <v>2.56</v>
      </c>
      <c r="Q51" s="110"/>
      <c r="R51" s="149"/>
      <c r="S51" s="148"/>
      <c r="T51" s="148"/>
    </row>
    <row r="52" spans="3:20" ht="30" customHeight="1" x14ac:dyDescent="0.2">
      <c r="C52" s="114">
        <v>46</v>
      </c>
      <c r="D52" s="63">
        <v>41</v>
      </c>
      <c r="E52" s="116" t="s">
        <v>447</v>
      </c>
      <c r="F52" s="70">
        <v>1</v>
      </c>
      <c r="G52" s="61">
        <v>1.95</v>
      </c>
      <c r="H52" s="61">
        <v>1</v>
      </c>
      <c r="I52" s="64">
        <v>2.15</v>
      </c>
      <c r="J52" s="101">
        <v>1.95</v>
      </c>
      <c r="K52" s="105">
        <v>2</v>
      </c>
      <c r="L52" s="62">
        <v>4.01</v>
      </c>
      <c r="M52" s="62">
        <v>2</v>
      </c>
      <c r="N52" s="64">
        <v>4.41</v>
      </c>
      <c r="O52" s="62">
        <v>6.56</v>
      </c>
      <c r="P52" s="101">
        <v>2.14</v>
      </c>
      <c r="Q52" s="110"/>
      <c r="R52" s="149"/>
      <c r="S52" s="148"/>
      <c r="T52" s="148"/>
    </row>
    <row r="53" spans="3:20" ht="30" customHeight="1" x14ac:dyDescent="0.2">
      <c r="C53" s="114">
        <v>38</v>
      </c>
      <c r="D53" s="63">
        <v>32</v>
      </c>
      <c r="E53" s="116" t="s">
        <v>245</v>
      </c>
      <c r="F53" s="70">
        <v>1</v>
      </c>
      <c r="G53" s="61">
        <v>1.85</v>
      </c>
      <c r="H53" s="61">
        <v>1</v>
      </c>
      <c r="I53" s="64">
        <v>2.0499999999999998</v>
      </c>
      <c r="J53" s="101">
        <v>1.85</v>
      </c>
      <c r="K53" s="105">
        <v>2</v>
      </c>
      <c r="L53" s="62">
        <v>4.79</v>
      </c>
      <c r="M53" s="62">
        <v>2</v>
      </c>
      <c r="N53" s="64">
        <v>5.19</v>
      </c>
      <c r="O53" s="62">
        <v>7.24</v>
      </c>
      <c r="P53" s="101">
        <v>2.5299999999999998</v>
      </c>
      <c r="Q53" s="110"/>
      <c r="R53" s="150"/>
      <c r="S53" s="148"/>
      <c r="T53" s="148"/>
    </row>
    <row r="54" spans="3:20" ht="30" customHeight="1" x14ac:dyDescent="0.2">
      <c r="C54" s="114">
        <v>65</v>
      </c>
      <c r="D54" s="63">
        <v>48</v>
      </c>
      <c r="E54" s="116" t="s">
        <v>450</v>
      </c>
      <c r="F54" s="70">
        <v>1</v>
      </c>
      <c r="G54" s="61">
        <v>1.83</v>
      </c>
      <c r="H54" s="61">
        <v>1</v>
      </c>
      <c r="I54" s="64">
        <v>2.0299999999999998</v>
      </c>
      <c r="J54" s="101">
        <v>1.83</v>
      </c>
      <c r="K54" s="105">
        <v>0</v>
      </c>
      <c r="L54" s="62">
        <v>0</v>
      </c>
      <c r="M54" s="62">
        <v>0</v>
      </c>
      <c r="N54" s="64">
        <v>0</v>
      </c>
      <c r="O54" s="62">
        <v>2.0299999999999998</v>
      </c>
      <c r="P54" s="101">
        <v>0</v>
      </c>
      <c r="Q54" s="110"/>
      <c r="R54" s="149"/>
      <c r="S54" s="148"/>
      <c r="T54" s="148"/>
    </row>
    <row r="55" spans="3:20" ht="30" customHeight="1" x14ac:dyDescent="0.2">
      <c r="C55" s="114">
        <v>66</v>
      </c>
      <c r="D55" s="63">
        <v>1</v>
      </c>
      <c r="E55" s="115" t="s">
        <v>470</v>
      </c>
      <c r="F55" s="70">
        <v>1</v>
      </c>
      <c r="G55" s="61">
        <v>1.78</v>
      </c>
      <c r="H55" s="61">
        <v>1</v>
      </c>
      <c r="I55" s="64">
        <v>1.98</v>
      </c>
      <c r="J55" s="101">
        <v>1.78</v>
      </c>
      <c r="K55" s="105">
        <v>0</v>
      </c>
      <c r="L55" s="62">
        <v>0</v>
      </c>
      <c r="M55" s="62">
        <v>0</v>
      </c>
      <c r="N55" s="64">
        <v>0</v>
      </c>
      <c r="O55" s="62">
        <v>1.98</v>
      </c>
      <c r="P55" s="101">
        <v>0</v>
      </c>
      <c r="Q55" s="110" t="s">
        <v>473</v>
      </c>
      <c r="R55" s="149"/>
      <c r="S55" s="148"/>
      <c r="T55" s="148"/>
    </row>
    <row r="56" spans="3:20" ht="30" customHeight="1" x14ac:dyDescent="0.2">
      <c r="C56" s="114">
        <v>61</v>
      </c>
      <c r="D56" s="63">
        <v>40</v>
      </c>
      <c r="E56" s="116" t="s">
        <v>370</v>
      </c>
      <c r="F56" s="70">
        <v>1</v>
      </c>
      <c r="G56" s="61">
        <v>1.71</v>
      </c>
      <c r="H56" s="61">
        <v>1</v>
      </c>
      <c r="I56" s="64">
        <v>1.91</v>
      </c>
      <c r="J56" s="101">
        <v>1.71</v>
      </c>
      <c r="K56" s="105">
        <v>1</v>
      </c>
      <c r="L56" s="62">
        <v>1.91</v>
      </c>
      <c r="M56" s="62">
        <v>1</v>
      </c>
      <c r="N56" s="64">
        <v>2.11</v>
      </c>
      <c r="O56" s="62">
        <v>4.0199999999999996</v>
      </c>
      <c r="P56" s="101">
        <v>1.91</v>
      </c>
      <c r="Q56" s="110"/>
      <c r="R56" s="149"/>
      <c r="S56" s="148"/>
      <c r="T56" s="148"/>
    </row>
    <row r="57" spans="3:20" ht="30" customHeight="1" x14ac:dyDescent="0.2">
      <c r="C57" s="114">
        <v>62</v>
      </c>
      <c r="D57" s="63">
        <v>67</v>
      </c>
      <c r="E57" s="116" t="s">
        <v>410</v>
      </c>
      <c r="F57" s="70">
        <v>1</v>
      </c>
      <c r="G57" s="61">
        <v>1.66</v>
      </c>
      <c r="H57" s="61">
        <v>1</v>
      </c>
      <c r="I57" s="64">
        <v>1.86</v>
      </c>
      <c r="J57" s="101">
        <v>1.66</v>
      </c>
      <c r="K57" s="105">
        <v>1</v>
      </c>
      <c r="L57" s="62">
        <v>1.69</v>
      </c>
      <c r="M57" s="62">
        <v>1</v>
      </c>
      <c r="N57" s="64">
        <v>1.89</v>
      </c>
      <c r="O57" s="62">
        <v>3.75</v>
      </c>
      <c r="P57" s="101">
        <v>1.69</v>
      </c>
      <c r="Q57" s="110"/>
      <c r="R57" s="149"/>
      <c r="S57" s="148"/>
      <c r="T57" s="148"/>
    </row>
    <row r="58" spans="3:20" ht="30" customHeight="1" x14ac:dyDescent="0.2">
      <c r="C58" s="114">
        <v>50</v>
      </c>
      <c r="D58" s="63">
        <v>75</v>
      </c>
      <c r="E58" s="116" t="s">
        <v>472</v>
      </c>
      <c r="F58" s="70">
        <v>1</v>
      </c>
      <c r="G58" s="61">
        <v>1.64</v>
      </c>
      <c r="H58" s="61">
        <v>1</v>
      </c>
      <c r="I58" s="64">
        <v>1.84</v>
      </c>
      <c r="J58" s="101">
        <v>1.64</v>
      </c>
      <c r="K58" s="105">
        <v>1</v>
      </c>
      <c r="L58" s="62">
        <v>2.71</v>
      </c>
      <c r="M58" s="62">
        <v>1</v>
      </c>
      <c r="N58" s="64">
        <v>2.91</v>
      </c>
      <c r="O58" s="62">
        <v>4.75</v>
      </c>
      <c r="P58" s="101">
        <v>2.71</v>
      </c>
      <c r="Q58" s="110"/>
      <c r="R58" s="150"/>
      <c r="S58" s="148"/>
      <c r="T58" s="148"/>
    </row>
    <row r="59" spans="3:20" ht="30" customHeight="1" x14ac:dyDescent="0.2">
      <c r="C59" s="114">
        <v>67</v>
      </c>
      <c r="D59" s="63">
        <v>50</v>
      </c>
      <c r="E59" s="116" t="s">
        <v>308</v>
      </c>
      <c r="F59" s="70">
        <v>1</v>
      </c>
      <c r="G59" s="61">
        <v>1.64</v>
      </c>
      <c r="H59" s="61">
        <v>1</v>
      </c>
      <c r="I59" s="64">
        <v>1.84</v>
      </c>
      <c r="J59" s="101">
        <v>1.64</v>
      </c>
      <c r="K59" s="105">
        <v>0</v>
      </c>
      <c r="L59" s="62">
        <v>0</v>
      </c>
      <c r="M59" s="62">
        <v>0</v>
      </c>
      <c r="N59" s="64">
        <v>0</v>
      </c>
      <c r="O59" s="62">
        <v>1.84</v>
      </c>
      <c r="P59" s="101">
        <v>0</v>
      </c>
      <c r="Q59" s="110"/>
      <c r="R59" s="149"/>
      <c r="S59" s="148"/>
      <c r="T59" s="148"/>
    </row>
    <row r="60" spans="3:20" ht="30" customHeight="1" x14ac:dyDescent="0.2">
      <c r="C60" s="114">
        <v>48</v>
      </c>
      <c r="D60" s="63">
        <v>27</v>
      </c>
      <c r="E60" s="116" t="s">
        <v>384</v>
      </c>
      <c r="F60" s="70">
        <v>1</v>
      </c>
      <c r="G60" s="61">
        <v>0.56000000000000005</v>
      </c>
      <c r="H60" s="61">
        <v>1</v>
      </c>
      <c r="I60" s="64">
        <v>0.76</v>
      </c>
      <c r="J60" s="101">
        <v>0.56000000000000005</v>
      </c>
      <c r="K60" s="105">
        <v>2</v>
      </c>
      <c r="L60" s="62">
        <v>4.41</v>
      </c>
      <c r="M60" s="62">
        <v>2</v>
      </c>
      <c r="N60" s="64">
        <v>4.8099999999999996</v>
      </c>
      <c r="O60" s="62">
        <v>5.57</v>
      </c>
      <c r="P60" s="101">
        <v>2.4300000000000002</v>
      </c>
      <c r="Q60" s="110"/>
      <c r="R60" s="149"/>
      <c r="S60" s="148"/>
      <c r="T60" s="148"/>
    </row>
    <row r="61" spans="3:20" ht="30" customHeight="1" x14ac:dyDescent="0.2">
      <c r="C61" s="114">
        <v>37</v>
      </c>
      <c r="D61" s="63">
        <v>69</v>
      </c>
      <c r="E61" s="116" t="s">
        <v>463</v>
      </c>
      <c r="F61" s="70">
        <v>0</v>
      </c>
      <c r="G61" s="61">
        <v>0</v>
      </c>
      <c r="H61" s="61">
        <v>0</v>
      </c>
      <c r="I61" s="64">
        <v>0</v>
      </c>
      <c r="J61" s="101">
        <v>0</v>
      </c>
      <c r="K61" s="105">
        <v>4</v>
      </c>
      <c r="L61" s="62">
        <v>6.49</v>
      </c>
      <c r="M61" s="62">
        <v>4</v>
      </c>
      <c r="N61" s="64">
        <v>7.29</v>
      </c>
      <c r="O61" s="62">
        <v>7.29</v>
      </c>
      <c r="P61" s="101">
        <v>2.2999999999999998</v>
      </c>
      <c r="Q61" s="110"/>
      <c r="R61" s="149"/>
      <c r="S61" s="148"/>
      <c r="T61" s="148"/>
    </row>
    <row r="62" spans="3:20" ht="30" customHeight="1" x14ac:dyDescent="0.2">
      <c r="C62" s="114">
        <v>42</v>
      </c>
      <c r="D62" s="63">
        <v>35</v>
      </c>
      <c r="E62" s="116" t="s">
        <v>263</v>
      </c>
      <c r="F62" s="70">
        <v>0</v>
      </c>
      <c r="G62" s="61">
        <v>0</v>
      </c>
      <c r="H62" s="61">
        <v>0</v>
      </c>
      <c r="I62" s="64">
        <v>0</v>
      </c>
      <c r="J62" s="101">
        <v>0</v>
      </c>
      <c r="K62" s="105">
        <v>4</v>
      </c>
      <c r="L62" s="62">
        <v>6.15</v>
      </c>
      <c r="M62" s="62">
        <v>4</v>
      </c>
      <c r="N62" s="64">
        <v>6.95</v>
      </c>
      <c r="O62" s="62">
        <v>6.95</v>
      </c>
      <c r="P62" s="101">
        <v>2.39</v>
      </c>
      <c r="Q62" s="110"/>
      <c r="R62" s="149"/>
      <c r="S62" s="148"/>
      <c r="T62" s="148"/>
    </row>
    <row r="63" spans="3:20" ht="30" customHeight="1" x14ac:dyDescent="0.2">
      <c r="C63" s="114">
        <v>49</v>
      </c>
      <c r="D63" s="63">
        <v>13</v>
      </c>
      <c r="E63" s="116" t="s">
        <v>441</v>
      </c>
      <c r="F63" s="70">
        <v>0</v>
      </c>
      <c r="G63" s="61">
        <v>0</v>
      </c>
      <c r="H63" s="61">
        <v>0</v>
      </c>
      <c r="I63" s="64">
        <v>0</v>
      </c>
      <c r="J63" s="101">
        <v>0</v>
      </c>
      <c r="K63" s="105">
        <v>2</v>
      </c>
      <c r="L63" s="62">
        <v>5.0599999999999996</v>
      </c>
      <c r="M63" s="62">
        <v>2</v>
      </c>
      <c r="N63" s="64">
        <v>5.46</v>
      </c>
      <c r="O63" s="62">
        <v>5.46</v>
      </c>
      <c r="P63" s="101">
        <v>2.67</v>
      </c>
      <c r="Q63" s="110"/>
      <c r="R63" s="149"/>
      <c r="S63" s="148"/>
      <c r="T63" s="148"/>
    </row>
    <row r="64" spans="3:20" ht="30" customHeight="1" x14ac:dyDescent="0.2">
      <c r="C64" s="114">
        <v>51</v>
      </c>
      <c r="D64" s="63">
        <v>29</v>
      </c>
      <c r="E64" s="116" t="s">
        <v>234</v>
      </c>
      <c r="F64" s="70">
        <v>0</v>
      </c>
      <c r="G64" s="61">
        <v>0</v>
      </c>
      <c r="H64" s="61">
        <v>0</v>
      </c>
      <c r="I64" s="64">
        <v>0</v>
      </c>
      <c r="J64" s="101">
        <v>0</v>
      </c>
      <c r="K64" s="105">
        <v>2</v>
      </c>
      <c r="L64" s="62">
        <v>4.17</v>
      </c>
      <c r="M64" s="62">
        <v>2</v>
      </c>
      <c r="N64" s="64">
        <v>4.57</v>
      </c>
      <c r="O64" s="62">
        <v>4.57</v>
      </c>
      <c r="P64" s="101">
        <v>2.09</v>
      </c>
      <c r="Q64" s="110"/>
      <c r="R64" s="149"/>
      <c r="S64" s="148"/>
      <c r="T64" s="148"/>
    </row>
    <row r="65" spans="3:20" ht="30" customHeight="1" x14ac:dyDescent="0.2">
      <c r="C65" s="114">
        <v>55</v>
      </c>
      <c r="D65" s="63">
        <v>61</v>
      </c>
      <c r="E65" s="116" t="s">
        <v>457</v>
      </c>
      <c r="F65" s="70">
        <v>0</v>
      </c>
      <c r="G65" s="61">
        <v>0</v>
      </c>
      <c r="H65" s="61">
        <v>0</v>
      </c>
      <c r="I65" s="64">
        <v>0</v>
      </c>
      <c r="J65" s="101">
        <v>0</v>
      </c>
      <c r="K65" s="105">
        <v>2</v>
      </c>
      <c r="L65" s="62">
        <v>3.83</v>
      </c>
      <c r="M65" s="62">
        <v>2</v>
      </c>
      <c r="N65" s="64">
        <v>4.2300000000000004</v>
      </c>
      <c r="O65" s="62">
        <v>4.2300000000000004</v>
      </c>
      <c r="P65" s="101">
        <v>1.98</v>
      </c>
      <c r="Q65" s="110"/>
      <c r="R65" s="150"/>
      <c r="S65" s="148"/>
      <c r="T65" s="148"/>
    </row>
    <row r="66" spans="3:20" ht="30" customHeight="1" x14ac:dyDescent="0.2">
      <c r="C66" s="114">
        <v>56</v>
      </c>
      <c r="D66" s="63">
        <v>43</v>
      </c>
      <c r="E66" s="116" t="s">
        <v>388</v>
      </c>
      <c r="F66" s="70">
        <v>0</v>
      </c>
      <c r="G66" s="61">
        <v>0</v>
      </c>
      <c r="H66" s="61">
        <v>0</v>
      </c>
      <c r="I66" s="64">
        <v>0</v>
      </c>
      <c r="J66" s="101">
        <v>0</v>
      </c>
      <c r="K66" s="105">
        <v>2</v>
      </c>
      <c r="L66" s="62">
        <v>3.8</v>
      </c>
      <c r="M66" s="62">
        <v>2</v>
      </c>
      <c r="N66" s="64">
        <v>4.2</v>
      </c>
      <c r="O66" s="62">
        <v>4.2</v>
      </c>
      <c r="P66" s="101">
        <v>1.95</v>
      </c>
      <c r="Q66" s="110"/>
      <c r="R66" s="149"/>
      <c r="S66" s="148"/>
      <c r="T66" s="148"/>
    </row>
    <row r="67" spans="3:20" ht="30" customHeight="1" x14ac:dyDescent="0.2">
      <c r="C67" s="114">
        <v>59</v>
      </c>
      <c r="D67" s="63">
        <v>20</v>
      </c>
      <c r="E67" s="116" t="s">
        <v>330</v>
      </c>
      <c r="F67" s="70">
        <v>0</v>
      </c>
      <c r="G67" s="61">
        <v>0</v>
      </c>
      <c r="H67" s="61">
        <v>0</v>
      </c>
      <c r="I67" s="64">
        <v>0</v>
      </c>
      <c r="J67" s="101">
        <v>0</v>
      </c>
      <c r="K67" s="105">
        <v>2</v>
      </c>
      <c r="L67" s="62">
        <v>3.67</v>
      </c>
      <c r="M67" s="62">
        <v>2</v>
      </c>
      <c r="N67" s="64">
        <v>4.07</v>
      </c>
      <c r="O67" s="62">
        <v>4.07</v>
      </c>
      <c r="P67" s="101">
        <v>2.67</v>
      </c>
      <c r="Q67" s="110"/>
      <c r="R67" s="149"/>
      <c r="S67" s="148"/>
      <c r="T67" s="148"/>
    </row>
    <row r="68" spans="3:20" ht="30" customHeight="1" x14ac:dyDescent="0.2">
      <c r="C68" s="114">
        <v>60</v>
      </c>
      <c r="D68" s="63">
        <v>56</v>
      </c>
      <c r="E68" s="116" t="s">
        <v>453</v>
      </c>
      <c r="F68" s="70">
        <v>0</v>
      </c>
      <c r="G68" s="61">
        <v>0</v>
      </c>
      <c r="H68" s="61">
        <v>0</v>
      </c>
      <c r="I68" s="64">
        <v>0</v>
      </c>
      <c r="J68" s="101">
        <v>0</v>
      </c>
      <c r="K68" s="105">
        <v>2</v>
      </c>
      <c r="L68" s="62">
        <v>3.65</v>
      </c>
      <c r="M68" s="62">
        <v>2</v>
      </c>
      <c r="N68" s="64">
        <v>4.05</v>
      </c>
      <c r="O68" s="62">
        <v>4.05</v>
      </c>
      <c r="P68" s="101">
        <v>1.93</v>
      </c>
      <c r="Q68" s="110"/>
      <c r="R68" s="149"/>
      <c r="S68" s="148"/>
      <c r="T68" s="148"/>
    </row>
    <row r="69" spans="3:20" ht="30" customHeight="1" x14ac:dyDescent="0.2">
      <c r="C69" s="114">
        <v>64</v>
      </c>
      <c r="D69" s="63">
        <v>57</v>
      </c>
      <c r="E69" s="116" t="s">
        <v>454</v>
      </c>
      <c r="F69" s="70">
        <v>0</v>
      </c>
      <c r="G69" s="61">
        <v>0</v>
      </c>
      <c r="H69" s="61">
        <v>0</v>
      </c>
      <c r="I69" s="64">
        <v>0</v>
      </c>
      <c r="J69" s="101">
        <v>0</v>
      </c>
      <c r="K69" s="105">
        <v>1</v>
      </c>
      <c r="L69" s="62">
        <v>2.25</v>
      </c>
      <c r="M69" s="62">
        <v>1</v>
      </c>
      <c r="N69" s="64">
        <v>2.4500000000000002</v>
      </c>
      <c r="O69" s="62">
        <v>2.4500000000000002</v>
      </c>
      <c r="P69" s="101">
        <v>2.25</v>
      </c>
      <c r="Q69" s="110"/>
      <c r="R69" s="149"/>
      <c r="S69" s="148"/>
      <c r="T69" s="148"/>
    </row>
    <row r="70" spans="3:20" ht="30" customHeight="1" x14ac:dyDescent="0.2">
      <c r="C70" s="114">
        <v>68</v>
      </c>
      <c r="D70" s="63">
        <v>71</v>
      </c>
      <c r="E70" s="116" t="s">
        <v>465</v>
      </c>
      <c r="F70" s="70">
        <v>0</v>
      </c>
      <c r="G70" s="61">
        <v>0</v>
      </c>
      <c r="H70" s="61">
        <v>0</v>
      </c>
      <c r="I70" s="64">
        <v>0</v>
      </c>
      <c r="J70" s="101">
        <v>0</v>
      </c>
      <c r="K70" s="105">
        <v>0</v>
      </c>
      <c r="L70" s="62">
        <v>0</v>
      </c>
      <c r="M70" s="62">
        <v>0</v>
      </c>
      <c r="N70" s="64">
        <v>0</v>
      </c>
      <c r="O70" s="62">
        <v>0</v>
      </c>
      <c r="P70" s="101">
        <v>0</v>
      </c>
      <c r="Q70" s="110"/>
      <c r="R70" s="149"/>
      <c r="S70" s="148"/>
      <c r="T70" s="148"/>
    </row>
    <row r="71" spans="3:20" ht="30" customHeight="1" x14ac:dyDescent="0.2">
      <c r="C71" s="114">
        <v>68</v>
      </c>
      <c r="D71" s="63">
        <v>65</v>
      </c>
      <c r="E71" s="116" t="s">
        <v>469</v>
      </c>
      <c r="F71" s="70">
        <v>0</v>
      </c>
      <c r="G71" s="61">
        <v>0</v>
      </c>
      <c r="H71" s="61">
        <v>0</v>
      </c>
      <c r="I71" s="64">
        <v>0</v>
      </c>
      <c r="J71" s="101">
        <v>0</v>
      </c>
      <c r="K71" s="105">
        <v>0</v>
      </c>
      <c r="L71" s="62">
        <v>0</v>
      </c>
      <c r="M71" s="62">
        <v>0</v>
      </c>
      <c r="N71" s="64">
        <v>0</v>
      </c>
      <c r="O71" s="62">
        <v>0</v>
      </c>
      <c r="P71" s="101">
        <v>0</v>
      </c>
      <c r="Q71" s="110"/>
      <c r="R71" s="149"/>
      <c r="S71" s="148"/>
      <c r="T71" s="148"/>
    </row>
    <row r="72" spans="3:20" ht="30" customHeight="1" x14ac:dyDescent="0.2">
      <c r="C72" s="114">
        <v>68</v>
      </c>
      <c r="D72" s="63">
        <v>64</v>
      </c>
      <c r="E72" s="116" t="s">
        <v>460</v>
      </c>
      <c r="F72" s="70">
        <v>0</v>
      </c>
      <c r="G72" s="61">
        <v>0</v>
      </c>
      <c r="H72" s="61">
        <v>0</v>
      </c>
      <c r="I72" s="64">
        <v>0</v>
      </c>
      <c r="J72" s="101">
        <v>0</v>
      </c>
      <c r="K72" s="105">
        <v>0</v>
      </c>
      <c r="L72" s="62">
        <v>0</v>
      </c>
      <c r="M72" s="62">
        <v>0</v>
      </c>
      <c r="N72" s="64">
        <v>0</v>
      </c>
      <c r="O72" s="62">
        <v>0</v>
      </c>
      <c r="P72" s="101">
        <v>0</v>
      </c>
      <c r="Q72" s="110"/>
      <c r="R72" s="149"/>
      <c r="S72" s="148"/>
      <c r="T72" s="148"/>
    </row>
    <row r="73" spans="3:20" ht="30" customHeight="1" x14ac:dyDescent="0.2">
      <c r="C73" s="114">
        <v>68</v>
      </c>
      <c r="D73" s="63">
        <v>58</v>
      </c>
      <c r="E73" s="116" t="s">
        <v>455</v>
      </c>
      <c r="F73" s="70">
        <v>0</v>
      </c>
      <c r="G73" s="61">
        <v>0</v>
      </c>
      <c r="H73" s="61">
        <v>0</v>
      </c>
      <c r="I73" s="64">
        <v>0</v>
      </c>
      <c r="J73" s="101">
        <v>0</v>
      </c>
      <c r="K73" s="105">
        <v>0</v>
      </c>
      <c r="L73" s="62">
        <v>0</v>
      </c>
      <c r="M73" s="62">
        <v>0</v>
      </c>
      <c r="N73" s="64">
        <v>0</v>
      </c>
      <c r="O73" s="62">
        <v>0</v>
      </c>
      <c r="P73" s="101">
        <v>0</v>
      </c>
      <c r="Q73" s="110"/>
      <c r="R73" s="149"/>
      <c r="S73" s="148"/>
      <c r="T73" s="148"/>
    </row>
    <row r="74" spans="3:20" ht="30" customHeight="1" x14ac:dyDescent="0.2">
      <c r="C74" s="114">
        <v>68</v>
      </c>
      <c r="D74" s="63">
        <v>54</v>
      </c>
      <c r="E74" s="116" t="s">
        <v>452</v>
      </c>
      <c r="F74" s="70">
        <v>0</v>
      </c>
      <c r="G74" s="61">
        <v>0</v>
      </c>
      <c r="H74" s="61">
        <v>0</v>
      </c>
      <c r="I74" s="64">
        <v>0</v>
      </c>
      <c r="J74" s="101">
        <v>0</v>
      </c>
      <c r="K74" s="105">
        <v>0</v>
      </c>
      <c r="L74" s="62">
        <v>0</v>
      </c>
      <c r="M74" s="62">
        <v>0</v>
      </c>
      <c r="N74" s="64">
        <v>0</v>
      </c>
      <c r="O74" s="62">
        <v>0</v>
      </c>
      <c r="P74" s="101">
        <v>0</v>
      </c>
      <c r="Q74" s="110"/>
      <c r="R74" s="149"/>
      <c r="S74" s="148"/>
      <c r="T74" s="148"/>
    </row>
    <row r="75" spans="3:20" ht="30" customHeight="1" x14ac:dyDescent="0.2">
      <c r="C75" s="114">
        <v>68</v>
      </c>
      <c r="D75" s="63">
        <v>47</v>
      </c>
      <c r="E75" s="116" t="s">
        <v>449</v>
      </c>
      <c r="F75" s="70">
        <v>0</v>
      </c>
      <c r="G75" s="61">
        <v>0</v>
      </c>
      <c r="H75" s="61">
        <v>0</v>
      </c>
      <c r="I75" s="64">
        <v>0</v>
      </c>
      <c r="J75" s="101">
        <v>0</v>
      </c>
      <c r="K75" s="105">
        <v>0</v>
      </c>
      <c r="L75" s="62">
        <v>0</v>
      </c>
      <c r="M75" s="62">
        <v>0</v>
      </c>
      <c r="N75" s="64">
        <v>0</v>
      </c>
      <c r="O75" s="62">
        <v>0</v>
      </c>
      <c r="P75" s="101">
        <v>0</v>
      </c>
      <c r="Q75" s="110"/>
      <c r="R75" s="149"/>
      <c r="S75" s="148"/>
      <c r="T75" s="148"/>
    </row>
    <row r="76" spans="3:20" ht="30" customHeight="1" x14ac:dyDescent="0.2">
      <c r="C76" s="114">
        <v>68</v>
      </c>
      <c r="D76" s="63">
        <v>37</v>
      </c>
      <c r="E76" s="116" t="s">
        <v>446</v>
      </c>
      <c r="F76" s="70">
        <v>0</v>
      </c>
      <c r="G76" s="61">
        <v>0</v>
      </c>
      <c r="H76" s="61">
        <v>0</v>
      </c>
      <c r="I76" s="64">
        <v>0</v>
      </c>
      <c r="J76" s="101">
        <v>0</v>
      </c>
      <c r="K76" s="105">
        <v>0</v>
      </c>
      <c r="L76" s="62">
        <v>0</v>
      </c>
      <c r="M76" s="62">
        <v>0</v>
      </c>
      <c r="N76" s="64">
        <v>0</v>
      </c>
      <c r="O76" s="62">
        <v>0</v>
      </c>
      <c r="P76" s="101">
        <v>0</v>
      </c>
      <c r="Q76" s="110"/>
      <c r="R76" s="149"/>
      <c r="S76" s="148"/>
      <c r="T76" s="148"/>
    </row>
    <row r="77" spans="3:20" ht="30" customHeight="1" x14ac:dyDescent="0.2">
      <c r="C77" s="114">
        <v>68</v>
      </c>
      <c r="D77" s="63">
        <v>11</v>
      </c>
      <c r="E77" s="116" t="s">
        <v>392</v>
      </c>
      <c r="F77" s="70">
        <v>0</v>
      </c>
      <c r="G77" s="61">
        <v>0</v>
      </c>
      <c r="H77" s="61">
        <v>0</v>
      </c>
      <c r="I77" s="64">
        <v>0</v>
      </c>
      <c r="J77" s="101">
        <v>0</v>
      </c>
      <c r="K77" s="105">
        <v>0</v>
      </c>
      <c r="L77" s="62">
        <v>0</v>
      </c>
      <c r="M77" s="62">
        <v>0</v>
      </c>
      <c r="N77" s="64">
        <v>0</v>
      </c>
      <c r="O77" s="62">
        <v>0</v>
      </c>
      <c r="P77" s="101">
        <v>0</v>
      </c>
      <c r="Q77" s="110"/>
      <c r="R77" s="149"/>
      <c r="S77" s="148"/>
      <c r="T77" s="148"/>
    </row>
    <row r="78" spans="3:20" ht="30" customHeight="1" thickBot="1" x14ac:dyDescent="0.25">
      <c r="C78" s="114"/>
      <c r="D78" s="63"/>
      <c r="E78" s="116"/>
      <c r="F78" s="70"/>
      <c r="G78" s="61"/>
      <c r="H78" s="61"/>
      <c r="I78" s="64"/>
      <c r="J78" s="101"/>
      <c r="K78" s="105"/>
      <c r="L78" s="62"/>
      <c r="M78" s="62"/>
      <c r="N78" s="64"/>
      <c r="O78" s="62"/>
      <c r="P78" s="101"/>
      <c r="Q78" s="111"/>
      <c r="R78" s="151"/>
      <c r="S78" s="148"/>
      <c r="T78" s="148"/>
    </row>
    <row r="79" spans="3:20" ht="30" customHeight="1" x14ac:dyDescent="0.2">
      <c r="C79" s="114"/>
      <c r="D79" s="63"/>
      <c r="E79" s="116"/>
      <c r="F79" s="70"/>
      <c r="G79" s="61"/>
      <c r="H79" s="61"/>
      <c r="I79" s="64"/>
      <c r="J79" s="101"/>
      <c r="K79" s="105"/>
      <c r="L79" s="62"/>
      <c r="M79" s="62"/>
      <c r="N79" s="64"/>
      <c r="O79" s="62"/>
      <c r="P79" s="101"/>
      <c r="Q79" s="31"/>
      <c r="R79" s="165"/>
      <c r="S79" s="148"/>
      <c r="T79" s="148"/>
    </row>
    <row r="80" spans="3:20" ht="30" customHeight="1" x14ac:dyDescent="0.2">
      <c r="C80" s="61"/>
      <c r="D80" s="63"/>
      <c r="E80" s="62"/>
      <c r="F80" s="61"/>
      <c r="G80" s="61"/>
      <c r="H80" s="61"/>
      <c r="I80" s="64"/>
      <c r="J80" s="65"/>
      <c r="K80" s="62"/>
      <c r="L80" s="62"/>
      <c r="M80" s="62"/>
      <c r="N80" s="64"/>
      <c r="O80" s="62"/>
      <c r="P80" s="65"/>
      <c r="Q80" s="27"/>
      <c r="R80" s="152"/>
      <c r="S80" s="148"/>
      <c r="T80" s="148"/>
    </row>
    <row r="81" spans="3:20" ht="30" customHeight="1" x14ac:dyDescent="0.2">
      <c r="C81" s="61"/>
      <c r="D81" s="63"/>
      <c r="E81" s="62"/>
      <c r="F81" s="61"/>
      <c r="G81" s="61"/>
      <c r="H81" s="61"/>
      <c r="I81" s="64"/>
      <c r="J81" s="65"/>
      <c r="K81" s="62"/>
      <c r="L81" s="62"/>
      <c r="M81" s="62"/>
      <c r="N81" s="64"/>
      <c r="O81" s="62"/>
      <c r="P81" s="65"/>
      <c r="Q81" s="27"/>
      <c r="R81" s="152"/>
      <c r="S81" s="148"/>
      <c r="T81" s="148"/>
    </row>
    <row r="82" spans="3:20" ht="30" customHeight="1" x14ac:dyDescent="0.2">
      <c r="C82" s="61"/>
      <c r="D82" s="63"/>
      <c r="E82" s="62"/>
      <c r="F82" s="61"/>
      <c r="G82" s="61"/>
      <c r="H82" s="61"/>
      <c r="I82" s="64"/>
      <c r="J82" s="65"/>
      <c r="K82" s="62"/>
      <c r="L82" s="62"/>
      <c r="M82" s="62"/>
      <c r="N82" s="64"/>
      <c r="O82" s="62"/>
      <c r="P82" s="65"/>
      <c r="Q82" s="27"/>
      <c r="R82" s="152"/>
      <c r="S82" s="148"/>
      <c r="T82" s="148"/>
    </row>
    <row r="83" spans="3:20" ht="30" customHeight="1" x14ac:dyDescent="0.2">
      <c r="C83" s="61"/>
      <c r="D83" s="63"/>
      <c r="E83" s="62"/>
      <c r="F83" s="61"/>
      <c r="G83" s="61"/>
      <c r="H83" s="61"/>
      <c r="I83" s="64"/>
      <c r="J83" s="65"/>
      <c r="K83" s="62"/>
      <c r="L83" s="62"/>
      <c r="M83" s="62"/>
      <c r="N83" s="64"/>
      <c r="O83" s="62"/>
      <c r="P83" s="65"/>
      <c r="Q83" s="27"/>
      <c r="R83" s="152"/>
    </row>
    <row r="84" spans="3:20" ht="30" customHeight="1" x14ac:dyDescent="0.2">
      <c r="C84" s="61"/>
      <c r="D84" s="63"/>
      <c r="E84" s="62"/>
      <c r="F84" s="61"/>
      <c r="G84" s="61"/>
      <c r="H84" s="61"/>
      <c r="I84" s="64"/>
      <c r="J84" s="65"/>
      <c r="K84" s="62"/>
      <c r="L84" s="62"/>
      <c r="M84" s="62"/>
      <c r="N84" s="64"/>
      <c r="O84" s="62"/>
      <c r="P84" s="65"/>
      <c r="Q84" s="27"/>
      <c r="R84" s="152"/>
    </row>
    <row r="85" spans="3:20" ht="30" customHeight="1" x14ac:dyDescent="0.2">
      <c r="C85" s="61"/>
      <c r="D85" s="63"/>
      <c r="E85" s="62"/>
      <c r="F85" s="61"/>
      <c r="G85" s="61"/>
      <c r="H85" s="61"/>
      <c r="I85" s="64"/>
      <c r="J85" s="65"/>
      <c r="K85" s="62"/>
      <c r="L85" s="62"/>
      <c r="M85" s="62"/>
      <c r="N85" s="64"/>
      <c r="O85" s="62"/>
      <c r="P85" s="65"/>
      <c r="Q85" s="27"/>
      <c r="R85" s="152"/>
    </row>
    <row r="86" spans="3:20" ht="30" customHeight="1" x14ac:dyDescent="0.2">
      <c r="C86" s="114"/>
      <c r="D86" s="63"/>
      <c r="E86" s="116"/>
      <c r="F86" s="70"/>
      <c r="G86" s="61"/>
      <c r="H86" s="61"/>
      <c r="I86" s="64"/>
      <c r="J86" s="101"/>
      <c r="K86" s="105"/>
      <c r="L86" s="62"/>
      <c r="M86" s="62"/>
      <c r="N86" s="64"/>
      <c r="O86" s="62"/>
      <c r="P86" s="101"/>
      <c r="Q86" s="110"/>
      <c r="R86" s="149"/>
    </row>
    <row r="87" spans="3:20" ht="30" customHeight="1" x14ac:dyDescent="0.2">
      <c r="C87" s="114"/>
      <c r="D87" s="63"/>
      <c r="E87" s="116"/>
      <c r="F87" s="70"/>
      <c r="G87" s="61"/>
      <c r="H87" s="61"/>
      <c r="I87" s="64"/>
      <c r="J87" s="101"/>
      <c r="K87" s="105"/>
      <c r="L87" s="62"/>
      <c r="M87" s="62"/>
      <c r="N87" s="64"/>
      <c r="O87" s="62"/>
      <c r="P87" s="101"/>
      <c r="Q87" s="110"/>
      <c r="R87" s="149"/>
    </row>
    <row r="88" spans="3:20" ht="30" customHeight="1" x14ac:dyDescent="0.2">
      <c r="C88" s="114"/>
      <c r="D88" s="63"/>
      <c r="E88" s="116"/>
      <c r="F88" s="70"/>
      <c r="G88" s="61"/>
      <c r="H88" s="61"/>
      <c r="I88" s="64"/>
      <c r="J88" s="101"/>
      <c r="K88" s="105"/>
      <c r="L88" s="62"/>
      <c r="M88" s="62"/>
      <c r="N88" s="64"/>
      <c r="O88" s="62"/>
      <c r="P88" s="101"/>
      <c r="Q88" s="110"/>
      <c r="R88" s="149"/>
    </row>
    <row r="89" spans="3:20" ht="30" customHeight="1" x14ac:dyDescent="0.2">
      <c r="C89" s="114"/>
      <c r="D89" s="63"/>
      <c r="E89" s="116"/>
      <c r="F89" s="70"/>
      <c r="G89" s="61"/>
      <c r="H89" s="61"/>
      <c r="I89" s="64"/>
      <c r="J89" s="101"/>
      <c r="K89" s="105"/>
      <c r="L89" s="62"/>
      <c r="M89" s="62"/>
      <c r="N89" s="64"/>
      <c r="O89" s="62"/>
      <c r="P89" s="101"/>
      <c r="Q89" s="110"/>
      <c r="R89" s="149"/>
    </row>
    <row r="90" spans="3:20" ht="30" customHeight="1" x14ac:dyDescent="0.2">
      <c r="C90" s="114"/>
      <c r="D90" s="63"/>
      <c r="E90" s="116"/>
      <c r="F90" s="70"/>
      <c r="G90" s="61"/>
      <c r="H90" s="61"/>
      <c r="I90" s="64"/>
      <c r="J90" s="101"/>
      <c r="K90" s="105"/>
      <c r="L90" s="62"/>
      <c r="M90" s="62"/>
      <c r="N90" s="64"/>
      <c r="O90" s="62"/>
      <c r="P90" s="101"/>
      <c r="Q90" s="110"/>
      <c r="R90" s="149"/>
    </row>
    <row r="91" spans="3:20" ht="30" customHeight="1" x14ac:dyDescent="0.2">
      <c r="C91" s="114"/>
      <c r="D91" s="63"/>
      <c r="E91" s="116"/>
      <c r="F91" s="70"/>
      <c r="G91" s="61"/>
      <c r="H91" s="61"/>
      <c r="I91" s="64"/>
      <c r="J91" s="101"/>
      <c r="K91" s="105"/>
      <c r="L91" s="62"/>
      <c r="M91" s="62"/>
      <c r="N91" s="64"/>
      <c r="O91" s="62"/>
      <c r="P91" s="101"/>
      <c r="Q91" s="110"/>
      <c r="R91" s="149"/>
    </row>
    <row r="92" spans="3:20" ht="30" customHeight="1" x14ac:dyDescent="0.2">
      <c r="C92" s="114"/>
      <c r="D92" s="63"/>
      <c r="E92" s="116"/>
      <c r="F92" s="70"/>
      <c r="G92" s="61"/>
      <c r="H92" s="61"/>
      <c r="I92" s="64"/>
      <c r="J92" s="101"/>
      <c r="K92" s="105"/>
      <c r="L92" s="62"/>
      <c r="M92" s="62"/>
      <c r="N92" s="64"/>
      <c r="O92" s="62"/>
      <c r="P92" s="101"/>
      <c r="Q92" s="110"/>
      <c r="R92" s="149"/>
    </row>
    <row r="93" spans="3:20" ht="30" customHeight="1" x14ac:dyDescent="0.2">
      <c r="C93" s="114"/>
      <c r="D93" s="63"/>
      <c r="E93" s="116"/>
      <c r="F93" s="70"/>
      <c r="G93" s="61"/>
      <c r="H93" s="61"/>
      <c r="I93" s="64"/>
      <c r="J93" s="101"/>
      <c r="K93" s="105"/>
      <c r="L93" s="62"/>
      <c r="M93" s="62"/>
      <c r="N93" s="64"/>
      <c r="O93" s="62"/>
      <c r="P93" s="101"/>
      <c r="Q93" s="110"/>
      <c r="R93" s="149"/>
    </row>
    <row r="94" spans="3:20" ht="30" customHeight="1" x14ac:dyDescent="0.2">
      <c r="C94" s="114"/>
      <c r="D94" s="63"/>
      <c r="E94" s="116"/>
      <c r="F94" s="70"/>
      <c r="G94" s="61"/>
      <c r="H94" s="61"/>
      <c r="I94" s="64"/>
      <c r="J94" s="101"/>
      <c r="K94" s="105"/>
      <c r="L94" s="62"/>
      <c r="M94" s="62"/>
      <c r="N94" s="64"/>
      <c r="O94" s="62"/>
      <c r="P94" s="101"/>
      <c r="Q94" s="110"/>
      <c r="R94" s="149"/>
    </row>
    <row r="95" spans="3:20" ht="30" customHeight="1" x14ac:dyDescent="0.2">
      <c r="C95" s="114"/>
      <c r="D95" s="63"/>
      <c r="E95" s="116"/>
      <c r="F95" s="70"/>
      <c r="G95" s="61"/>
      <c r="H95" s="61"/>
      <c r="I95" s="64"/>
      <c r="J95" s="101"/>
      <c r="K95" s="105"/>
      <c r="L95" s="62"/>
      <c r="M95" s="62"/>
      <c r="N95" s="64"/>
      <c r="O95" s="62"/>
      <c r="P95" s="101"/>
      <c r="Q95" s="110"/>
      <c r="R95" s="149"/>
    </row>
    <row r="96" spans="3:20" ht="30" customHeight="1" x14ac:dyDescent="0.2">
      <c r="C96" s="114"/>
      <c r="D96" s="63"/>
      <c r="E96" s="116"/>
      <c r="F96" s="70"/>
      <c r="G96" s="61"/>
      <c r="H96" s="61"/>
      <c r="I96" s="64"/>
      <c r="J96" s="101"/>
      <c r="K96" s="105"/>
      <c r="L96" s="62"/>
      <c r="M96" s="62"/>
      <c r="N96" s="64"/>
      <c r="O96" s="62"/>
      <c r="P96" s="101"/>
      <c r="Q96" s="110"/>
      <c r="R96" s="149"/>
    </row>
    <row r="97" spans="3:18" ht="30" customHeight="1" x14ac:dyDescent="0.2">
      <c r="C97" s="114"/>
      <c r="D97" s="63"/>
      <c r="E97" s="116"/>
      <c r="F97" s="70"/>
      <c r="G97" s="61"/>
      <c r="H97" s="61"/>
      <c r="I97" s="64"/>
      <c r="J97" s="101"/>
      <c r="K97" s="105"/>
      <c r="L97" s="62"/>
      <c r="M97" s="62"/>
      <c r="N97" s="64"/>
      <c r="O97" s="62"/>
      <c r="P97" s="101"/>
      <c r="Q97" s="110"/>
      <c r="R97" s="149"/>
    </row>
    <row r="98" spans="3:18" ht="30" customHeight="1" x14ac:dyDescent="0.2">
      <c r="C98" s="114"/>
      <c r="D98" s="63"/>
      <c r="E98" s="116"/>
      <c r="F98" s="70"/>
      <c r="G98" s="61"/>
      <c r="H98" s="61"/>
      <c r="I98" s="64"/>
      <c r="J98" s="101"/>
      <c r="K98" s="105"/>
      <c r="L98" s="62"/>
      <c r="M98" s="62"/>
      <c r="N98" s="64"/>
      <c r="O98" s="62"/>
      <c r="P98" s="101"/>
      <c r="Q98" s="110"/>
      <c r="R98" s="149"/>
    </row>
    <row r="99" spans="3:18" ht="30" customHeight="1" x14ac:dyDescent="0.2">
      <c r="C99" s="114"/>
      <c r="D99" s="63"/>
      <c r="E99" s="116"/>
      <c r="F99" s="70"/>
      <c r="G99" s="61"/>
      <c r="H99" s="61"/>
      <c r="I99" s="64"/>
      <c r="J99" s="101"/>
      <c r="K99" s="105"/>
      <c r="L99" s="62"/>
      <c r="M99" s="62"/>
      <c r="N99" s="64"/>
      <c r="O99" s="62"/>
      <c r="P99" s="101"/>
      <c r="Q99" s="110"/>
      <c r="R99" s="149"/>
    </row>
    <row r="100" spans="3:18" ht="30" customHeight="1" x14ac:dyDescent="0.2">
      <c r="C100" s="114"/>
      <c r="D100" s="63"/>
      <c r="E100" s="116"/>
      <c r="F100" s="70"/>
      <c r="G100" s="61"/>
      <c r="H100" s="61"/>
      <c r="I100" s="64"/>
      <c r="J100" s="101"/>
      <c r="K100" s="105"/>
      <c r="L100" s="62"/>
      <c r="M100" s="62"/>
      <c r="N100" s="64"/>
      <c r="O100" s="62"/>
      <c r="P100" s="101"/>
      <c r="Q100" s="110"/>
      <c r="R100" s="149"/>
    </row>
    <row r="101" spans="3:18" ht="30" customHeight="1" x14ac:dyDescent="0.2">
      <c r="C101" s="114"/>
      <c r="D101" s="63"/>
      <c r="E101" s="116"/>
      <c r="F101" s="70"/>
      <c r="G101" s="61"/>
      <c r="H101" s="61"/>
      <c r="I101" s="64"/>
      <c r="J101" s="101"/>
      <c r="K101" s="105"/>
      <c r="L101" s="62"/>
      <c r="M101" s="62"/>
      <c r="N101" s="64"/>
      <c r="O101" s="62"/>
      <c r="P101" s="101"/>
      <c r="Q101" s="110"/>
      <c r="R101" s="149"/>
    </row>
    <row r="102" spans="3:18" ht="30" customHeight="1" x14ac:dyDescent="0.2">
      <c r="C102" s="114"/>
      <c r="D102" s="63"/>
      <c r="E102" s="116"/>
      <c r="F102" s="70"/>
      <c r="G102" s="61"/>
      <c r="H102" s="61"/>
      <c r="I102" s="64"/>
      <c r="J102" s="101"/>
      <c r="K102" s="105"/>
      <c r="L102" s="62"/>
      <c r="M102" s="62"/>
      <c r="N102" s="64"/>
      <c r="O102" s="62"/>
      <c r="P102" s="101"/>
      <c r="Q102" s="110"/>
      <c r="R102" s="149"/>
    </row>
    <row r="103" spans="3:18" ht="30" customHeight="1" x14ac:dyDescent="0.2">
      <c r="C103" s="114"/>
      <c r="D103" s="63"/>
      <c r="E103" s="116"/>
      <c r="F103" s="70"/>
      <c r="G103" s="61"/>
      <c r="H103" s="61"/>
      <c r="I103" s="64"/>
      <c r="J103" s="101"/>
      <c r="K103" s="105"/>
      <c r="L103" s="62"/>
      <c r="M103" s="62"/>
      <c r="N103" s="64"/>
      <c r="O103" s="62"/>
      <c r="P103" s="101"/>
      <c r="Q103" s="110"/>
      <c r="R103" s="149"/>
    </row>
    <row r="104" spans="3:18" ht="30" customHeight="1" x14ac:dyDescent="0.2">
      <c r="C104" s="114"/>
      <c r="D104" s="63"/>
      <c r="E104" s="116"/>
      <c r="F104" s="70"/>
      <c r="G104" s="61"/>
      <c r="H104" s="61"/>
      <c r="I104" s="64"/>
      <c r="J104" s="101"/>
      <c r="K104" s="105"/>
      <c r="L104" s="62"/>
      <c r="M104" s="62"/>
      <c r="N104" s="64"/>
      <c r="O104" s="62"/>
      <c r="P104" s="101"/>
      <c r="Q104" s="110"/>
      <c r="R104" s="149"/>
    </row>
    <row r="105" spans="3:18" ht="30" customHeight="1" x14ac:dyDescent="0.2">
      <c r="C105" s="114"/>
      <c r="D105" s="63"/>
      <c r="E105" s="116"/>
      <c r="F105" s="70"/>
      <c r="G105" s="61"/>
      <c r="H105" s="61"/>
      <c r="I105" s="64"/>
      <c r="J105" s="101"/>
      <c r="K105" s="105"/>
      <c r="L105" s="62"/>
      <c r="M105" s="62"/>
      <c r="N105" s="64"/>
      <c r="O105" s="62"/>
      <c r="P105" s="101"/>
      <c r="Q105" s="110"/>
      <c r="R105" s="149"/>
    </row>
    <row r="106" spans="3:18" ht="30" customHeight="1" x14ac:dyDescent="0.2">
      <c r="C106" s="114"/>
      <c r="D106" s="63"/>
      <c r="E106" s="116"/>
      <c r="F106" s="70"/>
      <c r="G106" s="61"/>
      <c r="H106" s="61"/>
      <c r="I106" s="64"/>
      <c r="J106" s="101"/>
      <c r="K106" s="105"/>
      <c r="L106" s="62"/>
      <c r="M106" s="62"/>
      <c r="N106" s="64"/>
      <c r="O106" s="62"/>
      <c r="P106" s="101"/>
      <c r="Q106" s="110"/>
      <c r="R106" s="149"/>
    </row>
    <row r="107" spans="3:18" ht="30" customHeight="1" x14ac:dyDescent="0.2">
      <c r="C107" s="114"/>
      <c r="D107" s="63"/>
      <c r="E107" s="116"/>
      <c r="F107" s="70"/>
      <c r="G107" s="61"/>
      <c r="H107" s="61"/>
      <c r="I107" s="64"/>
      <c r="J107" s="101"/>
      <c r="K107" s="105"/>
      <c r="L107" s="62"/>
      <c r="M107" s="62"/>
      <c r="N107" s="64"/>
      <c r="O107" s="62"/>
      <c r="P107" s="101"/>
      <c r="Q107" s="110"/>
      <c r="R107" s="149"/>
    </row>
    <row r="108" spans="3:18" ht="30" customHeight="1" x14ac:dyDescent="0.2">
      <c r="C108" s="114"/>
      <c r="D108" s="63"/>
      <c r="E108" s="116"/>
      <c r="F108" s="70"/>
      <c r="G108" s="61"/>
      <c r="H108" s="61"/>
      <c r="I108" s="64"/>
      <c r="J108" s="101"/>
      <c r="K108" s="105"/>
      <c r="L108" s="62"/>
      <c r="M108" s="62"/>
      <c r="N108" s="64"/>
      <c r="O108" s="62"/>
      <c r="P108" s="101"/>
      <c r="Q108" s="110"/>
      <c r="R108" s="149"/>
    </row>
    <row r="109" spans="3:18" ht="30" customHeight="1" x14ac:dyDescent="0.2">
      <c r="C109" s="114"/>
      <c r="D109" s="63"/>
      <c r="E109" s="116"/>
      <c r="F109" s="70"/>
      <c r="G109" s="61"/>
      <c r="H109" s="61"/>
      <c r="I109" s="64"/>
      <c r="J109" s="101"/>
      <c r="K109" s="105"/>
      <c r="L109" s="62"/>
      <c r="M109" s="62"/>
      <c r="N109" s="64"/>
      <c r="O109" s="62"/>
      <c r="P109" s="101"/>
      <c r="Q109" s="110"/>
      <c r="R109" s="149"/>
    </row>
    <row r="110" spans="3:18" ht="30" customHeight="1" x14ac:dyDescent="0.2">
      <c r="C110" s="114"/>
      <c r="D110" s="63"/>
      <c r="E110" s="116"/>
      <c r="F110" s="70"/>
      <c r="G110" s="61"/>
      <c r="H110" s="61"/>
      <c r="I110" s="64"/>
      <c r="J110" s="101"/>
      <c r="K110" s="105"/>
      <c r="L110" s="62"/>
      <c r="M110" s="62"/>
      <c r="N110" s="64"/>
      <c r="O110" s="62"/>
      <c r="P110" s="101"/>
      <c r="Q110" s="110"/>
      <c r="R110" s="149"/>
    </row>
    <row r="111" spans="3:18" ht="30" customHeight="1" x14ac:dyDescent="0.2">
      <c r="C111" s="114"/>
      <c r="D111" s="63"/>
      <c r="E111" s="116"/>
      <c r="F111" s="70"/>
      <c r="G111" s="61"/>
      <c r="H111" s="61"/>
      <c r="I111" s="64"/>
      <c r="J111" s="101"/>
      <c r="K111" s="105"/>
      <c r="L111" s="62"/>
      <c r="M111" s="62"/>
      <c r="N111" s="64"/>
      <c r="O111" s="62"/>
      <c r="P111" s="101"/>
      <c r="Q111" s="110"/>
      <c r="R111" s="149"/>
    </row>
    <row r="112" spans="3:18" ht="30" customHeight="1" x14ac:dyDescent="0.2">
      <c r="C112" s="114"/>
      <c r="D112" s="63"/>
      <c r="E112" s="116"/>
      <c r="F112" s="70"/>
      <c r="G112" s="61"/>
      <c r="H112" s="61"/>
      <c r="I112" s="64"/>
      <c r="J112" s="101"/>
      <c r="K112" s="105"/>
      <c r="L112" s="62"/>
      <c r="M112" s="62"/>
      <c r="N112" s="64"/>
      <c r="O112" s="62"/>
      <c r="P112" s="101"/>
      <c r="Q112" s="110"/>
      <c r="R112" s="149"/>
    </row>
    <row r="113" spans="3:18" ht="30" customHeight="1" x14ac:dyDescent="0.2">
      <c r="C113" s="114"/>
      <c r="D113" s="63"/>
      <c r="E113" s="116"/>
      <c r="F113" s="70"/>
      <c r="G113" s="61"/>
      <c r="H113" s="61"/>
      <c r="I113" s="64"/>
      <c r="J113" s="101"/>
      <c r="K113" s="105"/>
      <c r="L113" s="62"/>
      <c r="M113" s="62"/>
      <c r="N113" s="64"/>
      <c r="O113" s="62"/>
      <c r="P113" s="101"/>
      <c r="Q113" s="110"/>
      <c r="R113" s="149"/>
    </row>
    <row r="114" spans="3:18" ht="30" customHeight="1" x14ac:dyDescent="0.2">
      <c r="C114" s="114"/>
      <c r="D114" s="63"/>
      <c r="E114" s="116"/>
      <c r="F114" s="70"/>
      <c r="G114" s="61"/>
      <c r="H114" s="61"/>
      <c r="I114" s="64"/>
      <c r="J114" s="101"/>
      <c r="K114" s="105"/>
      <c r="L114" s="62"/>
      <c r="M114" s="62"/>
      <c r="N114" s="64"/>
      <c r="O114" s="62"/>
      <c r="P114" s="101"/>
      <c r="Q114" s="110"/>
      <c r="R114" s="149"/>
    </row>
    <row r="115" spans="3:18" ht="30" customHeight="1" x14ac:dyDescent="0.2">
      <c r="C115" s="114"/>
      <c r="D115" s="63"/>
      <c r="E115" s="116"/>
      <c r="F115" s="70"/>
      <c r="G115" s="61"/>
      <c r="H115" s="61"/>
      <c r="I115" s="64"/>
      <c r="J115" s="101"/>
      <c r="K115" s="105"/>
      <c r="L115" s="62"/>
      <c r="M115" s="62"/>
      <c r="N115" s="64"/>
      <c r="O115" s="62"/>
      <c r="P115" s="101"/>
      <c r="Q115" s="110"/>
      <c r="R115" s="149"/>
    </row>
    <row r="116" spans="3:18" ht="30" customHeight="1" x14ac:dyDescent="0.2">
      <c r="C116" s="114"/>
      <c r="D116" s="63"/>
      <c r="E116" s="116"/>
      <c r="F116" s="70"/>
      <c r="G116" s="61"/>
      <c r="H116" s="61"/>
      <c r="I116" s="64"/>
      <c r="J116" s="101"/>
      <c r="K116" s="105"/>
      <c r="L116" s="62"/>
      <c r="M116" s="62"/>
      <c r="N116" s="64"/>
      <c r="O116" s="62"/>
      <c r="P116" s="101"/>
      <c r="Q116" s="110"/>
      <c r="R116" s="149"/>
    </row>
    <row r="117" spans="3:18" ht="30" customHeight="1" x14ac:dyDescent="0.2">
      <c r="C117" s="114"/>
      <c r="D117" s="63"/>
      <c r="E117" s="116"/>
      <c r="F117" s="70"/>
      <c r="G117" s="61"/>
      <c r="H117" s="61"/>
      <c r="I117" s="64"/>
      <c r="J117" s="101"/>
      <c r="K117" s="105"/>
      <c r="L117" s="62"/>
      <c r="M117" s="62"/>
      <c r="N117" s="64"/>
      <c r="O117" s="62"/>
      <c r="P117" s="101"/>
      <c r="Q117" s="110"/>
      <c r="R117" s="149"/>
    </row>
    <row r="118" spans="3:18" ht="30" customHeight="1" x14ac:dyDescent="0.2">
      <c r="C118" s="114"/>
      <c r="D118" s="63"/>
      <c r="E118" s="116"/>
      <c r="F118" s="70"/>
      <c r="G118" s="61"/>
      <c r="H118" s="61"/>
      <c r="I118" s="64"/>
      <c r="J118" s="101"/>
      <c r="K118" s="105"/>
      <c r="L118" s="62"/>
      <c r="M118" s="62"/>
      <c r="N118" s="64"/>
      <c r="O118" s="62"/>
      <c r="P118" s="101"/>
      <c r="Q118" s="110"/>
      <c r="R118" s="149"/>
    </row>
    <row r="119" spans="3:18" ht="30" customHeight="1" x14ac:dyDescent="0.2">
      <c r="C119" s="114"/>
      <c r="D119" s="63"/>
      <c r="E119" s="116"/>
      <c r="F119" s="70"/>
      <c r="G119" s="61"/>
      <c r="H119" s="61"/>
      <c r="I119" s="64"/>
      <c r="J119" s="101"/>
      <c r="K119" s="105"/>
      <c r="L119" s="62"/>
      <c r="M119" s="62"/>
      <c r="N119" s="64"/>
      <c r="O119" s="62"/>
      <c r="P119" s="101"/>
      <c r="Q119" s="110"/>
      <c r="R119" s="149"/>
    </row>
    <row r="120" spans="3:18" ht="30" customHeight="1" x14ac:dyDescent="0.2">
      <c r="C120" s="114"/>
      <c r="D120" s="63"/>
      <c r="E120" s="116"/>
      <c r="F120" s="70"/>
      <c r="G120" s="61"/>
      <c r="H120" s="61"/>
      <c r="I120" s="64"/>
      <c r="J120" s="101"/>
      <c r="K120" s="105"/>
      <c r="L120" s="62"/>
      <c r="M120" s="62"/>
      <c r="N120" s="64"/>
      <c r="O120" s="62"/>
      <c r="P120" s="101"/>
      <c r="Q120" s="110"/>
      <c r="R120" s="149"/>
    </row>
    <row r="121" spans="3:18" ht="30" customHeight="1" x14ac:dyDescent="0.2">
      <c r="C121" s="114"/>
      <c r="D121" s="63"/>
      <c r="E121" s="116"/>
      <c r="F121" s="70"/>
      <c r="G121" s="61"/>
      <c r="H121" s="61"/>
      <c r="I121" s="64"/>
      <c r="J121" s="101"/>
      <c r="K121" s="105"/>
      <c r="L121" s="62"/>
      <c r="M121" s="62"/>
      <c r="N121" s="64"/>
      <c r="O121" s="62"/>
      <c r="P121" s="101"/>
      <c r="Q121" s="110"/>
      <c r="R121" s="149"/>
    </row>
    <row r="122" spans="3:18" ht="30" customHeight="1" x14ac:dyDescent="0.2">
      <c r="C122" s="114"/>
      <c r="D122" s="63"/>
      <c r="E122" s="116"/>
      <c r="F122" s="70"/>
      <c r="G122" s="61"/>
      <c r="H122" s="61"/>
      <c r="I122" s="64"/>
      <c r="J122" s="101"/>
      <c r="K122" s="105"/>
      <c r="L122" s="62"/>
      <c r="M122" s="62"/>
      <c r="N122" s="64"/>
      <c r="O122" s="62"/>
      <c r="P122" s="101"/>
      <c r="Q122" s="110"/>
      <c r="R122" s="149"/>
    </row>
    <row r="123" spans="3:18" ht="30" customHeight="1" x14ac:dyDescent="0.2">
      <c r="C123" s="114"/>
      <c r="D123" s="63"/>
      <c r="E123" s="116"/>
      <c r="F123" s="70"/>
      <c r="G123" s="61"/>
      <c r="H123" s="61"/>
      <c r="I123" s="64"/>
      <c r="J123" s="101"/>
      <c r="K123" s="105"/>
      <c r="L123" s="62"/>
      <c r="M123" s="62"/>
      <c r="N123" s="64"/>
      <c r="O123" s="62"/>
      <c r="P123" s="101"/>
      <c r="Q123" s="110"/>
      <c r="R123" s="149"/>
    </row>
    <row r="124" spans="3:18" ht="30" customHeight="1" x14ac:dyDescent="0.2">
      <c r="C124" s="114"/>
      <c r="D124" s="63"/>
      <c r="E124" s="116"/>
      <c r="F124" s="70"/>
      <c r="G124" s="61"/>
      <c r="H124" s="61"/>
      <c r="I124" s="64"/>
      <c r="J124" s="101"/>
      <c r="K124" s="105"/>
      <c r="L124" s="62"/>
      <c r="M124" s="62"/>
      <c r="N124" s="64"/>
      <c r="O124" s="62"/>
      <c r="P124" s="101"/>
      <c r="Q124" s="110"/>
      <c r="R124" s="149"/>
    </row>
    <row r="125" spans="3:18" ht="30" customHeight="1" x14ac:dyDescent="0.2">
      <c r="C125" s="114"/>
      <c r="D125" s="63"/>
      <c r="E125" s="116"/>
      <c r="F125" s="70"/>
      <c r="G125" s="61"/>
      <c r="H125" s="61"/>
      <c r="I125" s="64"/>
      <c r="J125" s="101"/>
      <c r="K125" s="105"/>
      <c r="L125" s="62"/>
      <c r="M125" s="62"/>
      <c r="N125" s="64"/>
      <c r="O125" s="62"/>
      <c r="P125" s="101"/>
      <c r="Q125" s="110"/>
      <c r="R125" s="149"/>
    </row>
    <row r="126" spans="3:18" ht="30" customHeight="1" x14ac:dyDescent="0.2">
      <c r="C126" s="114"/>
      <c r="D126" s="63"/>
      <c r="E126" s="116"/>
      <c r="F126" s="70"/>
      <c r="G126" s="61"/>
      <c r="H126" s="61"/>
      <c r="I126" s="64"/>
      <c r="J126" s="101"/>
      <c r="K126" s="105"/>
      <c r="L126" s="62"/>
      <c r="M126" s="62"/>
      <c r="N126" s="64"/>
      <c r="O126" s="62"/>
      <c r="P126" s="101"/>
      <c r="Q126" s="110"/>
      <c r="R126" s="149"/>
    </row>
    <row r="127" spans="3:18" ht="30" customHeight="1" x14ac:dyDescent="0.2">
      <c r="C127" s="114"/>
      <c r="D127" s="63"/>
      <c r="E127" s="116"/>
      <c r="F127" s="70"/>
      <c r="G127" s="61"/>
      <c r="H127" s="61"/>
      <c r="I127" s="64"/>
      <c r="J127" s="101"/>
      <c r="K127" s="105"/>
      <c r="L127" s="62"/>
      <c r="M127" s="62"/>
      <c r="N127" s="64"/>
      <c r="O127" s="62"/>
      <c r="P127" s="101"/>
      <c r="Q127" s="110"/>
      <c r="R127" s="149"/>
    </row>
    <row r="128" spans="3:18" ht="30" customHeight="1" x14ac:dyDescent="0.2">
      <c r="C128" s="114"/>
      <c r="D128" s="63"/>
      <c r="E128" s="116"/>
      <c r="F128" s="70"/>
      <c r="G128" s="61"/>
      <c r="H128" s="61"/>
      <c r="I128" s="64"/>
      <c r="J128" s="101"/>
      <c r="K128" s="105"/>
      <c r="L128" s="62"/>
      <c r="M128" s="62"/>
      <c r="N128" s="64"/>
      <c r="O128" s="62"/>
      <c r="P128" s="101"/>
      <c r="Q128" s="110"/>
      <c r="R128" s="149"/>
    </row>
    <row r="129" spans="3:18" ht="30" customHeight="1" x14ac:dyDescent="0.2">
      <c r="C129" s="114"/>
      <c r="D129" s="63"/>
      <c r="E129" s="116"/>
      <c r="F129" s="70"/>
      <c r="G129" s="61"/>
      <c r="H129" s="61"/>
      <c r="I129" s="64"/>
      <c r="J129" s="101"/>
      <c r="K129" s="105"/>
      <c r="L129" s="62"/>
      <c r="M129" s="62"/>
      <c r="N129" s="64"/>
      <c r="O129" s="62"/>
      <c r="P129" s="101"/>
      <c r="Q129" s="110"/>
      <c r="R129" s="149"/>
    </row>
    <row r="130" spans="3:18" ht="30" customHeight="1" x14ac:dyDescent="0.2">
      <c r="C130" s="114"/>
      <c r="D130" s="63"/>
      <c r="E130" s="116"/>
      <c r="F130" s="70"/>
      <c r="G130" s="61"/>
      <c r="H130" s="61"/>
      <c r="I130" s="64"/>
      <c r="J130" s="101"/>
      <c r="K130" s="105"/>
      <c r="L130" s="62"/>
      <c r="M130" s="62"/>
      <c r="N130" s="64"/>
      <c r="O130" s="62"/>
      <c r="P130" s="101"/>
      <c r="Q130" s="110"/>
      <c r="R130" s="149"/>
    </row>
    <row r="131" spans="3:18" ht="30" customHeight="1" x14ac:dyDescent="0.2">
      <c r="C131" s="114"/>
      <c r="D131" s="63"/>
      <c r="E131" s="116"/>
      <c r="F131" s="70"/>
      <c r="G131" s="61"/>
      <c r="H131" s="61"/>
      <c r="I131" s="64"/>
      <c r="J131" s="101"/>
      <c r="K131" s="105"/>
      <c r="L131" s="62"/>
      <c r="M131" s="62"/>
      <c r="N131" s="64"/>
      <c r="O131" s="62"/>
      <c r="P131" s="101"/>
      <c r="Q131" s="110"/>
      <c r="R131" s="149"/>
    </row>
    <row r="132" spans="3:18" ht="30" customHeight="1" x14ac:dyDescent="0.2">
      <c r="C132" s="114"/>
      <c r="D132" s="63"/>
      <c r="E132" s="116"/>
      <c r="F132" s="70"/>
      <c r="G132" s="61"/>
      <c r="H132" s="61"/>
      <c r="I132" s="64"/>
      <c r="J132" s="101"/>
      <c r="K132" s="105"/>
      <c r="L132" s="62"/>
      <c r="M132" s="62"/>
      <c r="N132" s="64"/>
      <c r="O132" s="62"/>
      <c r="P132" s="101"/>
      <c r="Q132" s="110"/>
      <c r="R132" s="149"/>
    </row>
    <row r="133" spans="3:18" ht="30" customHeight="1" x14ac:dyDescent="0.2">
      <c r="C133" s="114"/>
      <c r="D133" s="63"/>
      <c r="E133" s="116"/>
      <c r="F133" s="70"/>
      <c r="G133" s="61"/>
      <c r="H133" s="61"/>
      <c r="I133" s="64"/>
      <c r="J133" s="101"/>
      <c r="K133" s="105"/>
      <c r="L133" s="62"/>
      <c r="M133" s="62"/>
      <c r="N133" s="64"/>
      <c r="O133" s="62"/>
      <c r="P133" s="101"/>
      <c r="Q133" s="110"/>
      <c r="R133" s="149"/>
    </row>
    <row r="134" spans="3:18" ht="30" customHeight="1" x14ac:dyDescent="0.2">
      <c r="C134" s="114"/>
      <c r="D134" s="63"/>
      <c r="E134" s="116"/>
      <c r="F134" s="70"/>
      <c r="G134" s="61"/>
      <c r="H134" s="61"/>
      <c r="I134" s="64"/>
      <c r="J134" s="101"/>
      <c r="K134" s="105"/>
      <c r="L134" s="62"/>
      <c r="M134" s="62"/>
      <c r="N134" s="64"/>
      <c r="O134" s="62"/>
      <c r="P134" s="101"/>
      <c r="Q134" s="110"/>
      <c r="R134" s="149"/>
    </row>
    <row r="135" spans="3:18" ht="30" customHeight="1" x14ac:dyDescent="0.2">
      <c r="C135" s="114"/>
      <c r="D135" s="63"/>
      <c r="E135" s="116"/>
      <c r="F135" s="70"/>
      <c r="G135" s="61"/>
      <c r="H135" s="61"/>
      <c r="I135" s="64"/>
      <c r="J135" s="101"/>
      <c r="K135" s="105"/>
      <c r="L135" s="62"/>
      <c r="M135" s="62"/>
      <c r="N135" s="64"/>
      <c r="O135" s="62"/>
      <c r="P135" s="101"/>
      <c r="Q135" s="110"/>
      <c r="R135" s="149"/>
    </row>
    <row r="136" spans="3:18" ht="30" customHeight="1" x14ac:dyDescent="0.2">
      <c r="C136" s="114"/>
      <c r="D136" s="63"/>
      <c r="E136" s="116"/>
      <c r="F136" s="70"/>
      <c r="G136" s="61"/>
      <c r="H136" s="61"/>
      <c r="I136" s="64"/>
      <c r="J136" s="101"/>
      <c r="K136" s="105"/>
      <c r="L136" s="62"/>
      <c r="M136" s="62"/>
      <c r="N136" s="64"/>
      <c r="O136" s="62"/>
      <c r="P136" s="101"/>
      <c r="Q136" s="110"/>
      <c r="R136" s="149"/>
    </row>
    <row r="137" spans="3:18" ht="30" customHeight="1" x14ac:dyDescent="0.2">
      <c r="C137" s="114"/>
      <c r="D137" s="63"/>
      <c r="E137" s="116"/>
      <c r="F137" s="70"/>
      <c r="G137" s="61"/>
      <c r="H137" s="61"/>
      <c r="I137" s="64"/>
      <c r="J137" s="101"/>
      <c r="K137" s="105"/>
      <c r="L137" s="62"/>
      <c r="M137" s="62"/>
      <c r="N137" s="64"/>
      <c r="O137" s="62"/>
      <c r="P137" s="101"/>
      <c r="Q137" s="110"/>
      <c r="R137" s="149"/>
    </row>
    <row r="138" spans="3:18" ht="30" customHeight="1" x14ac:dyDescent="0.2">
      <c r="C138" s="114"/>
      <c r="D138" s="63"/>
      <c r="E138" s="116"/>
      <c r="F138" s="70"/>
      <c r="G138" s="61"/>
      <c r="H138" s="61"/>
      <c r="I138" s="64"/>
      <c r="J138" s="101"/>
      <c r="K138" s="105"/>
      <c r="L138" s="62"/>
      <c r="M138" s="62"/>
      <c r="N138" s="64"/>
      <c r="O138" s="62"/>
      <c r="P138" s="101"/>
      <c r="Q138" s="110"/>
      <c r="R138" s="149"/>
    </row>
    <row r="139" spans="3:18" ht="30" customHeight="1" x14ac:dyDescent="0.2">
      <c r="C139" s="114"/>
      <c r="D139" s="63"/>
      <c r="E139" s="116"/>
      <c r="F139" s="70"/>
      <c r="G139" s="61"/>
      <c r="H139" s="61"/>
      <c r="I139" s="64"/>
      <c r="J139" s="101"/>
      <c r="K139" s="105"/>
      <c r="L139" s="62"/>
      <c r="M139" s="62"/>
      <c r="N139" s="64"/>
      <c r="O139" s="62"/>
      <c r="P139" s="101"/>
      <c r="Q139" s="110"/>
      <c r="R139" s="149"/>
    </row>
    <row r="140" spans="3:18" ht="30" customHeight="1" x14ac:dyDescent="0.2">
      <c r="C140" s="114"/>
      <c r="D140" s="63"/>
      <c r="E140" s="116"/>
      <c r="F140" s="70"/>
      <c r="G140" s="61"/>
      <c r="H140" s="61"/>
      <c r="I140" s="64"/>
      <c r="J140" s="101"/>
      <c r="K140" s="105"/>
      <c r="L140" s="62"/>
      <c r="M140" s="62"/>
      <c r="N140" s="64"/>
      <c r="O140" s="62"/>
      <c r="P140" s="101"/>
      <c r="Q140" s="110"/>
      <c r="R140" s="149"/>
    </row>
    <row r="141" spans="3:18" ht="30" customHeight="1" x14ac:dyDescent="0.2">
      <c r="C141" s="114"/>
      <c r="D141" s="63"/>
      <c r="E141" s="116"/>
      <c r="F141" s="70"/>
      <c r="G141" s="61"/>
      <c r="H141" s="61"/>
      <c r="I141" s="64"/>
      <c r="J141" s="101"/>
      <c r="K141" s="105"/>
      <c r="L141" s="62"/>
      <c r="M141" s="62"/>
      <c r="N141" s="64"/>
      <c r="O141" s="62"/>
      <c r="P141" s="101"/>
      <c r="Q141" s="110"/>
      <c r="R141" s="149"/>
    </row>
    <row r="142" spans="3:18" ht="30" customHeight="1" x14ac:dyDescent="0.2">
      <c r="C142" s="114"/>
      <c r="D142" s="63"/>
      <c r="E142" s="116"/>
      <c r="F142" s="70"/>
      <c r="G142" s="61"/>
      <c r="H142" s="61"/>
      <c r="I142" s="64"/>
      <c r="J142" s="101"/>
      <c r="K142" s="105"/>
      <c r="L142" s="62"/>
      <c r="M142" s="62"/>
      <c r="N142" s="64"/>
      <c r="O142" s="62"/>
      <c r="P142" s="101"/>
      <c r="Q142" s="110"/>
      <c r="R142" s="149"/>
    </row>
    <row r="143" spans="3:18" ht="30" customHeight="1" x14ac:dyDescent="0.2">
      <c r="C143" s="114"/>
      <c r="D143" s="63"/>
      <c r="E143" s="116"/>
      <c r="F143" s="70"/>
      <c r="G143" s="61"/>
      <c r="H143" s="61"/>
      <c r="I143" s="64"/>
      <c r="J143" s="101"/>
      <c r="K143" s="105"/>
      <c r="L143" s="62"/>
      <c r="M143" s="62"/>
      <c r="N143" s="64"/>
      <c r="O143" s="62"/>
      <c r="P143" s="101"/>
      <c r="Q143" s="110"/>
      <c r="R143" s="149"/>
    </row>
    <row r="144" spans="3:18" ht="30" customHeight="1" x14ac:dyDescent="0.2">
      <c r="C144" s="114"/>
      <c r="D144" s="63"/>
      <c r="E144" s="116"/>
      <c r="F144" s="70"/>
      <c r="G144" s="61"/>
      <c r="H144" s="61"/>
      <c r="I144" s="64"/>
      <c r="J144" s="101"/>
      <c r="K144" s="105"/>
      <c r="L144" s="62"/>
      <c r="M144" s="62"/>
      <c r="N144" s="64"/>
      <c r="O144" s="62"/>
      <c r="P144" s="101"/>
      <c r="Q144" s="110"/>
      <c r="R144" s="149"/>
    </row>
    <row r="145" spans="3:18" ht="30" customHeight="1" x14ac:dyDescent="0.2">
      <c r="C145" s="114"/>
      <c r="D145" s="63"/>
      <c r="E145" s="116"/>
      <c r="F145" s="70"/>
      <c r="G145" s="61"/>
      <c r="H145" s="61"/>
      <c r="I145" s="64"/>
      <c r="J145" s="101"/>
      <c r="K145" s="105"/>
      <c r="L145" s="62"/>
      <c r="M145" s="62"/>
      <c r="N145" s="64"/>
      <c r="O145" s="62"/>
      <c r="P145" s="101"/>
      <c r="Q145" s="110"/>
      <c r="R145" s="149"/>
    </row>
    <row r="146" spans="3:18" ht="30" customHeight="1" x14ac:dyDescent="0.2">
      <c r="C146" s="114"/>
      <c r="D146" s="63"/>
      <c r="E146" s="116"/>
      <c r="F146" s="70"/>
      <c r="G146" s="61"/>
      <c r="H146" s="61"/>
      <c r="I146" s="64"/>
      <c r="J146" s="101"/>
      <c r="K146" s="105"/>
      <c r="L146" s="62"/>
      <c r="M146" s="62"/>
      <c r="N146" s="64"/>
      <c r="O146" s="62"/>
      <c r="P146" s="101"/>
      <c r="Q146" s="110"/>
      <c r="R146" s="149"/>
    </row>
    <row r="147" spans="3:18" ht="30" customHeight="1" x14ac:dyDescent="0.2"/>
    <row r="148" spans="3:18" ht="30" customHeight="1" x14ac:dyDescent="0.2"/>
    <row r="149" spans="3:18" ht="30" customHeight="1" x14ac:dyDescent="0.2"/>
    <row r="150" spans="3:18" ht="30" customHeight="1" x14ac:dyDescent="0.2"/>
    <row r="151" spans="3:18" ht="30" customHeight="1" x14ac:dyDescent="0.2"/>
    <row r="152" spans="3:18" ht="30" customHeight="1" x14ac:dyDescent="0.2"/>
    <row r="153" spans="3:18" ht="30" customHeight="1" x14ac:dyDescent="0.2"/>
    <row r="154" spans="3:18" ht="30" customHeight="1" x14ac:dyDescent="0.2"/>
  </sheetData>
  <mergeCells count="2">
    <mergeCell ref="C1:P1"/>
    <mergeCell ref="Q1:AD1"/>
  </mergeCells>
  <pageMargins left="0.7" right="0.7" top="0.75" bottom="0.75" header="0.3" footer="0.3"/>
  <pageSetup scale="63" fitToHeight="0" orientation="portrait" r:id="rId1"/>
  <headerFooter>
    <oddHeader>&amp;L&amp;G&amp;R&amp;G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7030A0"/>
  </sheetPr>
  <dimension ref="A1:T114"/>
  <sheetViews>
    <sheetView zoomScaleNormal="100" workbookViewId="0">
      <pane xSplit="20" ySplit="1" topLeftCell="U2" activePane="bottomRight" state="frozen"/>
      <selection pane="topRight" activeCell="S1" sqref="S1"/>
      <selection pane="bottomLeft" activeCell="A2" sqref="A2"/>
      <selection pane="bottomRight" activeCell="N11" sqref="N11"/>
    </sheetView>
  </sheetViews>
  <sheetFormatPr defaultRowHeight="12.75" x14ac:dyDescent="0.2"/>
  <cols>
    <col min="2" max="2" width="5.85546875" customWidth="1"/>
    <col min="3" max="3" width="6.7109375" customWidth="1"/>
    <col min="4" max="5" width="6.140625" customWidth="1"/>
    <col min="6" max="6" width="9.85546875" customWidth="1"/>
    <col min="8" max="9" width="9.7109375" customWidth="1"/>
    <col min="12" max="12" width="17.28515625" customWidth="1"/>
    <col min="13" max="13" width="13.85546875" customWidth="1"/>
    <col min="17" max="17" width="13" customWidth="1"/>
    <col min="20" max="20" width="15.7109375" customWidth="1"/>
  </cols>
  <sheetData>
    <row r="1" spans="1:20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59" t="s">
        <v>374</v>
      </c>
      <c r="F1" s="136" t="s">
        <v>276</v>
      </c>
      <c r="G1" s="136" t="s">
        <v>277</v>
      </c>
      <c r="H1" s="136" t="s">
        <v>278</v>
      </c>
      <c r="I1" s="136" t="s">
        <v>375</v>
      </c>
      <c r="J1" s="136"/>
      <c r="K1" s="139" t="s">
        <v>169</v>
      </c>
      <c r="L1" s="136" t="s">
        <v>57</v>
      </c>
      <c r="M1" s="139" t="s">
        <v>58</v>
      </c>
      <c r="P1" s="136" t="s">
        <v>376</v>
      </c>
      <c r="Q1" s="136" t="s">
        <v>378</v>
      </c>
      <c r="R1" s="83" t="s">
        <v>147</v>
      </c>
      <c r="S1" s="83"/>
      <c r="T1" s="83">
        <f>'Control Page'!A2</f>
        <v>2022</v>
      </c>
    </row>
    <row r="2" spans="1:20" ht="20.100000000000001" customHeight="1" x14ac:dyDescent="0.2">
      <c r="A2" s="88">
        <v>1</v>
      </c>
      <c r="B2" s="89">
        <v>43</v>
      </c>
      <c r="C2" s="90">
        <v>46</v>
      </c>
      <c r="D2" s="91">
        <v>53</v>
      </c>
      <c r="E2" s="160"/>
      <c r="F2" s="92">
        <f t="shared" ref="F2:F27" ca="1" si="0">_xlfn.IFNA(INDEX(INDIRECT("'"&amp;$T$1&amp;"'!"&amp;"$A$2:$N$77"),MATCH(B2,INDIRECT("'"&amp;$T$1&amp;"'!"&amp;"$B$2:$B$77"),0),13),"-")</f>
        <v>4.2</v>
      </c>
      <c r="G2" s="49">
        <f t="shared" ref="G2:G27" ca="1" si="1">_xlfn.IFNA(INDEX(INDIRECT("'"&amp;$T$1&amp;"'!"&amp;"$A$2:$N$77"),MATCH(C2,INDIRECT("'"&amp;$T$1&amp;"'!"&amp;"$B$2:$B$77"),0),13),"-")</f>
        <v>9.9499999999999993</v>
      </c>
      <c r="H2" s="93">
        <f t="shared" ref="H2:H27" ca="1" si="2">_xlfn.IFNA(INDEX(INDIRECT("'"&amp;$T$1&amp;"'!"&amp;"$A$2:$N$77"),MATCH(D2,INDIRECT("'"&amp;$T$1&amp;"'!"&amp;"$B$2:$B$77"),0),13),"-")</f>
        <v>6.76</v>
      </c>
      <c r="I2" s="93"/>
      <c r="J2" s="128"/>
      <c r="K2" s="129">
        <f ca="1">IF(MAX(D2,G2,H2) &gt; 0,MAX(F2,G2,H2),"-")</f>
        <v>9.9499999999999993</v>
      </c>
      <c r="L2" s="121"/>
      <c r="M2" s="122"/>
      <c r="P2" s="88"/>
      <c r="Q2" s="89" t="str">
        <f ca="1">_xlfn.IFNA(INDEX(INDIRECT("'"&amp;$T$1&amp;"'!"&amp;"$A$2:$N$77"),MATCH(P2,INDIRECT("'"&amp;$T$1&amp;"'!"&amp;"$B$2:$B$77"),0),13),"-")</f>
        <v>-</v>
      </c>
    </row>
    <row r="3" spans="1:20" ht="20.100000000000001" customHeight="1" x14ac:dyDescent="0.2">
      <c r="A3" s="84">
        <v>2</v>
      </c>
      <c r="B3" s="77">
        <v>64</v>
      </c>
      <c r="C3" s="78">
        <v>8</v>
      </c>
      <c r="D3" s="79">
        <v>30</v>
      </c>
      <c r="E3" s="160"/>
      <c r="F3" s="92">
        <f t="shared" ca="1" si="0"/>
        <v>0</v>
      </c>
      <c r="G3" s="49">
        <f t="shared" ca="1" si="1"/>
        <v>15.63</v>
      </c>
      <c r="H3" s="93">
        <f t="shared" ca="1" si="2"/>
        <v>7.42</v>
      </c>
      <c r="I3" s="93"/>
      <c r="J3" s="86"/>
      <c r="K3" s="129">
        <f t="shared" ref="K3:K27" ca="1" si="3">IF(MAX(D3,G3,H3) &gt; 0,MAX(F3,G3,H3),"-")</f>
        <v>15.63</v>
      </c>
      <c r="L3" s="123"/>
      <c r="M3" s="124"/>
      <c r="P3" s="88"/>
      <c r="Q3" s="89" t="str">
        <f ca="1">_xlfn.IFNA(INDEX(INDIRECT("'"&amp;$T$1&amp;"'!"&amp;"$A$2:$N$77"),MATCH(P3,INDIRECT("'"&amp;$T$1&amp;"'!"&amp;"$B$2:$B$77"),0),13),"-")</f>
        <v>-</v>
      </c>
    </row>
    <row r="4" spans="1:20" ht="20.100000000000001" customHeight="1" x14ac:dyDescent="0.2">
      <c r="A4" s="84">
        <v>3</v>
      </c>
      <c r="B4" s="77">
        <v>62</v>
      </c>
      <c r="C4" s="78">
        <v>21</v>
      </c>
      <c r="D4" s="79">
        <v>51</v>
      </c>
      <c r="E4" s="160"/>
      <c r="F4" s="92">
        <f t="shared" ca="1" si="0"/>
        <v>6.74</v>
      </c>
      <c r="G4" s="49">
        <f t="shared" ca="1" si="1"/>
        <v>8.6300000000000008</v>
      </c>
      <c r="H4" s="93">
        <f t="shared" ca="1" si="2"/>
        <v>11.02</v>
      </c>
      <c r="I4" s="93"/>
      <c r="J4" s="86"/>
      <c r="K4" s="129">
        <f t="shared" ca="1" si="3"/>
        <v>11.02</v>
      </c>
      <c r="L4" s="123"/>
      <c r="M4" s="124"/>
      <c r="P4" s="88"/>
      <c r="Q4" s="89"/>
    </row>
    <row r="5" spans="1:20" ht="20.100000000000001" customHeight="1" x14ac:dyDescent="0.35">
      <c r="A5" s="84">
        <v>4</v>
      </c>
      <c r="B5" s="77">
        <v>63</v>
      </c>
      <c r="C5" s="78">
        <v>33</v>
      </c>
      <c r="D5" s="79">
        <v>17</v>
      </c>
      <c r="E5" s="160"/>
      <c r="F5" s="92">
        <f t="shared" ca="1" si="0"/>
        <v>11.53</v>
      </c>
      <c r="G5" s="49">
        <f t="shared" ca="1" si="1"/>
        <v>7.15</v>
      </c>
      <c r="H5" s="93">
        <f t="shared" ca="1" si="2"/>
        <v>8.67</v>
      </c>
      <c r="I5" s="93"/>
      <c r="J5" s="86"/>
      <c r="K5" s="129">
        <f ca="1">IF(MAX(D5,G5,H5) &gt; 0,MAX(F5,G5,H5),"-")</f>
        <v>11.53</v>
      </c>
      <c r="L5" s="123"/>
      <c r="M5" s="124"/>
      <c r="N5" s="161" t="s">
        <v>377</v>
      </c>
      <c r="P5" s="88"/>
      <c r="Q5" s="89"/>
    </row>
    <row r="6" spans="1:20" ht="20.100000000000001" customHeight="1" x14ac:dyDescent="0.2">
      <c r="A6" s="84">
        <v>5</v>
      </c>
      <c r="B6" s="77">
        <v>55</v>
      </c>
      <c r="C6" s="78">
        <v>68</v>
      </c>
      <c r="D6" s="79">
        <v>74</v>
      </c>
      <c r="E6" s="160"/>
      <c r="F6" s="92">
        <f t="shared" ca="1" si="0"/>
        <v>11.74</v>
      </c>
      <c r="G6" s="49">
        <f t="shared" ca="1" si="1"/>
        <v>7.86</v>
      </c>
      <c r="H6" s="93">
        <f t="shared" ca="1" si="2"/>
        <v>6.31</v>
      </c>
      <c r="I6" s="93"/>
      <c r="J6" s="86"/>
      <c r="K6" s="129">
        <f t="shared" ca="1" si="3"/>
        <v>11.74</v>
      </c>
      <c r="L6" s="123"/>
      <c r="M6" s="124"/>
      <c r="P6" s="88"/>
      <c r="Q6" s="89"/>
    </row>
    <row r="7" spans="1:20" ht="20.100000000000001" customHeight="1" x14ac:dyDescent="0.35">
      <c r="A7" s="84">
        <v>6</v>
      </c>
      <c r="B7" s="77">
        <v>73</v>
      </c>
      <c r="C7" s="78">
        <v>66</v>
      </c>
      <c r="D7" s="79">
        <v>40</v>
      </c>
      <c r="E7" s="160"/>
      <c r="F7" s="92">
        <f t="shared" ca="1" si="0"/>
        <v>2.66</v>
      </c>
      <c r="G7" s="49">
        <f t="shared" ca="1" si="1"/>
        <v>6.66</v>
      </c>
      <c r="H7" s="93">
        <f t="shared" ca="1" si="2"/>
        <v>4.0199999999999996</v>
      </c>
      <c r="I7" s="93"/>
      <c r="J7" s="86"/>
      <c r="K7" s="129">
        <f t="shared" ca="1" si="3"/>
        <v>6.66</v>
      </c>
      <c r="L7" s="123"/>
      <c r="M7" s="124"/>
      <c r="N7" s="161" t="s">
        <v>377</v>
      </c>
      <c r="P7" s="88"/>
      <c r="Q7" s="89"/>
      <c r="S7" s="161" t="s">
        <v>377</v>
      </c>
    </row>
    <row r="8" spans="1:20" ht="20.100000000000001" customHeight="1" x14ac:dyDescent="0.2">
      <c r="A8" s="84">
        <v>7</v>
      </c>
      <c r="B8" s="77">
        <v>49</v>
      </c>
      <c r="C8" s="78">
        <v>35</v>
      </c>
      <c r="D8" s="79">
        <v>12</v>
      </c>
      <c r="E8" s="160"/>
      <c r="F8" s="92">
        <f t="shared" ca="1" si="0"/>
        <v>4.12</v>
      </c>
      <c r="G8" s="49">
        <f t="shared" ca="1" si="1"/>
        <v>6.95</v>
      </c>
      <c r="H8" s="93">
        <f t="shared" ca="1" si="2"/>
        <v>9.68</v>
      </c>
      <c r="I8" s="93"/>
      <c r="J8" s="86"/>
      <c r="K8" s="129">
        <f t="shared" ca="1" si="3"/>
        <v>9.68</v>
      </c>
      <c r="L8" s="123"/>
      <c r="M8" s="124"/>
      <c r="P8" s="88"/>
      <c r="Q8" s="89"/>
    </row>
    <row r="9" spans="1:20" ht="20.100000000000001" customHeight="1" x14ac:dyDescent="0.2">
      <c r="A9" s="84">
        <v>8</v>
      </c>
      <c r="B9" s="77">
        <v>65</v>
      </c>
      <c r="C9" s="78">
        <v>28</v>
      </c>
      <c r="D9" s="79">
        <v>4</v>
      </c>
      <c r="E9" s="160"/>
      <c r="F9" s="92">
        <f t="shared" ca="1" si="0"/>
        <v>0</v>
      </c>
      <c r="G9" s="49">
        <f t="shared" ca="1" si="1"/>
        <v>11.32</v>
      </c>
      <c r="H9" s="93">
        <f t="shared" ca="1" si="2"/>
        <v>10.15</v>
      </c>
      <c r="I9" s="93"/>
      <c r="J9" s="86"/>
      <c r="K9" s="129">
        <f t="shared" ca="1" si="3"/>
        <v>11.32</v>
      </c>
      <c r="L9" s="123"/>
      <c r="M9" s="124"/>
      <c r="P9" s="88"/>
      <c r="Q9" s="89"/>
    </row>
    <row r="10" spans="1:20" ht="20.100000000000001" customHeight="1" x14ac:dyDescent="0.2">
      <c r="A10" s="84">
        <v>9</v>
      </c>
      <c r="B10" s="77">
        <v>38</v>
      </c>
      <c r="C10" s="78">
        <v>5</v>
      </c>
      <c r="D10" s="79">
        <v>29</v>
      </c>
      <c r="E10" s="160"/>
      <c r="F10" s="92">
        <f t="shared" ca="1" si="0"/>
        <v>8.98</v>
      </c>
      <c r="G10" s="49">
        <f t="shared" ca="1" si="1"/>
        <v>8.69</v>
      </c>
      <c r="H10" s="93">
        <f t="shared" ca="1" si="2"/>
        <v>4.57</v>
      </c>
      <c r="I10" s="93"/>
      <c r="J10" s="86"/>
      <c r="K10" s="129">
        <f t="shared" ca="1" si="3"/>
        <v>8.98</v>
      </c>
      <c r="L10" s="123"/>
      <c r="M10" s="124"/>
      <c r="P10" s="88"/>
      <c r="Q10" s="89"/>
    </row>
    <row r="11" spans="1:20" ht="20.100000000000001" customHeight="1" x14ac:dyDescent="0.35">
      <c r="A11" s="84">
        <v>10</v>
      </c>
      <c r="B11" s="77">
        <v>34</v>
      </c>
      <c r="C11" s="78">
        <v>23</v>
      </c>
      <c r="D11" s="79">
        <v>1</v>
      </c>
      <c r="E11" s="160"/>
      <c r="F11" s="92">
        <f t="shared" ca="1" si="0"/>
        <v>12.12</v>
      </c>
      <c r="G11" s="49">
        <f t="shared" ca="1" si="1"/>
        <v>8.66</v>
      </c>
      <c r="H11" s="93">
        <f t="shared" ca="1" si="2"/>
        <v>1.98</v>
      </c>
      <c r="I11" s="93"/>
      <c r="J11" s="86"/>
      <c r="K11" s="129">
        <f t="shared" ca="1" si="3"/>
        <v>12.12</v>
      </c>
      <c r="L11" s="123"/>
      <c r="M11" s="124"/>
      <c r="P11" s="88"/>
      <c r="Q11" s="89"/>
      <c r="T11" s="161" t="s">
        <v>377</v>
      </c>
    </row>
    <row r="12" spans="1:20" ht="20.100000000000001" customHeight="1" x14ac:dyDescent="0.2">
      <c r="A12" s="84">
        <v>11</v>
      </c>
      <c r="B12" s="77">
        <v>47</v>
      </c>
      <c r="C12" s="78">
        <v>3</v>
      </c>
      <c r="D12" s="79">
        <v>54</v>
      </c>
      <c r="E12" s="160"/>
      <c r="F12" s="92">
        <f t="shared" ca="1" si="0"/>
        <v>0</v>
      </c>
      <c r="G12" s="49">
        <f t="shared" ca="1" si="1"/>
        <v>7.17</v>
      </c>
      <c r="H12" s="93">
        <f t="shared" ca="1" si="2"/>
        <v>0</v>
      </c>
      <c r="I12" s="93"/>
      <c r="J12" s="86"/>
      <c r="K12" s="129">
        <f t="shared" ca="1" si="3"/>
        <v>7.17</v>
      </c>
      <c r="L12" s="123"/>
      <c r="M12" s="124"/>
      <c r="P12" s="88"/>
      <c r="Q12" s="89"/>
    </row>
    <row r="13" spans="1:20" ht="20.100000000000001" customHeight="1" x14ac:dyDescent="0.2">
      <c r="A13" s="84">
        <v>12</v>
      </c>
      <c r="B13" s="77">
        <v>24</v>
      </c>
      <c r="C13" s="78">
        <v>22</v>
      </c>
      <c r="D13" s="79">
        <v>25</v>
      </c>
      <c r="E13" s="160"/>
      <c r="F13" s="92">
        <f t="shared" ca="1" si="0"/>
        <v>7.95</v>
      </c>
      <c r="G13" s="49">
        <f t="shared" ca="1" si="1"/>
        <v>13.01</v>
      </c>
      <c r="H13" s="93">
        <f t="shared" ca="1" si="2"/>
        <v>7.09</v>
      </c>
      <c r="I13" s="93"/>
      <c r="J13" s="86"/>
      <c r="K13" s="129">
        <f t="shared" ca="1" si="3"/>
        <v>13.01</v>
      </c>
      <c r="L13" s="123"/>
      <c r="M13" s="124"/>
      <c r="P13" s="88"/>
      <c r="Q13" s="89"/>
    </row>
    <row r="14" spans="1:20" ht="20.100000000000001" customHeight="1" x14ac:dyDescent="0.2">
      <c r="A14" s="84">
        <v>13</v>
      </c>
      <c r="B14" s="77">
        <v>27</v>
      </c>
      <c r="C14" s="78">
        <v>18</v>
      </c>
      <c r="D14" s="79">
        <v>45</v>
      </c>
      <c r="E14" s="160"/>
      <c r="F14" s="92">
        <f t="shared" ca="1" si="0"/>
        <v>5.57</v>
      </c>
      <c r="G14" s="49">
        <f t="shared" ca="1" si="1"/>
        <v>11.31</v>
      </c>
      <c r="H14" s="93">
        <f t="shared" ca="1" si="2"/>
        <v>10.53</v>
      </c>
      <c r="I14" s="93"/>
      <c r="J14" s="86"/>
      <c r="K14" s="129">
        <f t="shared" ca="1" si="3"/>
        <v>11.31</v>
      </c>
      <c r="L14" s="123"/>
      <c r="M14" s="124"/>
      <c r="P14" s="88"/>
      <c r="Q14" s="89"/>
    </row>
    <row r="15" spans="1:20" ht="20.100000000000001" customHeight="1" x14ac:dyDescent="0.2">
      <c r="A15" s="84">
        <v>14</v>
      </c>
      <c r="B15" s="77">
        <v>44</v>
      </c>
      <c r="C15" s="78">
        <v>75</v>
      </c>
      <c r="D15" s="79">
        <v>70</v>
      </c>
      <c r="E15" s="160"/>
      <c r="F15" s="92">
        <f t="shared" ca="1" si="0"/>
        <v>13.24</v>
      </c>
      <c r="G15" s="49">
        <f t="shared" ca="1" si="1"/>
        <v>4.75</v>
      </c>
      <c r="H15" s="93">
        <f t="shared" ca="1" si="2"/>
        <v>4.0999999999999996</v>
      </c>
      <c r="I15" s="93"/>
      <c r="J15" s="86"/>
      <c r="K15" s="129">
        <f t="shared" ca="1" si="3"/>
        <v>13.24</v>
      </c>
      <c r="L15" s="123"/>
      <c r="M15" s="124"/>
      <c r="P15" s="88"/>
      <c r="Q15" s="89"/>
    </row>
    <row r="16" spans="1:20" ht="20.100000000000001" customHeight="1" x14ac:dyDescent="0.2">
      <c r="A16" s="84">
        <v>15</v>
      </c>
      <c r="B16" s="77">
        <v>19</v>
      </c>
      <c r="C16" s="78">
        <v>61</v>
      </c>
      <c r="D16" s="79">
        <v>58</v>
      </c>
      <c r="E16" s="160"/>
      <c r="F16" s="92">
        <f t="shared" ca="1" si="0"/>
        <v>8.6</v>
      </c>
      <c r="G16" s="49">
        <f t="shared" ca="1" si="1"/>
        <v>4.2300000000000004</v>
      </c>
      <c r="H16" s="93">
        <f t="shared" ca="1" si="2"/>
        <v>0</v>
      </c>
      <c r="I16" s="93"/>
      <c r="J16" s="86"/>
      <c r="K16" s="129">
        <f t="shared" ca="1" si="3"/>
        <v>8.6</v>
      </c>
      <c r="L16" s="123"/>
      <c r="M16" s="124"/>
      <c r="P16" s="88"/>
      <c r="Q16" s="89"/>
    </row>
    <row r="17" spans="1:17" ht="20.100000000000001" customHeight="1" x14ac:dyDescent="0.2">
      <c r="A17" s="84">
        <v>16</v>
      </c>
      <c r="B17" s="77">
        <v>31</v>
      </c>
      <c r="C17" s="78">
        <v>48</v>
      </c>
      <c r="D17" s="79">
        <v>10</v>
      </c>
      <c r="E17" s="160"/>
      <c r="F17" s="92">
        <f t="shared" ca="1" si="0"/>
        <v>9.3800000000000008</v>
      </c>
      <c r="G17" s="49">
        <f t="shared" ca="1" si="1"/>
        <v>2.0299999999999998</v>
      </c>
      <c r="H17" s="93">
        <f t="shared" ca="1" si="2"/>
        <v>18</v>
      </c>
      <c r="I17" s="93"/>
      <c r="J17" s="86"/>
      <c r="K17" s="129">
        <f t="shared" ca="1" si="3"/>
        <v>18</v>
      </c>
      <c r="L17" s="123"/>
      <c r="M17" s="124"/>
      <c r="P17" s="88"/>
      <c r="Q17" s="89"/>
    </row>
    <row r="18" spans="1:17" ht="20.100000000000001" customHeight="1" x14ac:dyDescent="0.2">
      <c r="A18" s="84">
        <v>17</v>
      </c>
      <c r="B18" s="77">
        <v>14</v>
      </c>
      <c r="C18" s="78">
        <v>52</v>
      </c>
      <c r="D18" s="79">
        <v>9</v>
      </c>
      <c r="E18" s="160"/>
      <c r="F18" s="92">
        <f t="shared" ca="1" si="0"/>
        <v>11.09</v>
      </c>
      <c r="G18" s="49">
        <f t="shared" ca="1" si="1"/>
        <v>9.5</v>
      </c>
      <c r="H18" s="93">
        <f t="shared" ca="1" si="2"/>
        <v>9.9700000000000006</v>
      </c>
      <c r="I18" s="93"/>
      <c r="J18" s="86"/>
      <c r="K18" s="129">
        <f t="shared" ca="1" si="3"/>
        <v>11.09</v>
      </c>
      <c r="L18" s="123"/>
      <c r="M18" s="124"/>
      <c r="P18" s="88"/>
      <c r="Q18" s="89"/>
    </row>
    <row r="19" spans="1:17" ht="20.100000000000001" customHeight="1" x14ac:dyDescent="0.2">
      <c r="A19" s="84">
        <v>18</v>
      </c>
      <c r="B19" s="77">
        <v>56</v>
      </c>
      <c r="C19" s="78">
        <v>59</v>
      </c>
      <c r="D19" s="79">
        <v>7</v>
      </c>
      <c r="E19" s="160"/>
      <c r="F19" s="92">
        <f t="shared" ca="1" si="0"/>
        <v>4.05</v>
      </c>
      <c r="G19" s="49">
        <f t="shared" ca="1" si="1"/>
        <v>4.41</v>
      </c>
      <c r="H19" s="93">
        <f t="shared" ca="1" si="2"/>
        <v>8.18</v>
      </c>
      <c r="I19" s="93"/>
      <c r="J19" s="86"/>
      <c r="K19" s="129">
        <f t="shared" ca="1" si="3"/>
        <v>8.18</v>
      </c>
      <c r="L19" s="123"/>
      <c r="M19" s="124"/>
      <c r="P19" s="88"/>
      <c r="Q19" s="89"/>
    </row>
    <row r="20" spans="1:17" ht="20.100000000000001" customHeight="1" x14ac:dyDescent="0.2">
      <c r="A20" s="84">
        <v>19</v>
      </c>
      <c r="B20" s="77">
        <v>11</v>
      </c>
      <c r="C20" s="78">
        <v>32</v>
      </c>
      <c r="D20" s="79">
        <v>36</v>
      </c>
      <c r="E20" s="160"/>
      <c r="F20" s="92">
        <f t="shared" ca="1" si="0"/>
        <v>0</v>
      </c>
      <c r="G20" s="49">
        <f t="shared" ca="1" si="1"/>
        <v>7.24</v>
      </c>
      <c r="H20" s="93">
        <f t="shared" ca="1" si="2"/>
        <v>4.51</v>
      </c>
      <c r="I20" s="93"/>
      <c r="J20" s="86"/>
      <c r="K20" s="129">
        <f t="shared" ca="1" si="3"/>
        <v>7.24</v>
      </c>
      <c r="L20" s="123"/>
      <c r="M20" s="124"/>
      <c r="P20" s="88"/>
      <c r="Q20" s="89"/>
    </row>
    <row r="21" spans="1:17" ht="20.100000000000001" customHeight="1" x14ac:dyDescent="0.2">
      <c r="A21" s="84">
        <v>20</v>
      </c>
      <c r="B21" s="77">
        <v>71</v>
      </c>
      <c r="C21" s="78">
        <v>26</v>
      </c>
      <c r="D21" s="79">
        <v>39</v>
      </c>
      <c r="E21" s="160"/>
      <c r="F21" s="92">
        <f t="shared" ca="1" si="0"/>
        <v>0</v>
      </c>
      <c r="G21" s="49">
        <f t="shared" ca="1" si="1"/>
        <v>9.2799999999999994</v>
      </c>
      <c r="H21" s="93">
        <f t="shared" ca="1" si="2"/>
        <v>10.84</v>
      </c>
      <c r="I21" s="93"/>
      <c r="J21" s="86"/>
      <c r="K21" s="129">
        <f t="shared" ca="1" si="3"/>
        <v>10.84</v>
      </c>
      <c r="L21" s="123"/>
      <c r="M21" s="124"/>
      <c r="P21" s="88"/>
      <c r="Q21" s="89"/>
    </row>
    <row r="22" spans="1:17" ht="20.100000000000001" customHeight="1" x14ac:dyDescent="0.2">
      <c r="A22" s="84">
        <v>21</v>
      </c>
      <c r="B22" s="77">
        <v>20</v>
      </c>
      <c r="C22" s="78">
        <v>6</v>
      </c>
      <c r="D22" s="79">
        <v>41</v>
      </c>
      <c r="E22" s="160"/>
      <c r="F22" s="92">
        <f t="shared" ca="1" si="0"/>
        <v>4.07</v>
      </c>
      <c r="G22" s="49">
        <f t="shared" ca="1" si="1"/>
        <v>10.18</v>
      </c>
      <c r="H22" s="93">
        <f t="shared" ca="1" si="2"/>
        <v>6.56</v>
      </c>
      <c r="I22" s="93"/>
      <c r="J22" s="86"/>
      <c r="K22" s="129">
        <f t="shared" ca="1" si="3"/>
        <v>10.18</v>
      </c>
      <c r="L22" s="123"/>
      <c r="M22" s="124"/>
      <c r="P22" s="88"/>
      <c r="Q22" s="89"/>
    </row>
    <row r="23" spans="1:17" ht="20.100000000000001" customHeight="1" x14ac:dyDescent="0.2">
      <c r="A23" s="84">
        <v>22</v>
      </c>
      <c r="B23" s="77">
        <v>67</v>
      </c>
      <c r="C23" s="78">
        <v>16</v>
      </c>
      <c r="D23" s="79">
        <v>42</v>
      </c>
      <c r="E23" s="160"/>
      <c r="F23" s="92">
        <f t="shared" ca="1" si="0"/>
        <v>3.75</v>
      </c>
      <c r="G23" s="49">
        <f t="shared" ca="1" si="1"/>
        <v>9.0299999999999994</v>
      </c>
      <c r="H23" s="93">
        <f t="shared" ca="1" si="2"/>
        <v>4.41</v>
      </c>
      <c r="I23" s="93"/>
      <c r="J23" s="86"/>
      <c r="K23" s="129">
        <f t="shared" ca="1" si="3"/>
        <v>9.0299999999999994</v>
      </c>
      <c r="L23" s="123"/>
      <c r="M23" s="124"/>
      <c r="P23" s="88"/>
      <c r="Q23" s="89"/>
    </row>
    <row r="24" spans="1:17" ht="20.100000000000001" customHeight="1" x14ac:dyDescent="0.2">
      <c r="A24" s="84">
        <v>23</v>
      </c>
      <c r="B24" s="77">
        <v>72</v>
      </c>
      <c r="C24" s="78">
        <v>15</v>
      </c>
      <c r="D24" s="79">
        <v>60</v>
      </c>
      <c r="E24" s="160"/>
      <c r="F24" s="92">
        <f t="shared" ca="1" si="0"/>
        <v>9.35</v>
      </c>
      <c r="G24" s="49">
        <f t="shared" ca="1" si="1"/>
        <v>10.44</v>
      </c>
      <c r="H24" s="93">
        <f t="shared" ca="1" si="2"/>
        <v>8.68</v>
      </c>
      <c r="I24" s="93"/>
      <c r="J24" s="86"/>
      <c r="K24" s="129">
        <f t="shared" ca="1" si="3"/>
        <v>10.44</v>
      </c>
      <c r="L24" s="123"/>
      <c r="M24" s="124"/>
      <c r="P24" s="88"/>
      <c r="Q24" s="89"/>
    </row>
    <row r="25" spans="1:17" ht="20.100000000000001" customHeight="1" x14ac:dyDescent="0.2">
      <c r="A25" s="84">
        <v>24</v>
      </c>
      <c r="B25" s="77">
        <v>37</v>
      </c>
      <c r="C25" s="78">
        <v>50</v>
      </c>
      <c r="D25" s="79">
        <v>13</v>
      </c>
      <c r="E25" s="160"/>
      <c r="F25" s="92">
        <f t="shared" ca="1" si="0"/>
        <v>0</v>
      </c>
      <c r="G25" s="49">
        <f t="shared" ca="1" si="1"/>
        <v>1.84</v>
      </c>
      <c r="H25" s="93">
        <f t="shared" ca="1" si="2"/>
        <v>5.46</v>
      </c>
      <c r="I25" s="93"/>
      <c r="J25" s="86"/>
      <c r="K25" s="129">
        <f t="shared" ca="1" si="3"/>
        <v>5.46</v>
      </c>
      <c r="L25" s="123"/>
      <c r="M25" s="124"/>
      <c r="P25" s="88"/>
      <c r="Q25" s="89"/>
    </row>
    <row r="26" spans="1:17" ht="20.100000000000001" customHeight="1" x14ac:dyDescent="0.2">
      <c r="A26" s="84">
        <v>25</v>
      </c>
      <c r="B26" s="77">
        <v>69</v>
      </c>
      <c r="C26" s="78">
        <v>57</v>
      </c>
      <c r="D26" s="79">
        <v>2</v>
      </c>
      <c r="E26" s="160"/>
      <c r="F26" s="92">
        <f t="shared" ca="1" si="0"/>
        <v>7.29</v>
      </c>
      <c r="G26" s="49">
        <f t="shared" ca="1" si="1"/>
        <v>2.4500000000000002</v>
      </c>
      <c r="H26" s="93">
        <f t="shared" ca="1" si="2"/>
        <v>10.7</v>
      </c>
      <c r="I26" s="93"/>
      <c r="J26" s="86"/>
      <c r="K26" s="129">
        <f t="shared" ca="1" si="3"/>
        <v>10.7</v>
      </c>
      <c r="L26" s="123"/>
      <c r="M26" s="124"/>
      <c r="P26" s="88"/>
      <c r="Q26" s="89"/>
    </row>
    <row r="27" spans="1:17" ht="20.100000000000001" customHeight="1" x14ac:dyDescent="0.2">
      <c r="A27" s="84">
        <v>26</v>
      </c>
      <c r="B27" s="77"/>
      <c r="C27" s="78"/>
      <c r="D27" s="79"/>
      <c r="E27" s="160"/>
      <c r="F27" s="92" t="str">
        <f t="shared" ca="1" si="0"/>
        <v>-</v>
      </c>
      <c r="G27" s="49" t="str">
        <f t="shared" ca="1" si="1"/>
        <v>-</v>
      </c>
      <c r="H27" s="93" t="str">
        <f t="shared" ca="1" si="2"/>
        <v>-</v>
      </c>
      <c r="I27" s="93"/>
      <c r="J27" s="86"/>
      <c r="K27" s="129" t="str">
        <f t="shared" ca="1" si="3"/>
        <v>-</v>
      </c>
      <c r="L27" s="123"/>
      <c r="M27" s="124"/>
      <c r="P27" s="88"/>
      <c r="Q27" s="89"/>
    </row>
    <row r="28" spans="1:17" ht="20.100000000000001" customHeight="1" x14ac:dyDescent="0.2">
      <c r="A28" s="84"/>
      <c r="B28" s="77"/>
      <c r="C28" s="78"/>
      <c r="D28" s="79"/>
      <c r="E28" s="160"/>
      <c r="F28" s="92"/>
      <c r="G28" s="49"/>
      <c r="H28" s="93"/>
      <c r="I28" s="93"/>
      <c r="J28" s="86"/>
      <c r="K28" s="94"/>
      <c r="L28" s="123"/>
      <c r="M28" s="124"/>
    </row>
    <row r="29" spans="1:17" ht="20.100000000000001" customHeight="1" x14ac:dyDescent="0.2">
      <c r="A29" s="84"/>
      <c r="B29" s="77"/>
      <c r="C29" s="78"/>
      <c r="D29" s="79"/>
      <c r="E29" s="160"/>
      <c r="F29" s="92"/>
      <c r="G29" s="49"/>
      <c r="H29" s="93"/>
      <c r="I29" s="93"/>
      <c r="J29" s="86"/>
      <c r="K29" s="94"/>
      <c r="L29" s="123"/>
      <c r="M29" s="124"/>
    </row>
    <row r="30" spans="1:17" ht="20.100000000000001" customHeight="1" x14ac:dyDescent="0.2">
      <c r="A30" s="84"/>
      <c r="B30" s="77"/>
      <c r="C30" s="78"/>
      <c r="D30" s="79"/>
      <c r="E30" s="160"/>
      <c r="F30" s="92"/>
      <c r="G30" s="49"/>
      <c r="H30" s="93"/>
      <c r="I30" s="93"/>
      <c r="J30" s="86"/>
      <c r="K30" s="94"/>
      <c r="L30" s="123"/>
      <c r="M30" s="124"/>
    </row>
    <row r="31" spans="1:17" ht="20.100000000000001" customHeight="1" x14ac:dyDescent="0.2">
      <c r="A31" s="84"/>
      <c r="B31" s="77"/>
      <c r="C31" s="78"/>
      <c r="D31" s="79"/>
      <c r="E31" s="160"/>
      <c r="F31" s="92"/>
      <c r="G31" s="49"/>
      <c r="H31" s="93"/>
      <c r="I31" s="93"/>
      <c r="J31" s="86"/>
      <c r="K31" s="94"/>
      <c r="L31" s="123"/>
      <c r="M31" s="124"/>
    </row>
    <row r="32" spans="1:17" ht="20.100000000000001" customHeight="1" x14ac:dyDescent="0.2">
      <c r="A32" s="84"/>
      <c r="B32" s="77"/>
      <c r="C32" s="78"/>
      <c r="D32" s="79"/>
      <c r="E32" s="160"/>
      <c r="F32" s="92"/>
      <c r="G32" s="49"/>
      <c r="H32" s="93"/>
      <c r="I32" s="93"/>
      <c r="J32" s="86"/>
      <c r="K32" s="94"/>
      <c r="L32" s="123"/>
      <c r="M32" s="124"/>
    </row>
    <row r="33" spans="1:13" ht="20.100000000000001" customHeight="1" x14ac:dyDescent="0.2">
      <c r="A33" s="84"/>
      <c r="B33" s="77"/>
      <c r="C33" s="78"/>
      <c r="D33" s="79"/>
      <c r="E33" s="160"/>
      <c r="F33" s="92"/>
      <c r="G33" s="49"/>
      <c r="H33" s="93"/>
      <c r="I33" s="93"/>
      <c r="J33" s="86"/>
      <c r="K33" s="94"/>
      <c r="L33" s="123"/>
      <c r="M33" s="124"/>
    </row>
    <row r="34" spans="1:13" ht="20.100000000000001" customHeight="1" x14ac:dyDescent="0.2">
      <c r="A34" s="84"/>
      <c r="B34" s="77"/>
      <c r="C34" s="78"/>
      <c r="D34" s="79"/>
      <c r="E34" s="160"/>
      <c r="F34" s="92"/>
      <c r="G34" s="49"/>
      <c r="H34" s="93"/>
      <c r="I34" s="93"/>
      <c r="J34" s="86"/>
      <c r="K34" s="94"/>
      <c r="L34" s="123"/>
      <c r="M34" s="124"/>
    </row>
    <row r="35" spans="1:13" ht="20.100000000000001" customHeight="1" x14ac:dyDescent="0.2">
      <c r="A35" s="84"/>
      <c r="B35" s="77"/>
      <c r="C35" s="78"/>
      <c r="D35" s="79"/>
      <c r="E35" s="160"/>
      <c r="F35" s="92"/>
      <c r="G35" s="49"/>
      <c r="H35" s="93"/>
      <c r="I35" s="93"/>
      <c r="J35" s="86"/>
      <c r="K35" s="94"/>
      <c r="L35" s="123"/>
      <c r="M35" s="124"/>
    </row>
    <row r="36" spans="1:13" ht="20.100000000000001" customHeight="1" x14ac:dyDescent="0.2">
      <c r="A36" s="84"/>
      <c r="B36" s="77"/>
      <c r="C36" s="78"/>
      <c r="D36" s="79"/>
      <c r="E36" s="160"/>
      <c r="F36" s="92"/>
      <c r="G36" s="49"/>
      <c r="H36" s="93"/>
      <c r="I36" s="93"/>
      <c r="J36" s="86"/>
      <c r="K36" s="94"/>
      <c r="L36" s="123"/>
      <c r="M36" s="124"/>
    </row>
    <row r="37" spans="1:13" ht="20.100000000000001" customHeight="1" x14ac:dyDescent="0.2">
      <c r="A37" s="84"/>
      <c r="B37" s="77"/>
      <c r="C37" s="78"/>
      <c r="D37" s="79"/>
      <c r="E37" s="160"/>
      <c r="F37" s="92"/>
      <c r="G37" s="49"/>
      <c r="H37" s="93"/>
      <c r="I37" s="93"/>
      <c r="J37" s="86"/>
      <c r="K37" s="94"/>
      <c r="L37" s="123"/>
      <c r="M37" s="124"/>
    </row>
    <row r="38" spans="1:13" ht="20.100000000000001" customHeight="1" x14ac:dyDescent="0.2">
      <c r="A38" s="84"/>
      <c r="B38" s="77"/>
      <c r="C38" s="78"/>
      <c r="D38" s="79"/>
      <c r="E38" s="160"/>
      <c r="F38" s="92"/>
      <c r="G38" s="49"/>
      <c r="H38" s="93"/>
      <c r="I38" s="93"/>
      <c r="J38" s="86"/>
      <c r="K38" s="94"/>
      <c r="L38" s="123"/>
      <c r="M38" s="124"/>
    </row>
    <row r="39" spans="1:13" ht="20.100000000000001" customHeight="1" x14ac:dyDescent="0.2">
      <c r="A39" s="84"/>
      <c r="B39" s="77"/>
      <c r="C39" s="78"/>
      <c r="D39" s="79"/>
      <c r="E39" s="160"/>
      <c r="F39" s="92"/>
      <c r="G39" s="49"/>
      <c r="H39" s="93"/>
      <c r="I39" s="93"/>
      <c r="J39" s="86"/>
      <c r="K39" s="94"/>
      <c r="L39" s="123"/>
      <c r="M39" s="124"/>
    </row>
    <row r="40" spans="1:13" ht="20.100000000000001" customHeight="1" x14ac:dyDescent="0.2">
      <c r="A40" s="84"/>
      <c r="B40" s="77"/>
      <c r="C40" s="78"/>
      <c r="D40" s="79"/>
      <c r="E40" s="160"/>
      <c r="F40" s="92"/>
      <c r="G40" s="49"/>
      <c r="H40" s="93"/>
      <c r="I40" s="93"/>
      <c r="J40" s="86"/>
      <c r="K40" s="94"/>
      <c r="L40" s="123"/>
      <c r="M40" s="124"/>
    </row>
    <row r="41" spans="1:13" ht="20.100000000000001" customHeight="1" x14ac:dyDescent="0.2">
      <c r="A41" s="84"/>
      <c r="B41" s="77"/>
      <c r="C41" s="78"/>
      <c r="D41" s="79"/>
      <c r="E41" s="160"/>
      <c r="F41" s="92"/>
      <c r="G41" s="49"/>
      <c r="H41" s="93"/>
      <c r="I41" s="93"/>
      <c r="J41" s="86"/>
      <c r="K41" s="94"/>
      <c r="L41" s="123"/>
      <c r="M41" s="124"/>
    </row>
    <row r="42" spans="1:13" ht="20.100000000000001" customHeight="1" x14ac:dyDescent="0.2">
      <c r="A42" s="84"/>
      <c r="B42" s="77"/>
      <c r="C42" s="78"/>
      <c r="D42" s="79"/>
      <c r="E42" s="160"/>
      <c r="F42" s="92"/>
      <c r="G42" s="49"/>
      <c r="H42" s="93"/>
      <c r="I42" s="93"/>
      <c r="J42" s="86"/>
      <c r="K42" s="94"/>
      <c r="L42" s="123"/>
      <c r="M42" s="124"/>
    </row>
    <row r="43" spans="1:13" ht="20.100000000000001" customHeight="1" x14ac:dyDescent="0.2">
      <c r="A43" s="84"/>
      <c r="B43" s="77"/>
      <c r="C43" s="78"/>
      <c r="D43" s="79"/>
      <c r="E43" s="160"/>
      <c r="F43" s="92"/>
      <c r="G43" s="49"/>
      <c r="H43" s="93"/>
      <c r="I43" s="93"/>
      <c r="J43" s="86"/>
      <c r="K43" s="94"/>
      <c r="L43" s="123"/>
      <c r="M43" s="124"/>
    </row>
    <row r="44" spans="1:13" ht="20.100000000000001" customHeight="1" x14ac:dyDescent="0.2">
      <c r="A44" s="84"/>
      <c r="B44" s="77"/>
      <c r="C44" s="78"/>
      <c r="D44" s="79"/>
      <c r="E44" s="160"/>
      <c r="F44" s="92"/>
      <c r="G44" s="49"/>
      <c r="H44" s="93"/>
      <c r="I44" s="93"/>
      <c r="J44" s="86"/>
      <c r="K44" s="94"/>
      <c r="L44" s="123"/>
      <c r="M44" s="124"/>
    </row>
    <row r="45" spans="1:13" ht="20.100000000000001" customHeight="1" x14ac:dyDescent="0.2">
      <c r="A45" s="84"/>
      <c r="B45" s="77"/>
      <c r="C45" s="78"/>
      <c r="D45" s="79"/>
      <c r="E45" s="160"/>
      <c r="F45" s="92"/>
      <c r="G45" s="49"/>
      <c r="H45" s="93"/>
      <c r="I45" s="93"/>
      <c r="J45" s="86"/>
      <c r="K45" s="94"/>
      <c r="L45" s="123"/>
      <c r="M45" s="124"/>
    </row>
    <row r="46" spans="1:13" ht="20.100000000000001" customHeight="1" x14ac:dyDescent="0.2">
      <c r="A46" s="84"/>
      <c r="B46" s="77"/>
      <c r="C46" s="78"/>
      <c r="D46" s="79"/>
      <c r="E46" s="160"/>
      <c r="F46" s="92"/>
      <c r="G46" s="49"/>
      <c r="H46" s="93"/>
      <c r="I46" s="93"/>
      <c r="J46" s="86"/>
      <c r="K46" s="94"/>
      <c r="L46" s="123"/>
      <c r="M46" s="124"/>
    </row>
    <row r="47" spans="1:13" ht="20.100000000000001" customHeight="1" x14ac:dyDescent="0.2">
      <c r="A47" s="84"/>
      <c r="B47" s="77"/>
      <c r="C47" s="78"/>
      <c r="D47" s="79"/>
      <c r="E47" s="160"/>
      <c r="F47" s="92"/>
      <c r="G47" s="49"/>
      <c r="H47" s="93"/>
      <c r="I47" s="93"/>
      <c r="J47" s="86"/>
      <c r="K47" s="94"/>
      <c r="L47" s="123"/>
      <c r="M47" s="124"/>
    </row>
    <row r="48" spans="1:13" ht="20.100000000000001" customHeight="1" x14ac:dyDescent="0.2">
      <c r="A48" s="84"/>
      <c r="B48" s="77"/>
      <c r="C48" s="78"/>
      <c r="D48" s="79"/>
      <c r="E48" s="160"/>
      <c r="F48" s="92"/>
      <c r="G48" s="49"/>
      <c r="H48" s="93"/>
      <c r="I48" s="93"/>
      <c r="J48" s="86"/>
      <c r="K48" s="94"/>
      <c r="L48" s="123"/>
      <c r="M48" s="124"/>
    </row>
    <row r="49" spans="1:13" ht="20.100000000000001" customHeight="1" x14ac:dyDescent="0.2">
      <c r="A49" s="84"/>
      <c r="B49" s="77"/>
      <c r="C49" s="78"/>
      <c r="D49" s="79"/>
      <c r="E49" s="160"/>
      <c r="F49" s="92"/>
      <c r="G49" s="49"/>
      <c r="H49" s="93"/>
      <c r="I49" s="93"/>
      <c r="J49" s="86"/>
      <c r="K49" s="94"/>
      <c r="L49" s="123"/>
      <c r="M49" s="124"/>
    </row>
    <row r="50" spans="1:13" ht="20.100000000000001" customHeight="1" x14ac:dyDescent="0.2">
      <c r="A50" s="84"/>
      <c r="B50" s="77"/>
      <c r="C50" s="78"/>
      <c r="D50" s="79"/>
      <c r="E50" s="160"/>
      <c r="F50" s="92"/>
      <c r="G50" s="49"/>
      <c r="H50" s="93"/>
      <c r="I50" s="93"/>
      <c r="J50" s="86"/>
      <c r="K50" s="94"/>
      <c r="L50" s="123"/>
      <c r="M50" s="124"/>
    </row>
    <row r="51" spans="1:13" ht="20.100000000000001" customHeight="1" x14ac:dyDescent="0.2">
      <c r="A51" s="84"/>
      <c r="B51" s="77"/>
      <c r="C51" s="78"/>
      <c r="D51" s="79"/>
      <c r="E51" s="160"/>
      <c r="F51" s="92"/>
      <c r="G51" s="49"/>
      <c r="H51" s="93"/>
      <c r="I51" s="93"/>
      <c r="J51" s="86"/>
      <c r="K51" s="94"/>
      <c r="L51" s="123"/>
      <c r="M51" s="124"/>
    </row>
    <row r="52" spans="1:13" ht="20.100000000000001" customHeight="1" x14ac:dyDescent="0.2">
      <c r="A52" s="84"/>
      <c r="B52" s="77"/>
      <c r="C52" s="78"/>
      <c r="D52" s="79"/>
      <c r="E52" s="160"/>
      <c r="F52" s="92"/>
      <c r="G52" s="49"/>
      <c r="H52" s="93"/>
      <c r="I52" s="93"/>
      <c r="J52" s="86"/>
      <c r="K52" s="94"/>
      <c r="L52" s="123"/>
      <c r="M52" s="124"/>
    </row>
    <row r="53" spans="1:13" ht="20.100000000000001" customHeight="1" x14ac:dyDescent="0.2">
      <c r="A53" s="84"/>
      <c r="B53" s="77"/>
      <c r="C53" s="78"/>
      <c r="D53" s="79"/>
      <c r="E53" s="160"/>
      <c r="F53" s="92"/>
      <c r="G53" s="49"/>
      <c r="H53" s="93"/>
      <c r="I53" s="93"/>
      <c r="J53" s="86"/>
      <c r="K53" s="94"/>
      <c r="L53" s="123"/>
      <c r="M53" s="124"/>
    </row>
    <row r="54" spans="1:13" ht="20.100000000000001" customHeight="1" x14ac:dyDescent="0.2">
      <c r="A54" s="84"/>
      <c r="B54" s="77"/>
      <c r="C54" s="78"/>
      <c r="D54" s="79"/>
      <c r="E54" s="160"/>
      <c r="F54" s="92"/>
      <c r="G54" s="49"/>
      <c r="H54" s="93"/>
      <c r="I54" s="93"/>
      <c r="J54" s="86"/>
      <c r="K54" s="94"/>
      <c r="L54" s="123"/>
      <c r="M54" s="124"/>
    </row>
    <row r="55" spans="1:13" x14ac:dyDescent="0.2">
      <c r="A55" s="84"/>
      <c r="B55" s="77"/>
      <c r="C55" s="78"/>
      <c r="D55" s="79"/>
      <c r="E55" s="160"/>
      <c r="F55" s="92"/>
      <c r="G55" s="49"/>
      <c r="H55" s="93"/>
      <c r="I55" s="93"/>
      <c r="J55" s="86"/>
      <c r="K55" s="94"/>
      <c r="L55" s="123"/>
      <c r="M55" s="124"/>
    </row>
    <row r="56" spans="1:13" x14ac:dyDescent="0.2">
      <c r="A56" s="84"/>
      <c r="B56" s="77"/>
      <c r="C56" s="78"/>
      <c r="D56" s="79"/>
      <c r="E56" s="160"/>
      <c r="F56" s="92"/>
      <c r="G56" s="49"/>
      <c r="H56" s="93"/>
      <c r="I56" s="93"/>
      <c r="J56" s="86"/>
      <c r="K56" s="94"/>
      <c r="L56" s="123"/>
      <c r="M56" s="124"/>
    </row>
    <row r="57" spans="1:13" x14ac:dyDescent="0.2">
      <c r="A57" s="84"/>
      <c r="B57" s="77"/>
      <c r="C57" s="78"/>
      <c r="D57" s="79"/>
      <c r="E57" s="160"/>
      <c r="F57" s="92"/>
      <c r="G57" s="49"/>
      <c r="H57" s="93"/>
      <c r="I57" s="93"/>
      <c r="J57" s="86"/>
      <c r="K57" s="94"/>
      <c r="L57" s="123"/>
      <c r="M57" s="124"/>
    </row>
    <row r="58" spans="1:13" x14ac:dyDescent="0.2">
      <c r="A58" s="84"/>
      <c r="B58" s="77"/>
      <c r="C58" s="78"/>
      <c r="D58" s="79"/>
      <c r="E58" s="160"/>
      <c r="F58" s="92"/>
      <c r="G58" s="49"/>
      <c r="H58" s="93"/>
      <c r="I58" s="93"/>
      <c r="J58" s="86"/>
      <c r="K58" s="94"/>
      <c r="L58" s="123"/>
      <c r="M58" s="124"/>
    </row>
    <row r="59" spans="1:13" x14ac:dyDescent="0.2">
      <c r="A59" s="84"/>
      <c r="B59" s="77"/>
      <c r="C59" s="78"/>
      <c r="D59" s="79"/>
      <c r="E59" s="160"/>
      <c r="F59" s="92"/>
      <c r="G59" s="49"/>
      <c r="H59" s="93"/>
      <c r="I59" s="93"/>
      <c r="J59" s="86"/>
      <c r="K59" s="94"/>
      <c r="L59" s="123"/>
      <c r="M59" s="124"/>
    </row>
    <row r="60" spans="1:13" x14ac:dyDescent="0.2">
      <c r="A60" s="84"/>
      <c r="B60" s="77"/>
      <c r="C60" s="78"/>
      <c r="D60" s="79"/>
      <c r="E60" s="160"/>
      <c r="F60" s="92"/>
      <c r="G60" s="49"/>
      <c r="H60" s="93"/>
      <c r="I60" s="93"/>
      <c r="J60" s="86"/>
      <c r="K60" s="94"/>
      <c r="L60" s="123"/>
      <c r="M60" s="124"/>
    </row>
    <row r="61" spans="1:13" x14ac:dyDescent="0.2">
      <c r="A61" s="84"/>
      <c r="B61" s="77"/>
      <c r="C61" s="78"/>
      <c r="D61" s="79"/>
      <c r="E61" s="160"/>
      <c r="F61" s="92"/>
      <c r="G61" s="49"/>
      <c r="H61" s="93"/>
      <c r="I61" s="93"/>
      <c r="J61" s="86"/>
      <c r="K61" s="94"/>
      <c r="L61" s="123"/>
      <c r="M61" s="124"/>
    </row>
    <row r="62" spans="1:13" x14ac:dyDescent="0.2">
      <c r="A62" s="84"/>
      <c r="B62" s="77"/>
      <c r="C62" s="78"/>
      <c r="D62" s="79"/>
      <c r="E62" s="160"/>
      <c r="F62" s="92"/>
      <c r="G62" s="49"/>
      <c r="H62" s="93"/>
      <c r="I62" s="93"/>
      <c r="J62" s="86"/>
      <c r="K62" s="94"/>
      <c r="L62" s="123"/>
      <c r="M62" s="124"/>
    </row>
    <row r="63" spans="1:13" x14ac:dyDescent="0.2">
      <c r="A63" s="84"/>
      <c r="B63" s="77"/>
      <c r="C63" s="78"/>
      <c r="D63" s="79"/>
      <c r="E63" s="160"/>
      <c r="F63" s="92"/>
      <c r="G63" s="49"/>
      <c r="H63" s="93"/>
      <c r="I63" s="93"/>
      <c r="J63" s="86"/>
      <c r="K63" s="94"/>
      <c r="L63" s="123"/>
      <c r="M63" s="124"/>
    </row>
    <row r="64" spans="1:13" x14ac:dyDescent="0.2">
      <c r="A64" s="84"/>
      <c r="B64" s="77"/>
      <c r="C64" s="78"/>
      <c r="D64" s="79"/>
      <c r="E64" s="160"/>
      <c r="F64" s="92"/>
      <c r="G64" s="49"/>
      <c r="H64" s="93"/>
      <c r="I64" s="93"/>
      <c r="J64" s="86"/>
      <c r="K64" s="94"/>
      <c r="L64" s="123"/>
      <c r="M64" s="124"/>
    </row>
    <row r="65" spans="1:13" x14ac:dyDescent="0.2">
      <c r="A65" s="84"/>
      <c r="B65" s="77"/>
      <c r="C65" s="78"/>
      <c r="D65" s="79"/>
      <c r="E65" s="160"/>
      <c r="F65" s="92"/>
      <c r="G65" s="49"/>
      <c r="H65" s="93"/>
      <c r="I65" s="93"/>
      <c r="J65" s="86"/>
      <c r="K65" s="94"/>
      <c r="L65" s="123"/>
      <c r="M65" s="124"/>
    </row>
    <row r="66" spans="1:13" x14ac:dyDescent="0.2">
      <c r="A66" s="84"/>
      <c r="B66" s="77"/>
      <c r="C66" s="78"/>
      <c r="D66" s="79"/>
      <c r="E66" s="160"/>
      <c r="F66" s="92"/>
      <c r="G66" s="49"/>
      <c r="H66" s="93"/>
      <c r="I66" s="93"/>
      <c r="J66" s="86"/>
      <c r="K66" s="94"/>
      <c r="L66" s="123"/>
      <c r="M66" s="124"/>
    </row>
    <row r="67" spans="1:13" x14ac:dyDescent="0.2">
      <c r="A67" s="84"/>
      <c r="B67" s="77"/>
      <c r="C67" s="78"/>
      <c r="D67" s="79"/>
      <c r="E67" s="160"/>
      <c r="F67" s="92"/>
      <c r="G67" s="49"/>
      <c r="H67" s="93"/>
      <c r="I67" s="93"/>
      <c r="J67" s="86"/>
      <c r="K67" s="94"/>
      <c r="L67" s="123"/>
      <c r="M67" s="124"/>
    </row>
    <row r="68" spans="1:13" x14ac:dyDescent="0.2">
      <c r="A68" s="84"/>
      <c r="B68" s="77"/>
      <c r="C68" s="78"/>
      <c r="D68" s="79"/>
      <c r="E68" s="160"/>
      <c r="F68" s="92"/>
      <c r="G68" s="49"/>
      <c r="H68" s="93"/>
      <c r="I68" s="93"/>
      <c r="J68" s="86"/>
      <c r="K68" s="94"/>
      <c r="L68" s="123"/>
      <c r="M68" s="124"/>
    </row>
    <row r="69" spans="1:13" x14ac:dyDescent="0.2">
      <c r="A69" s="84"/>
      <c r="B69" s="77"/>
      <c r="C69" s="78"/>
      <c r="D69" s="79"/>
      <c r="E69" s="160"/>
      <c r="F69" s="92"/>
      <c r="G69" s="49"/>
      <c r="H69" s="93"/>
      <c r="I69" s="93"/>
      <c r="J69" s="86"/>
      <c r="K69" s="94"/>
      <c r="L69" s="123"/>
      <c r="M69" s="124"/>
    </row>
    <row r="70" spans="1:13" x14ac:dyDescent="0.2">
      <c r="A70" s="84"/>
      <c r="B70" s="77"/>
      <c r="C70" s="78"/>
      <c r="D70" s="79"/>
      <c r="E70" s="160"/>
      <c r="F70" s="92"/>
      <c r="G70" s="49"/>
      <c r="H70" s="93"/>
      <c r="I70" s="93"/>
      <c r="J70" s="86"/>
      <c r="K70" s="94"/>
      <c r="L70" s="123"/>
      <c r="M70" s="124"/>
    </row>
    <row r="71" spans="1:13" x14ac:dyDescent="0.2">
      <c r="A71" s="84"/>
      <c r="B71" s="77"/>
      <c r="C71" s="78"/>
      <c r="D71" s="79"/>
      <c r="E71" s="160"/>
      <c r="F71" s="92"/>
      <c r="G71" s="49"/>
      <c r="H71" s="93"/>
      <c r="I71" s="93"/>
      <c r="J71" s="86"/>
      <c r="K71" s="94"/>
      <c r="L71" s="123"/>
      <c r="M71" s="124"/>
    </row>
    <row r="72" spans="1:13" x14ac:dyDescent="0.2">
      <c r="A72" s="84"/>
      <c r="B72" s="77"/>
      <c r="C72" s="78"/>
      <c r="D72" s="79"/>
      <c r="E72" s="160"/>
      <c r="F72" s="92"/>
      <c r="G72" s="49"/>
      <c r="H72" s="93"/>
      <c r="I72" s="93"/>
      <c r="J72" s="86"/>
      <c r="K72" s="94"/>
      <c r="L72" s="123"/>
      <c r="M72" s="124"/>
    </row>
    <row r="73" spans="1:13" x14ac:dyDescent="0.2">
      <c r="A73" s="84"/>
      <c r="B73" s="77"/>
      <c r="C73" s="78"/>
      <c r="D73" s="79"/>
      <c r="E73" s="160"/>
      <c r="F73" s="92"/>
      <c r="G73" s="49"/>
      <c r="H73" s="93"/>
      <c r="I73" s="93"/>
      <c r="J73" s="86"/>
      <c r="K73" s="94"/>
      <c r="L73" s="123"/>
      <c r="M73" s="124"/>
    </row>
    <row r="74" spans="1:13" x14ac:dyDescent="0.2">
      <c r="A74" s="84"/>
      <c r="B74" s="77"/>
      <c r="C74" s="78"/>
      <c r="D74" s="79"/>
      <c r="E74" s="160"/>
      <c r="F74" s="92"/>
      <c r="G74" s="49"/>
      <c r="H74" s="93"/>
      <c r="I74" s="93"/>
      <c r="J74" s="86"/>
      <c r="K74" s="94"/>
      <c r="L74" s="123"/>
      <c r="M74" s="124"/>
    </row>
    <row r="75" spans="1:13" x14ac:dyDescent="0.2">
      <c r="A75" s="84"/>
      <c r="B75" s="77"/>
      <c r="C75" s="78"/>
      <c r="D75" s="79"/>
      <c r="E75" s="160"/>
      <c r="F75" s="92"/>
      <c r="G75" s="49"/>
      <c r="H75" s="93"/>
      <c r="I75" s="93"/>
      <c r="J75" s="86"/>
      <c r="K75" s="94"/>
      <c r="L75" s="123"/>
      <c r="M75" s="124"/>
    </row>
    <row r="76" spans="1:13" x14ac:dyDescent="0.2">
      <c r="A76" s="84"/>
      <c r="B76" s="77"/>
      <c r="C76" s="78"/>
      <c r="D76" s="79"/>
      <c r="E76" s="160"/>
      <c r="F76" s="92"/>
      <c r="G76" s="49"/>
      <c r="H76" s="93"/>
      <c r="I76" s="93"/>
      <c r="J76" s="86"/>
      <c r="K76" s="94"/>
      <c r="L76" s="123"/>
      <c r="M76" s="124"/>
    </row>
    <row r="77" spans="1:13" x14ac:dyDescent="0.2">
      <c r="A77" s="84"/>
      <c r="B77" s="77"/>
      <c r="C77" s="78"/>
      <c r="D77" s="79"/>
      <c r="E77" s="160"/>
      <c r="F77" s="92"/>
      <c r="G77" s="49"/>
      <c r="H77" s="93"/>
      <c r="I77" s="93"/>
      <c r="J77" s="86"/>
      <c r="K77" s="94"/>
      <c r="L77" s="123"/>
      <c r="M77" s="124"/>
    </row>
    <row r="78" spans="1:13" x14ac:dyDescent="0.2">
      <c r="A78" s="84"/>
      <c r="B78" s="77"/>
      <c r="C78" s="78"/>
      <c r="D78" s="79"/>
      <c r="E78" s="160"/>
      <c r="F78" s="92"/>
      <c r="G78" s="49"/>
      <c r="H78" s="93"/>
      <c r="I78" s="93"/>
      <c r="J78" s="86"/>
      <c r="K78" s="94"/>
      <c r="L78" s="123"/>
      <c r="M78" s="124"/>
    </row>
    <row r="79" spans="1:13" x14ac:dyDescent="0.2">
      <c r="A79" s="84"/>
      <c r="B79" s="77"/>
      <c r="C79" s="78"/>
      <c r="D79" s="79"/>
      <c r="E79" s="160"/>
      <c r="F79" s="92"/>
      <c r="G79" s="49"/>
      <c r="H79" s="93"/>
      <c r="I79" s="93"/>
      <c r="J79" s="86"/>
      <c r="K79" s="94"/>
      <c r="L79" s="123"/>
      <c r="M79" s="124"/>
    </row>
    <row r="80" spans="1:13" x14ac:dyDescent="0.2">
      <c r="A80" s="84"/>
      <c r="B80" s="77"/>
      <c r="C80" s="78"/>
      <c r="D80" s="79"/>
      <c r="E80" s="160"/>
      <c r="F80" s="92"/>
      <c r="G80" s="49"/>
      <c r="H80" s="93"/>
      <c r="I80" s="93"/>
      <c r="J80" s="86"/>
      <c r="K80" s="94"/>
      <c r="L80" s="123"/>
      <c r="M80" s="124"/>
    </row>
    <row r="81" spans="1:13" x14ac:dyDescent="0.2">
      <c r="A81" s="84"/>
      <c r="B81" s="77"/>
      <c r="C81" s="78"/>
      <c r="D81" s="79"/>
      <c r="E81" s="160"/>
      <c r="F81" s="92"/>
      <c r="G81" s="49"/>
      <c r="H81" s="93"/>
      <c r="I81" s="93"/>
      <c r="J81" s="86"/>
      <c r="K81" s="94"/>
      <c r="L81" s="123"/>
      <c r="M81" s="124"/>
    </row>
    <row r="82" spans="1:13" x14ac:dyDescent="0.2">
      <c r="A82" s="84"/>
      <c r="B82" s="77"/>
      <c r="C82" s="78"/>
      <c r="D82" s="79"/>
      <c r="E82" s="160"/>
      <c r="F82" s="92"/>
      <c r="G82" s="49"/>
      <c r="H82" s="93"/>
      <c r="I82" s="93"/>
      <c r="J82" s="86"/>
      <c r="K82" s="94"/>
      <c r="L82" s="123"/>
      <c r="M82" s="124"/>
    </row>
    <row r="83" spans="1:13" x14ac:dyDescent="0.2">
      <c r="A83" s="84"/>
      <c r="B83" s="77"/>
      <c r="C83" s="78"/>
      <c r="D83" s="79"/>
      <c r="E83" s="160"/>
      <c r="F83" s="92"/>
      <c r="G83" s="49"/>
      <c r="H83" s="93"/>
      <c r="I83" s="93"/>
      <c r="J83" s="86"/>
      <c r="K83" s="94"/>
      <c r="L83" s="123"/>
      <c r="M83" s="124"/>
    </row>
    <row r="84" spans="1:13" x14ac:dyDescent="0.2">
      <c r="A84" s="84"/>
      <c r="B84" s="77"/>
      <c r="C84" s="78"/>
      <c r="D84" s="79"/>
      <c r="E84" s="160"/>
      <c r="F84" s="92"/>
      <c r="G84" s="49"/>
      <c r="H84" s="93"/>
      <c r="I84" s="93"/>
      <c r="J84" s="86"/>
      <c r="K84" s="94"/>
      <c r="L84" s="123"/>
      <c r="M84" s="124"/>
    </row>
    <row r="85" spans="1:13" x14ac:dyDescent="0.2">
      <c r="A85" s="84"/>
      <c r="B85" s="77"/>
      <c r="C85" s="78"/>
      <c r="D85" s="79"/>
      <c r="E85" s="160"/>
      <c r="F85" s="92"/>
      <c r="G85" s="49"/>
      <c r="H85" s="93"/>
      <c r="I85" s="93"/>
      <c r="J85" s="86"/>
      <c r="K85" s="94"/>
      <c r="L85" s="123"/>
      <c r="M85" s="124"/>
    </row>
    <row r="86" spans="1:13" x14ac:dyDescent="0.2">
      <c r="A86" s="84"/>
      <c r="B86" s="77"/>
      <c r="C86" s="78"/>
      <c r="D86" s="79"/>
      <c r="E86" s="160"/>
      <c r="F86" s="92"/>
      <c r="G86" s="49"/>
      <c r="H86" s="93"/>
      <c r="I86" s="93"/>
      <c r="J86" s="86"/>
      <c r="K86" s="94"/>
      <c r="L86" s="123"/>
      <c r="M86" s="124"/>
    </row>
    <row r="87" spans="1:13" x14ac:dyDescent="0.2">
      <c r="A87" s="84"/>
      <c r="B87" s="77"/>
      <c r="C87" s="78"/>
      <c r="D87" s="79"/>
      <c r="E87" s="160"/>
      <c r="F87" s="92"/>
      <c r="G87" s="49"/>
      <c r="H87" s="93"/>
      <c r="I87" s="93"/>
      <c r="J87" s="86"/>
      <c r="K87" s="94"/>
      <c r="L87" s="123"/>
      <c r="M87" s="124"/>
    </row>
    <row r="88" spans="1:13" x14ac:dyDescent="0.2">
      <c r="A88" s="84"/>
      <c r="B88" s="77"/>
      <c r="C88" s="78"/>
      <c r="D88" s="79"/>
      <c r="E88" s="160"/>
      <c r="F88" s="92"/>
      <c r="G88" s="49"/>
      <c r="H88" s="93"/>
      <c r="I88" s="93"/>
      <c r="J88" s="86"/>
      <c r="K88" s="94"/>
      <c r="L88" s="123"/>
      <c r="M88" s="124"/>
    </row>
    <row r="89" spans="1:13" x14ac:dyDescent="0.2">
      <c r="A89" s="84"/>
      <c r="B89" s="77"/>
      <c r="C89" s="78"/>
      <c r="D89" s="79"/>
      <c r="E89" s="160"/>
      <c r="F89" s="92"/>
      <c r="G89" s="49"/>
      <c r="H89" s="93"/>
      <c r="I89" s="93"/>
      <c r="J89" s="86"/>
      <c r="K89" s="94"/>
      <c r="L89" s="123"/>
      <c r="M89" s="124"/>
    </row>
    <row r="90" spans="1:13" x14ac:dyDescent="0.2">
      <c r="A90" s="84"/>
      <c r="B90" s="77"/>
      <c r="C90" s="78"/>
      <c r="D90" s="79"/>
      <c r="E90" s="160"/>
      <c r="F90" s="92"/>
      <c r="G90" s="49"/>
      <c r="H90" s="93"/>
      <c r="I90" s="93"/>
      <c r="J90" s="86"/>
      <c r="K90" s="94"/>
      <c r="L90" s="123"/>
      <c r="M90" s="124"/>
    </row>
    <row r="91" spans="1:13" x14ac:dyDescent="0.2">
      <c r="A91" s="84"/>
      <c r="B91" s="77"/>
      <c r="C91" s="78"/>
      <c r="D91" s="79"/>
      <c r="E91" s="160"/>
      <c r="F91" s="92"/>
      <c r="G91" s="49"/>
      <c r="H91" s="93"/>
      <c r="I91" s="93"/>
      <c r="J91" s="86"/>
      <c r="K91" s="94"/>
      <c r="L91" s="123"/>
      <c r="M91" s="124"/>
    </row>
    <row r="92" spans="1:13" x14ac:dyDescent="0.2">
      <c r="A92" s="84"/>
      <c r="B92" s="77"/>
      <c r="C92" s="78"/>
      <c r="D92" s="79"/>
      <c r="E92" s="160"/>
      <c r="F92" s="92"/>
      <c r="G92" s="49"/>
      <c r="H92" s="93"/>
      <c r="I92" s="93"/>
      <c r="J92" s="86"/>
      <c r="K92" s="94"/>
      <c r="L92" s="123"/>
      <c r="M92" s="124"/>
    </row>
    <row r="93" spans="1:13" x14ac:dyDescent="0.2">
      <c r="A93" s="84"/>
      <c r="B93" s="77"/>
      <c r="C93" s="78"/>
      <c r="D93" s="79"/>
      <c r="E93" s="160"/>
      <c r="F93" s="92"/>
      <c r="G93" s="49"/>
      <c r="H93" s="93"/>
      <c r="I93" s="93"/>
      <c r="J93" s="86"/>
      <c r="K93" s="94"/>
      <c r="L93" s="123"/>
      <c r="M93" s="124"/>
    </row>
    <row r="94" spans="1:13" x14ac:dyDescent="0.2">
      <c r="A94" s="84"/>
      <c r="B94" s="77"/>
      <c r="C94" s="78"/>
      <c r="D94" s="79"/>
      <c r="E94" s="160"/>
      <c r="F94" s="92"/>
      <c r="G94" s="49"/>
      <c r="H94" s="93"/>
      <c r="I94" s="93"/>
      <c r="J94" s="86"/>
      <c r="K94" s="94"/>
      <c r="L94" s="123"/>
      <c r="M94" s="124"/>
    </row>
    <row r="95" spans="1:13" x14ac:dyDescent="0.2">
      <c r="A95" s="84"/>
      <c r="B95" s="77"/>
      <c r="C95" s="78"/>
      <c r="D95" s="79"/>
      <c r="E95" s="160"/>
      <c r="F95" s="92"/>
      <c r="G95" s="49"/>
      <c r="H95" s="93"/>
      <c r="I95" s="93"/>
      <c r="J95" s="86"/>
      <c r="K95" s="94"/>
      <c r="L95" s="123"/>
      <c r="M95" s="124"/>
    </row>
    <row r="96" spans="1:13" x14ac:dyDescent="0.2">
      <c r="A96" s="84"/>
      <c r="B96" s="77"/>
      <c r="C96" s="78"/>
      <c r="D96" s="79"/>
      <c r="E96" s="160"/>
      <c r="F96" s="92"/>
      <c r="G96" s="49"/>
      <c r="H96" s="93"/>
      <c r="I96" s="93"/>
      <c r="J96" s="86"/>
      <c r="K96" s="94"/>
      <c r="L96" s="123"/>
      <c r="M96" s="124"/>
    </row>
    <row r="97" spans="1:13" x14ac:dyDescent="0.2">
      <c r="A97" s="84"/>
      <c r="B97" s="77"/>
      <c r="C97" s="78"/>
      <c r="D97" s="79"/>
      <c r="E97" s="160"/>
      <c r="F97" s="92"/>
      <c r="G97" s="49"/>
      <c r="H97" s="93"/>
      <c r="I97" s="93"/>
      <c r="J97" s="86"/>
      <c r="K97" s="94"/>
      <c r="L97" s="123"/>
      <c r="M97" s="124"/>
    </row>
    <row r="98" spans="1:13" x14ac:dyDescent="0.2">
      <c r="A98" s="84"/>
      <c r="B98" s="77"/>
      <c r="C98" s="78"/>
      <c r="D98" s="79"/>
      <c r="E98" s="160"/>
      <c r="F98" s="92"/>
      <c r="G98" s="49"/>
      <c r="H98" s="93"/>
      <c r="I98" s="93"/>
      <c r="J98" s="86"/>
      <c r="K98" s="94"/>
      <c r="L98" s="123"/>
      <c r="M98" s="124"/>
    </row>
    <row r="99" spans="1:13" x14ac:dyDescent="0.2">
      <c r="A99" s="84"/>
      <c r="B99" s="77"/>
      <c r="C99" s="78"/>
      <c r="D99" s="79"/>
      <c r="E99" s="160"/>
      <c r="F99" s="92"/>
      <c r="G99" s="49"/>
      <c r="H99" s="93"/>
      <c r="I99" s="93"/>
      <c r="J99" s="86"/>
      <c r="K99" s="94"/>
      <c r="L99" s="123"/>
      <c r="M99" s="124"/>
    </row>
    <row r="100" spans="1:13" x14ac:dyDescent="0.2">
      <c r="A100" s="84"/>
      <c r="B100" s="77"/>
      <c r="C100" s="78"/>
      <c r="D100" s="79"/>
      <c r="E100" s="160"/>
      <c r="F100" s="92"/>
      <c r="G100" s="49"/>
      <c r="H100" s="93"/>
      <c r="I100" s="93"/>
      <c r="J100" s="86"/>
      <c r="K100" s="94"/>
      <c r="L100" s="123"/>
      <c r="M100" s="124"/>
    </row>
    <row r="101" spans="1:13" x14ac:dyDescent="0.2">
      <c r="A101" s="84"/>
      <c r="B101" s="77"/>
      <c r="C101" s="78"/>
      <c r="D101" s="79"/>
      <c r="E101" s="160"/>
      <c r="F101" s="92"/>
      <c r="G101" s="49"/>
      <c r="H101" s="93"/>
      <c r="I101" s="93"/>
      <c r="J101" s="86"/>
      <c r="K101" s="94"/>
      <c r="L101" s="123"/>
      <c r="M101" s="124"/>
    </row>
    <row r="102" spans="1:13" x14ac:dyDescent="0.2">
      <c r="A102" s="84"/>
      <c r="B102" s="77"/>
      <c r="C102" s="78"/>
      <c r="D102" s="79"/>
      <c r="E102" s="160"/>
      <c r="F102" s="92"/>
      <c r="G102" s="49"/>
      <c r="H102" s="93"/>
      <c r="I102" s="93"/>
      <c r="J102" s="86"/>
      <c r="K102" s="94"/>
      <c r="L102" s="123"/>
      <c r="M102" s="124"/>
    </row>
    <row r="103" spans="1:13" x14ac:dyDescent="0.2">
      <c r="A103" s="84"/>
      <c r="B103" s="77"/>
      <c r="C103" s="78"/>
      <c r="D103" s="79"/>
      <c r="E103" s="160"/>
      <c r="F103" s="92"/>
      <c r="G103" s="49"/>
      <c r="H103" s="93"/>
      <c r="I103" s="93"/>
      <c r="J103" s="86"/>
      <c r="K103" s="94"/>
      <c r="L103" s="123"/>
      <c r="M103" s="124"/>
    </row>
    <row r="104" spans="1:13" x14ac:dyDescent="0.2">
      <c r="A104" s="84"/>
      <c r="B104" s="77"/>
      <c r="C104" s="78"/>
      <c r="D104" s="79"/>
      <c r="E104" s="160"/>
      <c r="F104" s="92"/>
      <c r="G104" s="49"/>
      <c r="H104" s="93"/>
      <c r="I104" s="93"/>
      <c r="J104" s="86"/>
      <c r="K104" s="94"/>
      <c r="L104" s="123"/>
      <c r="M104" s="124"/>
    </row>
    <row r="105" spans="1:13" x14ac:dyDescent="0.2">
      <c r="A105" s="84"/>
      <c r="B105" s="77"/>
      <c r="C105" s="78"/>
      <c r="D105" s="79"/>
      <c r="E105" s="160"/>
      <c r="F105" s="92"/>
      <c r="G105" s="49"/>
      <c r="H105" s="93"/>
      <c r="I105" s="93"/>
      <c r="J105" s="86"/>
      <c r="K105" s="94"/>
      <c r="L105" s="123"/>
      <c r="M105" s="124"/>
    </row>
    <row r="106" spans="1:13" x14ac:dyDescent="0.2">
      <c r="A106" s="84"/>
      <c r="B106" s="77"/>
      <c r="C106" s="78"/>
      <c r="D106" s="79"/>
      <c r="E106" s="160"/>
      <c r="F106" s="92"/>
      <c r="G106" s="49"/>
      <c r="H106" s="93"/>
      <c r="I106" s="93"/>
      <c r="J106" s="86"/>
      <c r="K106" s="94"/>
      <c r="L106" s="123"/>
      <c r="M106" s="124"/>
    </row>
    <row r="107" spans="1:13" x14ac:dyDescent="0.2">
      <c r="A107" s="84"/>
      <c r="B107" s="77"/>
      <c r="C107" s="78"/>
      <c r="D107" s="79"/>
      <c r="E107" s="160"/>
      <c r="F107" s="92"/>
      <c r="G107" s="49"/>
      <c r="H107" s="93"/>
      <c r="I107" s="93"/>
      <c r="J107" s="86"/>
      <c r="K107" s="94"/>
      <c r="L107" s="123"/>
      <c r="M107" s="124"/>
    </row>
    <row r="108" spans="1:13" x14ac:dyDescent="0.2">
      <c r="A108" s="84"/>
      <c r="B108" s="77"/>
      <c r="C108" s="78"/>
      <c r="D108" s="79"/>
      <c r="E108" s="160"/>
      <c r="F108" s="92"/>
      <c r="G108" s="49"/>
      <c r="H108" s="93"/>
      <c r="I108" s="93"/>
      <c r="J108" s="86"/>
      <c r="K108" s="94"/>
      <c r="L108" s="123"/>
      <c r="M108" s="124"/>
    </row>
    <row r="109" spans="1:13" x14ac:dyDescent="0.2">
      <c r="A109" s="84"/>
      <c r="B109" s="77"/>
      <c r="C109" s="78"/>
      <c r="D109" s="79"/>
      <c r="E109" s="160"/>
      <c r="F109" s="92"/>
      <c r="G109" s="49"/>
      <c r="H109" s="93"/>
      <c r="I109" s="93"/>
      <c r="J109" s="86"/>
      <c r="K109" s="94"/>
      <c r="L109" s="123"/>
      <c r="M109" s="124"/>
    </row>
    <row r="110" spans="1:13" x14ac:dyDescent="0.2">
      <c r="A110" s="84"/>
      <c r="B110" s="77"/>
      <c r="C110" s="78"/>
      <c r="D110" s="79"/>
      <c r="E110" s="160"/>
      <c r="F110" s="92"/>
      <c r="G110" s="49"/>
      <c r="H110" s="93"/>
      <c r="I110" s="93"/>
      <c r="J110" s="86"/>
      <c r="K110" s="94"/>
      <c r="L110" s="123"/>
      <c r="M110" s="124"/>
    </row>
    <row r="111" spans="1:13" x14ac:dyDescent="0.2">
      <c r="A111" s="84"/>
      <c r="B111" s="77"/>
      <c r="C111" s="78"/>
      <c r="D111" s="79"/>
      <c r="E111" s="160"/>
      <c r="F111" s="92"/>
      <c r="G111" s="49"/>
      <c r="H111" s="93"/>
      <c r="I111" s="93"/>
      <c r="J111" s="86"/>
      <c r="K111" s="94"/>
      <c r="L111" s="123"/>
      <c r="M111" s="124"/>
    </row>
    <row r="112" spans="1:13" x14ac:dyDescent="0.2">
      <c r="A112" s="84"/>
      <c r="B112" s="77"/>
      <c r="C112" s="78"/>
      <c r="D112" s="79"/>
      <c r="E112" s="160"/>
      <c r="F112" s="92"/>
      <c r="G112" s="49"/>
      <c r="H112" s="93"/>
      <c r="I112" s="93"/>
      <c r="J112" s="86"/>
      <c r="K112" s="94"/>
      <c r="L112" s="123"/>
      <c r="M112" s="124"/>
    </row>
    <row r="113" spans="1:13" x14ac:dyDescent="0.2">
      <c r="A113" s="84"/>
      <c r="B113" s="77"/>
      <c r="C113" s="78"/>
      <c r="D113" s="79"/>
      <c r="E113" s="160"/>
      <c r="F113" s="92"/>
      <c r="G113" s="49"/>
      <c r="H113" s="93"/>
      <c r="I113" s="93"/>
      <c r="J113" s="86"/>
      <c r="K113" s="94"/>
      <c r="L113" s="123"/>
      <c r="M113" s="124"/>
    </row>
    <row r="114" spans="1:13" x14ac:dyDescent="0.2">
      <c r="A114" s="84"/>
      <c r="B114" s="77"/>
      <c r="C114" s="78"/>
      <c r="D114" s="79"/>
      <c r="E114" s="160"/>
      <c r="F114" s="92"/>
      <c r="G114" s="49"/>
      <c r="H114" s="93"/>
      <c r="I114" s="93"/>
      <c r="J114" s="86"/>
      <c r="K114" s="94"/>
      <c r="L114" s="123"/>
      <c r="M114" s="124"/>
    </row>
  </sheetData>
  <sortState xmlns:xlrd2="http://schemas.microsoft.com/office/spreadsheetml/2017/richdata2" ref="U2:U76">
    <sortCondition ref="U2"/>
  </sortState>
  <conditionalFormatting sqref="J1:J3 J115:J1048576">
    <cfRule type="top10" dxfId="25" priority="5" rank="1"/>
  </conditionalFormatting>
  <conditionalFormatting sqref="K115:K1048576 K1:K27">
    <cfRule type="top10" dxfId="24" priority="3" rank="1"/>
  </conditionalFormatting>
  <conditionalFormatting sqref="J4:J114">
    <cfRule type="top10" dxfId="23" priority="2" rank="1"/>
  </conditionalFormatting>
  <conditionalFormatting sqref="K28:K114">
    <cfRule type="top10" dxfId="22" priority="1" rank="1"/>
  </conditionalFormatting>
  <pageMargins left="0.7" right="0.7" top="1.2375" bottom="0.75" header="0.3" footer="0.3"/>
  <pageSetup scale="88" orientation="portrait" r:id="rId1"/>
  <headerFooter>
    <oddHeader>&amp;L&amp;G&amp;C&amp;"Arial,Bold"&amp;26Calcutta&amp;R&amp;G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37E7-61A3-4677-85DD-DE454CB95ADB}">
  <sheetPr codeName="Sheet4"/>
  <dimension ref="A1:R651"/>
  <sheetViews>
    <sheetView workbookViewId="0">
      <selection activeCell="A2" sqref="A2:R76"/>
    </sheetView>
  </sheetViews>
  <sheetFormatPr defaultRowHeight="12.75" x14ac:dyDescent="0.2"/>
  <cols>
    <col min="1" max="1" width="8.7109375" style="156" customWidth="1"/>
    <col min="2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/>
    <col min="12" max="14" width="8.7109375" style="59" customWidth="1"/>
    <col min="15" max="15" width="6.28515625" customWidth="1"/>
    <col min="16" max="16" width="8.7109375" style="157" customWidth="1"/>
  </cols>
  <sheetData>
    <row r="1" spans="1:18" ht="26.25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P1" s="108" t="s">
        <v>429</v>
      </c>
      <c r="Q1" s="108" t="s">
        <v>430</v>
      </c>
      <c r="R1" s="108" t="s">
        <v>431</v>
      </c>
    </row>
    <row r="2" spans="1:18" ht="25.5" x14ac:dyDescent="0.2">
      <c r="A2" s="113">
        <v>59</v>
      </c>
      <c r="B2" s="50">
        <v>54</v>
      </c>
      <c r="C2" s="133" t="s">
        <v>452</v>
      </c>
      <c r="D2" s="92">
        <v>0</v>
      </c>
      <c r="E2" s="49">
        <v>0</v>
      </c>
      <c r="F2" s="49">
        <v>0</v>
      </c>
      <c r="G2" s="57">
        <v>0</v>
      </c>
      <c r="H2" s="100">
        <v>0</v>
      </c>
      <c r="I2" s="104">
        <v>0</v>
      </c>
      <c r="J2" s="53">
        <v>0</v>
      </c>
      <c r="K2" s="53">
        <v>0</v>
      </c>
      <c r="L2" s="57">
        <v>0</v>
      </c>
      <c r="M2" s="53">
        <v>0</v>
      </c>
      <c r="N2" s="100">
        <v>0</v>
      </c>
      <c r="O2" s="109"/>
      <c r="P2" s="148">
        <v>59</v>
      </c>
      <c r="Q2" s="148">
        <v>4</v>
      </c>
      <c r="R2" s="148">
        <f>P2 - Q2</f>
        <v>55</v>
      </c>
    </row>
    <row r="3" spans="1:18" ht="25.5" x14ac:dyDescent="0.2">
      <c r="A3" s="114">
        <v>59</v>
      </c>
      <c r="B3" s="63">
        <v>13</v>
      </c>
      <c r="C3" s="115" t="s">
        <v>441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2</v>
      </c>
      <c r="J3" s="62">
        <v>5.0599999999999996</v>
      </c>
      <c r="K3" s="62">
        <v>2</v>
      </c>
      <c r="L3" s="64">
        <v>5.46</v>
      </c>
      <c r="M3" s="62">
        <v>5.46</v>
      </c>
      <c r="N3" s="101">
        <v>2.67</v>
      </c>
      <c r="O3" s="110"/>
      <c r="P3" s="149">
        <v>59</v>
      </c>
      <c r="Q3" s="148">
        <v>7</v>
      </c>
      <c r="R3" s="148">
        <f>P3 - Q3</f>
        <v>52</v>
      </c>
    </row>
    <row r="4" spans="1:18" ht="25.5" x14ac:dyDescent="0.2">
      <c r="A4" s="114">
        <v>59</v>
      </c>
      <c r="B4" s="50">
        <v>58</v>
      </c>
      <c r="C4" s="116" t="s">
        <v>455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P4" s="149">
        <v>59</v>
      </c>
      <c r="Q4" s="148">
        <v>9</v>
      </c>
      <c r="R4" s="148">
        <f>P4 - Q4</f>
        <v>50</v>
      </c>
    </row>
    <row r="5" spans="1:18" ht="25.5" x14ac:dyDescent="0.2">
      <c r="A5" s="114">
        <v>51</v>
      </c>
      <c r="B5" s="63">
        <v>32</v>
      </c>
      <c r="C5" s="116" t="s">
        <v>245</v>
      </c>
      <c r="D5" s="70">
        <v>1</v>
      </c>
      <c r="E5" s="61">
        <v>1.85</v>
      </c>
      <c r="F5" s="61">
        <v>1</v>
      </c>
      <c r="G5" s="64">
        <v>2.0499999999999998</v>
      </c>
      <c r="H5" s="101">
        <v>1.85</v>
      </c>
      <c r="I5" s="105">
        <v>2</v>
      </c>
      <c r="J5" s="62">
        <v>4.79</v>
      </c>
      <c r="K5" s="62">
        <v>2</v>
      </c>
      <c r="L5" s="64">
        <v>5.19</v>
      </c>
      <c r="M5" s="62">
        <v>7.24</v>
      </c>
      <c r="N5" s="101">
        <v>2.5299999999999998</v>
      </c>
      <c r="O5" s="110"/>
      <c r="P5" s="149">
        <v>51</v>
      </c>
      <c r="Q5" s="148">
        <v>3</v>
      </c>
      <c r="R5" s="148">
        <f>P5 - Q5</f>
        <v>48</v>
      </c>
    </row>
    <row r="6" spans="1:18" ht="25.5" x14ac:dyDescent="0.2">
      <c r="A6" s="114">
        <v>59</v>
      </c>
      <c r="B6" s="50">
        <v>37</v>
      </c>
      <c r="C6" s="116" t="s">
        <v>446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P6" s="149">
        <v>59</v>
      </c>
      <c r="Q6" s="148">
        <v>12</v>
      </c>
      <c r="R6" s="148">
        <f>P6 - Q6</f>
        <v>47</v>
      </c>
    </row>
    <row r="7" spans="1:18" ht="25.5" x14ac:dyDescent="0.2">
      <c r="A7" s="114">
        <v>52</v>
      </c>
      <c r="B7" s="63">
        <v>48</v>
      </c>
      <c r="C7" s="116" t="s">
        <v>450</v>
      </c>
      <c r="D7" s="70">
        <v>1</v>
      </c>
      <c r="E7" s="61">
        <v>1.83</v>
      </c>
      <c r="F7" s="61">
        <v>1</v>
      </c>
      <c r="G7" s="64">
        <v>2.0299999999999998</v>
      </c>
      <c r="H7" s="101">
        <v>1.83</v>
      </c>
      <c r="I7" s="105">
        <v>0</v>
      </c>
      <c r="J7" s="62">
        <v>0</v>
      </c>
      <c r="K7" s="62">
        <v>0</v>
      </c>
      <c r="L7" s="64">
        <v>0</v>
      </c>
      <c r="M7" s="62">
        <v>2.0299999999999998</v>
      </c>
      <c r="N7" s="101">
        <v>0</v>
      </c>
      <c r="O7" s="110"/>
      <c r="P7" s="149">
        <v>52</v>
      </c>
      <c r="Q7" s="148">
        <v>8</v>
      </c>
      <c r="R7" s="148">
        <f>P7 - Q7</f>
        <v>44</v>
      </c>
    </row>
    <row r="8" spans="1:18" ht="25.5" x14ac:dyDescent="0.2">
      <c r="A8" s="114">
        <v>59</v>
      </c>
      <c r="B8" s="50">
        <v>61</v>
      </c>
      <c r="C8" s="116" t="s">
        <v>457</v>
      </c>
      <c r="D8" s="70">
        <v>0</v>
      </c>
      <c r="E8" s="61">
        <v>0</v>
      </c>
      <c r="F8" s="61">
        <v>0</v>
      </c>
      <c r="G8" s="64">
        <v>0</v>
      </c>
      <c r="H8" s="101">
        <v>0</v>
      </c>
      <c r="I8" s="105">
        <v>2</v>
      </c>
      <c r="J8" s="62">
        <v>3.83</v>
      </c>
      <c r="K8" s="62">
        <v>2</v>
      </c>
      <c r="L8" s="64">
        <v>4.2300000000000004</v>
      </c>
      <c r="M8" s="62">
        <v>4.2300000000000004</v>
      </c>
      <c r="N8" s="101">
        <v>1.98</v>
      </c>
      <c r="O8" s="110"/>
      <c r="P8" s="149">
        <v>59</v>
      </c>
      <c r="Q8" s="148">
        <v>15</v>
      </c>
      <c r="R8" s="148">
        <f>P8 - Q8</f>
        <v>44</v>
      </c>
    </row>
    <row r="9" spans="1:18" ht="25.5" x14ac:dyDescent="0.2">
      <c r="A9" s="114">
        <v>45</v>
      </c>
      <c r="B9" s="63">
        <v>68</v>
      </c>
      <c r="C9" s="116" t="s">
        <v>462</v>
      </c>
      <c r="D9" s="70">
        <v>2</v>
      </c>
      <c r="E9" s="61">
        <v>3.48</v>
      </c>
      <c r="F9" s="61">
        <v>2</v>
      </c>
      <c r="G9" s="64">
        <v>3.88</v>
      </c>
      <c r="H9" s="101">
        <v>1.89</v>
      </c>
      <c r="I9" s="105">
        <v>2</v>
      </c>
      <c r="J9" s="62">
        <v>3.58</v>
      </c>
      <c r="K9" s="62">
        <v>2</v>
      </c>
      <c r="L9" s="64">
        <v>3.98</v>
      </c>
      <c r="M9" s="62">
        <v>7.86</v>
      </c>
      <c r="N9" s="101">
        <v>1.89</v>
      </c>
      <c r="O9" s="110"/>
      <c r="P9" s="149">
        <v>45</v>
      </c>
      <c r="Q9" s="148">
        <v>2</v>
      </c>
      <c r="R9" s="148">
        <f>P9 - Q9</f>
        <v>43</v>
      </c>
    </row>
    <row r="10" spans="1:18" ht="25.5" x14ac:dyDescent="0.2">
      <c r="A10" s="114">
        <v>59</v>
      </c>
      <c r="B10" s="50">
        <v>64</v>
      </c>
      <c r="C10" s="116" t="s">
        <v>460</v>
      </c>
      <c r="D10" s="70">
        <v>0</v>
      </c>
      <c r="E10" s="61">
        <v>0</v>
      </c>
      <c r="F10" s="61">
        <v>0</v>
      </c>
      <c r="G10" s="64">
        <v>0</v>
      </c>
      <c r="H10" s="101">
        <v>0</v>
      </c>
      <c r="I10" s="105">
        <v>0</v>
      </c>
      <c r="J10" s="62">
        <v>0</v>
      </c>
      <c r="K10" s="62">
        <v>0</v>
      </c>
      <c r="L10" s="64">
        <v>0</v>
      </c>
      <c r="M10" s="62">
        <v>0</v>
      </c>
      <c r="N10" s="101">
        <v>0</v>
      </c>
      <c r="O10" s="110"/>
      <c r="P10" s="149">
        <v>59</v>
      </c>
      <c r="Q10" s="148">
        <v>20</v>
      </c>
      <c r="R10" s="148">
        <f>P10 - Q10</f>
        <v>39</v>
      </c>
    </row>
    <row r="11" spans="1:18" ht="25.5" x14ac:dyDescent="0.2">
      <c r="A11" s="114">
        <v>55</v>
      </c>
      <c r="B11" s="63">
        <v>67</v>
      </c>
      <c r="C11" s="116" t="s">
        <v>410</v>
      </c>
      <c r="D11" s="70">
        <v>1</v>
      </c>
      <c r="E11" s="61">
        <v>1.66</v>
      </c>
      <c r="F11" s="61">
        <v>1</v>
      </c>
      <c r="G11" s="64">
        <v>1.86</v>
      </c>
      <c r="H11" s="101">
        <v>1.66</v>
      </c>
      <c r="I11" s="105">
        <v>1</v>
      </c>
      <c r="J11" s="62">
        <v>1.69</v>
      </c>
      <c r="K11" s="62">
        <v>1</v>
      </c>
      <c r="L11" s="64">
        <v>1.89</v>
      </c>
      <c r="M11" s="62">
        <v>3.75</v>
      </c>
      <c r="N11" s="101">
        <v>1.69</v>
      </c>
      <c r="O11" s="110"/>
      <c r="P11" s="149">
        <v>55</v>
      </c>
      <c r="Q11" s="148">
        <v>18</v>
      </c>
      <c r="R11" s="148">
        <f>P11 - Q11</f>
        <v>37</v>
      </c>
    </row>
    <row r="12" spans="1:18" ht="25.5" x14ac:dyDescent="0.2">
      <c r="A12" s="114">
        <v>46</v>
      </c>
      <c r="B12" s="50">
        <v>74</v>
      </c>
      <c r="C12" s="116" t="s">
        <v>468</v>
      </c>
      <c r="D12" s="70">
        <v>2</v>
      </c>
      <c r="E12" s="61">
        <v>3.46</v>
      </c>
      <c r="F12" s="61">
        <v>2</v>
      </c>
      <c r="G12" s="64">
        <v>3.86</v>
      </c>
      <c r="H12" s="101">
        <v>1.8</v>
      </c>
      <c r="I12" s="105">
        <v>1</v>
      </c>
      <c r="J12" s="62">
        <v>2.25</v>
      </c>
      <c r="K12" s="62">
        <v>1</v>
      </c>
      <c r="L12" s="64">
        <v>2.4500000000000002</v>
      </c>
      <c r="M12" s="62">
        <v>6.31</v>
      </c>
      <c r="N12" s="101">
        <v>2.25</v>
      </c>
      <c r="O12" s="110"/>
      <c r="P12" s="149">
        <v>46</v>
      </c>
      <c r="Q12" s="148">
        <v>13</v>
      </c>
      <c r="R12" s="148">
        <f>P12 - Q12</f>
        <v>33</v>
      </c>
    </row>
    <row r="13" spans="1:18" ht="25.5" x14ac:dyDescent="0.2">
      <c r="A13" s="114">
        <v>56</v>
      </c>
      <c r="B13" s="63">
        <v>50</v>
      </c>
      <c r="C13" s="116" t="s">
        <v>308</v>
      </c>
      <c r="D13" s="70">
        <v>1</v>
      </c>
      <c r="E13" s="61">
        <v>1.64</v>
      </c>
      <c r="F13" s="61">
        <v>1</v>
      </c>
      <c r="G13" s="64">
        <v>1.84</v>
      </c>
      <c r="H13" s="101">
        <v>1.64</v>
      </c>
      <c r="I13" s="105">
        <v>0</v>
      </c>
      <c r="J13" s="62">
        <v>0</v>
      </c>
      <c r="K13" s="62">
        <v>0</v>
      </c>
      <c r="L13" s="64">
        <v>0</v>
      </c>
      <c r="M13" s="62">
        <v>1.84</v>
      </c>
      <c r="N13" s="101">
        <v>0</v>
      </c>
      <c r="O13" s="110"/>
      <c r="P13" s="149">
        <v>56</v>
      </c>
      <c r="Q13" s="148">
        <v>24</v>
      </c>
      <c r="R13" s="148">
        <f>P13 - Q13</f>
        <v>32</v>
      </c>
    </row>
    <row r="14" spans="1:18" ht="25.5" x14ac:dyDescent="0.2">
      <c r="A14" s="114">
        <v>59</v>
      </c>
      <c r="B14" s="50">
        <v>71</v>
      </c>
      <c r="C14" s="116" t="s">
        <v>465</v>
      </c>
      <c r="D14" s="70">
        <v>0</v>
      </c>
      <c r="E14" s="61">
        <v>0</v>
      </c>
      <c r="F14" s="61">
        <v>0</v>
      </c>
      <c r="G14" s="64">
        <v>0</v>
      </c>
      <c r="H14" s="101">
        <v>0</v>
      </c>
      <c r="I14" s="105">
        <v>0</v>
      </c>
      <c r="J14" s="62">
        <v>0</v>
      </c>
      <c r="K14" s="62">
        <v>0</v>
      </c>
      <c r="L14" s="64">
        <v>0</v>
      </c>
      <c r="M14" s="62">
        <v>0</v>
      </c>
      <c r="N14" s="101">
        <v>0</v>
      </c>
      <c r="O14" s="110"/>
      <c r="P14" s="149">
        <v>59</v>
      </c>
      <c r="Q14" s="148">
        <v>27</v>
      </c>
      <c r="R14" s="148">
        <f>P14 - Q14</f>
        <v>32</v>
      </c>
    </row>
    <row r="15" spans="1:18" ht="25.5" x14ac:dyDescent="0.2">
      <c r="A15" s="114">
        <v>30</v>
      </c>
      <c r="B15" s="63">
        <v>66</v>
      </c>
      <c r="C15" s="116" t="s">
        <v>461</v>
      </c>
      <c r="D15" s="70">
        <v>2</v>
      </c>
      <c r="E15" s="61">
        <v>4.0599999999999996</v>
      </c>
      <c r="F15" s="61">
        <v>2</v>
      </c>
      <c r="G15" s="64">
        <v>4.46</v>
      </c>
      <c r="H15" s="101">
        <v>2.13</v>
      </c>
      <c r="I15" s="105">
        <v>1</v>
      </c>
      <c r="J15" s="62">
        <v>2</v>
      </c>
      <c r="K15" s="62">
        <v>1</v>
      </c>
      <c r="L15" s="64">
        <v>2.2000000000000002</v>
      </c>
      <c r="M15" s="62">
        <v>6.66</v>
      </c>
      <c r="N15" s="101">
        <v>2</v>
      </c>
      <c r="O15" s="110"/>
      <c r="P15" s="149">
        <v>30</v>
      </c>
      <c r="Q15" s="148">
        <v>1</v>
      </c>
      <c r="R15" s="148">
        <f>P15 - Q15</f>
        <v>29</v>
      </c>
    </row>
    <row r="16" spans="1:18" ht="25.5" x14ac:dyDescent="0.2">
      <c r="A16" s="114">
        <v>32</v>
      </c>
      <c r="B16" s="50">
        <v>42</v>
      </c>
      <c r="C16" s="116" t="s">
        <v>411</v>
      </c>
      <c r="D16" s="70">
        <v>2</v>
      </c>
      <c r="E16" s="61">
        <v>4.01</v>
      </c>
      <c r="F16" s="61">
        <v>2</v>
      </c>
      <c r="G16" s="64">
        <v>4.41</v>
      </c>
      <c r="H16" s="101">
        <v>2.11</v>
      </c>
      <c r="I16" s="105">
        <v>0</v>
      </c>
      <c r="J16" s="62">
        <v>0</v>
      </c>
      <c r="K16" s="62">
        <v>0</v>
      </c>
      <c r="L16" s="64">
        <v>0</v>
      </c>
      <c r="M16" s="62">
        <v>4.41</v>
      </c>
      <c r="N16" s="101">
        <v>0</v>
      </c>
      <c r="O16" s="110"/>
      <c r="P16" s="149">
        <v>32</v>
      </c>
      <c r="Q16" s="148">
        <v>5</v>
      </c>
      <c r="R16" s="148">
        <f>P16 - Q16</f>
        <v>27</v>
      </c>
    </row>
    <row r="17" spans="1:18" ht="25.5" x14ac:dyDescent="0.2">
      <c r="A17" s="114">
        <v>59</v>
      </c>
      <c r="B17" s="63">
        <v>57</v>
      </c>
      <c r="C17" s="116" t="s">
        <v>454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1</v>
      </c>
      <c r="J17" s="62">
        <v>2.25</v>
      </c>
      <c r="K17" s="62">
        <v>1</v>
      </c>
      <c r="L17" s="64">
        <v>2.4500000000000002</v>
      </c>
      <c r="M17" s="62">
        <v>2.4500000000000002</v>
      </c>
      <c r="N17" s="101">
        <v>2.25</v>
      </c>
      <c r="O17" s="110"/>
      <c r="P17" s="149">
        <v>59</v>
      </c>
      <c r="Q17" s="148">
        <v>32</v>
      </c>
      <c r="R17" s="148">
        <f>P17 - Q17</f>
        <v>27</v>
      </c>
    </row>
    <row r="18" spans="1:18" ht="25.5" x14ac:dyDescent="0.2">
      <c r="A18" s="114">
        <v>59</v>
      </c>
      <c r="B18" s="50">
        <v>69</v>
      </c>
      <c r="C18" s="116" t="s">
        <v>463</v>
      </c>
      <c r="D18" s="70">
        <v>0</v>
      </c>
      <c r="E18" s="61">
        <v>0</v>
      </c>
      <c r="F18" s="61">
        <v>0</v>
      </c>
      <c r="G18" s="64">
        <v>0</v>
      </c>
      <c r="H18" s="101">
        <v>0</v>
      </c>
      <c r="I18" s="105">
        <v>4</v>
      </c>
      <c r="J18" s="62">
        <v>6.49</v>
      </c>
      <c r="K18" s="62">
        <v>4</v>
      </c>
      <c r="L18" s="64">
        <v>7.29</v>
      </c>
      <c r="M18" s="62">
        <v>7.29</v>
      </c>
      <c r="N18" s="101">
        <v>2.2999999999999998</v>
      </c>
      <c r="O18" s="110"/>
      <c r="P18" s="149">
        <v>59</v>
      </c>
      <c r="Q18" s="148">
        <v>33</v>
      </c>
      <c r="R18" s="148">
        <f>P18 - Q18</f>
        <v>26</v>
      </c>
    </row>
    <row r="19" spans="1:18" ht="25.5" x14ac:dyDescent="0.2">
      <c r="A19" s="114">
        <v>38</v>
      </c>
      <c r="B19" s="63">
        <v>70</v>
      </c>
      <c r="C19" s="116" t="s">
        <v>464</v>
      </c>
      <c r="D19" s="70">
        <v>2</v>
      </c>
      <c r="E19" s="61">
        <v>3.7</v>
      </c>
      <c r="F19" s="61">
        <v>2</v>
      </c>
      <c r="G19" s="64">
        <v>4.0999999999999996</v>
      </c>
      <c r="H19" s="101">
        <v>2.04</v>
      </c>
      <c r="I19" s="105">
        <v>0</v>
      </c>
      <c r="J19" s="62">
        <v>0</v>
      </c>
      <c r="K19" s="62">
        <v>0</v>
      </c>
      <c r="L19" s="64">
        <v>0</v>
      </c>
      <c r="M19" s="62">
        <v>4.0999999999999996</v>
      </c>
      <c r="N19" s="101">
        <v>0</v>
      </c>
      <c r="O19" s="110"/>
      <c r="P19" s="149">
        <v>38</v>
      </c>
      <c r="Q19" s="148">
        <v>16</v>
      </c>
      <c r="R19" s="148">
        <f>P19 - Q19</f>
        <v>22</v>
      </c>
    </row>
    <row r="20" spans="1:18" ht="25.5" x14ac:dyDescent="0.2">
      <c r="A20" s="114">
        <v>59</v>
      </c>
      <c r="B20" s="50">
        <v>43</v>
      </c>
      <c r="C20" s="116" t="s">
        <v>388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2</v>
      </c>
      <c r="J20" s="62">
        <v>3.8</v>
      </c>
      <c r="K20" s="62">
        <v>2</v>
      </c>
      <c r="L20" s="64">
        <v>4.2</v>
      </c>
      <c r="M20" s="62">
        <v>4.2</v>
      </c>
      <c r="N20" s="101">
        <v>1.95</v>
      </c>
      <c r="O20" s="110"/>
      <c r="P20" s="149">
        <v>59</v>
      </c>
      <c r="Q20" s="148">
        <v>40</v>
      </c>
      <c r="R20" s="148">
        <f>P20 - Q20</f>
        <v>19</v>
      </c>
    </row>
    <row r="21" spans="1:18" ht="25.5" x14ac:dyDescent="0.2">
      <c r="A21" s="114">
        <v>29</v>
      </c>
      <c r="B21" s="63">
        <v>62</v>
      </c>
      <c r="C21" s="116" t="s">
        <v>458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2.1</v>
      </c>
      <c r="I21" s="105">
        <v>1</v>
      </c>
      <c r="J21" s="62">
        <v>2.04</v>
      </c>
      <c r="K21" s="62">
        <v>1</v>
      </c>
      <c r="L21" s="64">
        <v>2.2400000000000002</v>
      </c>
      <c r="M21" s="62">
        <v>6.74</v>
      </c>
      <c r="N21" s="101">
        <v>2.04</v>
      </c>
      <c r="O21" s="110"/>
      <c r="P21" s="149">
        <v>29</v>
      </c>
      <c r="Q21" s="148">
        <v>10</v>
      </c>
      <c r="R21" s="148">
        <f>P21 - Q21</f>
        <v>19</v>
      </c>
    </row>
    <row r="22" spans="1:18" ht="25.5" x14ac:dyDescent="0.2">
      <c r="A22" s="114">
        <v>48</v>
      </c>
      <c r="B22" s="50">
        <v>53</v>
      </c>
      <c r="C22" s="116" t="s">
        <v>367</v>
      </c>
      <c r="D22" s="70">
        <v>1</v>
      </c>
      <c r="E22" s="61">
        <v>2.2999999999999998</v>
      </c>
      <c r="F22" s="61">
        <v>1</v>
      </c>
      <c r="G22" s="64">
        <v>2.5</v>
      </c>
      <c r="H22" s="101">
        <v>2.2999999999999998</v>
      </c>
      <c r="I22" s="105">
        <v>2</v>
      </c>
      <c r="J22" s="62">
        <v>3.86</v>
      </c>
      <c r="K22" s="62">
        <v>2</v>
      </c>
      <c r="L22" s="64">
        <v>4.26</v>
      </c>
      <c r="M22" s="62">
        <v>6.76</v>
      </c>
      <c r="N22" s="101">
        <v>1.97</v>
      </c>
      <c r="O22" s="110"/>
      <c r="P22" s="149">
        <v>48</v>
      </c>
      <c r="Q22" s="148">
        <v>30</v>
      </c>
      <c r="R22" s="148">
        <f>P22 - Q22</f>
        <v>18</v>
      </c>
    </row>
    <row r="23" spans="1:18" ht="25.5" x14ac:dyDescent="0.2">
      <c r="A23" s="114">
        <v>35</v>
      </c>
      <c r="B23" s="63">
        <v>72</v>
      </c>
      <c r="C23" s="115" t="s">
        <v>466</v>
      </c>
      <c r="D23" s="70">
        <v>2</v>
      </c>
      <c r="E23" s="61">
        <v>3.77</v>
      </c>
      <c r="F23" s="61">
        <v>2</v>
      </c>
      <c r="G23" s="64">
        <v>4.17</v>
      </c>
      <c r="H23" s="101">
        <v>2.0299999999999998</v>
      </c>
      <c r="I23" s="105">
        <v>3</v>
      </c>
      <c r="J23" s="62">
        <v>4.58</v>
      </c>
      <c r="K23" s="62">
        <v>3</v>
      </c>
      <c r="L23" s="64">
        <v>5.18</v>
      </c>
      <c r="M23" s="62">
        <v>9.35</v>
      </c>
      <c r="N23" s="101">
        <v>1.93</v>
      </c>
      <c r="O23" s="110"/>
      <c r="P23" s="149">
        <v>35</v>
      </c>
      <c r="Q23" s="148">
        <v>17</v>
      </c>
      <c r="R23" s="148">
        <f>P23 - Q23</f>
        <v>18</v>
      </c>
    </row>
    <row r="24" spans="1:18" ht="25.5" x14ac:dyDescent="0.2">
      <c r="A24" s="114">
        <v>39</v>
      </c>
      <c r="B24" s="50">
        <v>4</v>
      </c>
      <c r="C24" s="116" t="s">
        <v>387</v>
      </c>
      <c r="D24" s="70">
        <v>2</v>
      </c>
      <c r="E24" s="61">
        <v>3.68</v>
      </c>
      <c r="F24" s="61">
        <v>2</v>
      </c>
      <c r="G24" s="64">
        <v>4.08</v>
      </c>
      <c r="H24" s="101">
        <v>1.96</v>
      </c>
      <c r="I24" s="105">
        <v>3</v>
      </c>
      <c r="J24" s="62">
        <v>5.47</v>
      </c>
      <c r="K24" s="62">
        <v>3</v>
      </c>
      <c r="L24" s="64">
        <v>6.07</v>
      </c>
      <c r="M24" s="62">
        <v>10.15</v>
      </c>
      <c r="N24" s="101">
        <v>2.3199999999999998</v>
      </c>
      <c r="O24" s="110"/>
      <c r="P24" s="149">
        <v>39</v>
      </c>
      <c r="Q24" s="148">
        <v>23</v>
      </c>
      <c r="R24" s="148">
        <f>P24 - Q24</f>
        <v>16</v>
      </c>
    </row>
    <row r="25" spans="1:18" ht="25.5" x14ac:dyDescent="0.2">
      <c r="A25" s="114">
        <v>41</v>
      </c>
      <c r="B25" s="63">
        <v>60</v>
      </c>
      <c r="C25" s="116" t="s">
        <v>456</v>
      </c>
      <c r="D25" s="70">
        <v>2</v>
      </c>
      <c r="E25" s="61">
        <v>3.66</v>
      </c>
      <c r="F25" s="61">
        <v>2</v>
      </c>
      <c r="G25" s="64">
        <v>4.0599999999999996</v>
      </c>
      <c r="H25" s="101">
        <v>1.99</v>
      </c>
      <c r="I25" s="105">
        <v>2</v>
      </c>
      <c r="J25" s="62">
        <v>4.22</v>
      </c>
      <c r="K25" s="62">
        <v>2</v>
      </c>
      <c r="L25" s="64">
        <v>4.62</v>
      </c>
      <c r="M25" s="62">
        <v>8.68</v>
      </c>
      <c r="N25" s="101">
        <v>2.2599999999999998</v>
      </c>
      <c r="O25" s="110"/>
      <c r="P25" s="149">
        <v>41</v>
      </c>
      <c r="Q25" s="148">
        <v>25</v>
      </c>
      <c r="R25" s="148">
        <f>P25 - Q25</f>
        <v>16</v>
      </c>
    </row>
    <row r="26" spans="1:18" ht="25.5" x14ac:dyDescent="0.2">
      <c r="A26" s="114">
        <v>59</v>
      </c>
      <c r="B26" s="50">
        <v>35</v>
      </c>
      <c r="C26" s="116" t="s">
        <v>263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4</v>
      </c>
      <c r="J26" s="62">
        <v>6.15</v>
      </c>
      <c r="K26" s="62">
        <v>4</v>
      </c>
      <c r="L26" s="64">
        <v>6.95</v>
      </c>
      <c r="M26" s="62">
        <v>6.95</v>
      </c>
      <c r="N26" s="101">
        <v>2.39</v>
      </c>
      <c r="O26" s="110"/>
      <c r="P26" s="149">
        <v>59</v>
      </c>
      <c r="Q26" s="148">
        <v>46</v>
      </c>
      <c r="R26" s="148">
        <f>P26 - Q26</f>
        <v>13</v>
      </c>
    </row>
    <row r="27" spans="1:18" ht="25.5" x14ac:dyDescent="0.2">
      <c r="A27" s="114">
        <v>40</v>
      </c>
      <c r="B27" s="63">
        <v>16</v>
      </c>
      <c r="C27" s="116" t="s">
        <v>442</v>
      </c>
      <c r="D27" s="70">
        <v>2</v>
      </c>
      <c r="E27" s="61">
        <v>3.67</v>
      </c>
      <c r="F27" s="61">
        <v>2</v>
      </c>
      <c r="G27" s="64">
        <v>4.07</v>
      </c>
      <c r="H27" s="101">
        <v>1.89</v>
      </c>
      <c r="I27" s="105">
        <v>2</v>
      </c>
      <c r="J27" s="62">
        <v>4.5599999999999996</v>
      </c>
      <c r="K27" s="62">
        <v>2</v>
      </c>
      <c r="L27" s="64">
        <v>4.96</v>
      </c>
      <c r="M27" s="62">
        <v>9.0299999999999994</v>
      </c>
      <c r="N27" s="101">
        <v>2.4900000000000002</v>
      </c>
      <c r="O27" s="110"/>
      <c r="P27" s="149">
        <v>40</v>
      </c>
      <c r="Q27" s="148">
        <v>28</v>
      </c>
      <c r="R27" s="148">
        <f>P27 - Q27</f>
        <v>12</v>
      </c>
    </row>
    <row r="28" spans="1:18" ht="25.5" x14ac:dyDescent="0.2">
      <c r="A28" s="114">
        <v>18</v>
      </c>
      <c r="B28" s="50">
        <v>21</v>
      </c>
      <c r="C28" s="115" t="s">
        <v>210</v>
      </c>
      <c r="D28" s="70">
        <v>2</v>
      </c>
      <c r="E28" s="61">
        <v>4.3899999999999997</v>
      </c>
      <c r="F28" s="61">
        <v>2</v>
      </c>
      <c r="G28" s="64">
        <v>4.79</v>
      </c>
      <c r="H28" s="101">
        <v>2.2599999999999998</v>
      </c>
      <c r="I28" s="105">
        <v>3</v>
      </c>
      <c r="J28" s="62">
        <v>3.24</v>
      </c>
      <c r="K28" s="62">
        <v>3</v>
      </c>
      <c r="L28" s="64">
        <v>3.84</v>
      </c>
      <c r="M28" s="62">
        <v>8.6300000000000008</v>
      </c>
      <c r="N28" s="101">
        <v>2.08</v>
      </c>
      <c r="O28" s="110"/>
      <c r="P28" s="149">
        <v>18</v>
      </c>
      <c r="Q28" s="148">
        <v>6</v>
      </c>
      <c r="R28" s="148">
        <f>P28 - Q28</f>
        <v>12</v>
      </c>
    </row>
    <row r="29" spans="1:18" ht="25.5" x14ac:dyDescent="0.2">
      <c r="A29" s="114">
        <v>36</v>
      </c>
      <c r="B29" s="63">
        <v>38</v>
      </c>
      <c r="C29" s="116" t="s">
        <v>225</v>
      </c>
      <c r="D29" s="70">
        <v>2</v>
      </c>
      <c r="E29" s="61">
        <v>3.77</v>
      </c>
      <c r="F29" s="61">
        <v>2</v>
      </c>
      <c r="G29" s="64">
        <v>4.17</v>
      </c>
      <c r="H29" s="101">
        <v>2.0099999999999998</v>
      </c>
      <c r="I29" s="105">
        <v>2</v>
      </c>
      <c r="J29" s="62">
        <v>4.41</v>
      </c>
      <c r="K29" s="62">
        <v>2</v>
      </c>
      <c r="L29" s="64">
        <v>4.8099999999999996</v>
      </c>
      <c r="M29" s="62">
        <v>8.98</v>
      </c>
      <c r="N29" s="101">
        <v>2.5</v>
      </c>
      <c r="O29" s="110"/>
      <c r="P29" s="149">
        <v>36</v>
      </c>
      <c r="Q29" s="148">
        <v>26</v>
      </c>
      <c r="R29" s="148">
        <f>P29 - Q29</f>
        <v>10</v>
      </c>
    </row>
    <row r="30" spans="1:18" ht="25.5" x14ac:dyDescent="0.2">
      <c r="A30" s="114">
        <v>20</v>
      </c>
      <c r="B30" s="50">
        <v>25</v>
      </c>
      <c r="C30" s="116" t="s">
        <v>284</v>
      </c>
      <c r="D30" s="70">
        <v>2</v>
      </c>
      <c r="E30" s="61">
        <v>4.3099999999999996</v>
      </c>
      <c r="F30" s="61">
        <v>2</v>
      </c>
      <c r="G30" s="64">
        <v>4.71</v>
      </c>
      <c r="H30" s="101">
        <v>2.1</v>
      </c>
      <c r="I30" s="105">
        <v>1</v>
      </c>
      <c r="J30" s="62">
        <v>2.1800000000000002</v>
      </c>
      <c r="K30" s="62">
        <v>1</v>
      </c>
      <c r="L30" s="64">
        <v>2.38</v>
      </c>
      <c r="M30" s="62">
        <v>7.09</v>
      </c>
      <c r="N30" s="101">
        <v>2.1800000000000002</v>
      </c>
      <c r="O30" s="110" t="s">
        <v>473</v>
      </c>
      <c r="P30" s="149">
        <v>20</v>
      </c>
      <c r="Q30" s="148">
        <v>11</v>
      </c>
      <c r="R30" s="148">
        <f>P30 - Q30</f>
        <v>9</v>
      </c>
    </row>
    <row r="31" spans="1:18" ht="25.5" x14ac:dyDescent="0.2">
      <c r="A31" s="114">
        <v>50</v>
      </c>
      <c r="B31" s="63">
        <v>41</v>
      </c>
      <c r="C31" s="116" t="s">
        <v>447</v>
      </c>
      <c r="D31" s="70">
        <v>1</v>
      </c>
      <c r="E31" s="61">
        <v>1.95</v>
      </c>
      <c r="F31" s="61">
        <v>1</v>
      </c>
      <c r="G31" s="64">
        <v>2.15</v>
      </c>
      <c r="H31" s="101">
        <v>1.95</v>
      </c>
      <c r="I31" s="105">
        <v>2</v>
      </c>
      <c r="J31" s="62">
        <v>4.01</v>
      </c>
      <c r="K31" s="62">
        <v>2</v>
      </c>
      <c r="L31" s="64">
        <v>4.41</v>
      </c>
      <c r="M31" s="62">
        <v>6.56</v>
      </c>
      <c r="N31" s="101">
        <v>2.14</v>
      </c>
      <c r="O31" s="110"/>
      <c r="P31" s="149">
        <v>50</v>
      </c>
      <c r="Q31" s="148">
        <v>42</v>
      </c>
      <c r="R31" s="148">
        <f>P31 - Q31</f>
        <v>8</v>
      </c>
    </row>
    <row r="32" spans="1:18" ht="25.5" x14ac:dyDescent="0.2">
      <c r="A32" s="114">
        <v>59</v>
      </c>
      <c r="B32" s="50">
        <v>47</v>
      </c>
      <c r="C32" s="116" t="s">
        <v>449</v>
      </c>
      <c r="D32" s="70">
        <v>0</v>
      </c>
      <c r="E32" s="61">
        <v>0</v>
      </c>
      <c r="F32" s="61">
        <v>0</v>
      </c>
      <c r="G32" s="64">
        <v>0</v>
      </c>
      <c r="H32" s="101">
        <v>0</v>
      </c>
      <c r="I32" s="105">
        <v>0</v>
      </c>
      <c r="J32" s="62">
        <v>0</v>
      </c>
      <c r="K32" s="62">
        <v>0</v>
      </c>
      <c r="L32" s="64">
        <v>0</v>
      </c>
      <c r="M32" s="62">
        <v>0</v>
      </c>
      <c r="N32" s="101">
        <v>0</v>
      </c>
      <c r="O32" s="110"/>
      <c r="P32" s="149">
        <v>59</v>
      </c>
      <c r="Q32" s="148">
        <v>51</v>
      </c>
      <c r="R32" s="148">
        <f>P32 - Q32</f>
        <v>8</v>
      </c>
    </row>
    <row r="33" spans="1:18" ht="25.5" x14ac:dyDescent="0.2">
      <c r="A33" s="114">
        <v>47</v>
      </c>
      <c r="B33" s="63">
        <v>73</v>
      </c>
      <c r="C33" s="116" t="s">
        <v>467</v>
      </c>
      <c r="D33" s="70">
        <v>1</v>
      </c>
      <c r="E33" s="61">
        <v>2.46</v>
      </c>
      <c r="F33" s="61">
        <v>1</v>
      </c>
      <c r="G33" s="64">
        <v>2.66</v>
      </c>
      <c r="H33" s="101">
        <v>2.46</v>
      </c>
      <c r="I33" s="105">
        <v>0</v>
      </c>
      <c r="J33" s="62">
        <v>0</v>
      </c>
      <c r="K33" s="62">
        <v>0</v>
      </c>
      <c r="L33" s="64">
        <v>0</v>
      </c>
      <c r="M33" s="62">
        <v>2.66</v>
      </c>
      <c r="N33" s="101">
        <v>0</v>
      </c>
      <c r="O33" s="110"/>
      <c r="P33" s="149">
        <v>47</v>
      </c>
      <c r="Q33" s="148">
        <v>39</v>
      </c>
      <c r="R33" s="148">
        <f>P33 - Q33</f>
        <v>8</v>
      </c>
    </row>
    <row r="34" spans="1:18" ht="25.5" x14ac:dyDescent="0.2">
      <c r="A34" s="114">
        <v>43</v>
      </c>
      <c r="B34" s="50">
        <v>7</v>
      </c>
      <c r="C34" s="116" t="s">
        <v>246</v>
      </c>
      <c r="D34" s="70">
        <v>2</v>
      </c>
      <c r="E34" s="61">
        <v>3.58</v>
      </c>
      <c r="F34" s="61">
        <v>2</v>
      </c>
      <c r="G34" s="64">
        <v>3.98</v>
      </c>
      <c r="H34" s="101">
        <v>1.92</v>
      </c>
      <c r="I34" s="105">
        <v>2</v>
      </c>
      <c r="J34" s="62">
        <v>3.8</v>
      </c>
      <c r="K34" s="62">
        <v>2</v>
      </c>
      <c r="L34" s="64">
        <v>4.2</v>
      </c>
      <c r="M34" s="62">
        <v>8.18</v>
      </c>
      <c r="N34" s="101">
        <v>1.9</v>
      </c>
      <c r="O34" s="110"/>
      <c r="P34" s="149">
        <v>43</v>
      </c>
      <c r="Q34" s="148">
        <v>37</v>
      </c>
      <c r="R34" s="148">
        <f>P34 - Q34</f>
        <v>6</v>
      </c>
    </row>
    <row r="35" spans="1:18" ht="25.5" x14ac:dyDescent="0.2">
      <c r="A35" s="114">
        <v>24</v>
      </c>
      <c r="B35" s="63">
        <v>30</v>
      </c>
      <c r="C35" s="116" t="s">
        <v>219</v>
      </c>
      <c r="D35" s="70">
        <v>2</v>
      </c>
      <c r="E35" s="61">
        <v>4.1900000000000004</v>
      </c>
      <c r="F35" s="61">
        <v>2</v>
      </c>
      <c r="G35" s="64">
        <v>4.59</v>
      </c>
      <c r="H35" s="101">
        <v>2.37</v>
      </c>
      <c r="I35" s="105">
        <v>2</v>
      </c>
      <c r="J35" s="62">
        <v>2.4300000000000002</v>
      </c>
      <c r="K35" s="62">
        <v>2</v>
      </c>
      <c r="L35" s="64">
        <v>2.83</v>
      </c>
      <c r="M35" s="62">
        <v>7.42</v>
      </c>
      <c r="N35" s="101">
        <v>1.92</v>
      </c>
      <c r="O35" s="110"/>
      <c r="P35" s="149">
        <v>24</v>
      </c>
      <c r="Q35" s="148">
        <v>19</v>
      </c>
      <c r="R35" s="148">
        <f>P35 - Q35</f>
        <v>5</v>
      </c>
    </row>
    <row r="36" spans="1:18" ht="25.5" x14ac:dyDescent="0.2">
      <c r="A36" s="114">
        <v>53</v>
      </c>
      <c r="B36" s="50">
        <v>1</v>
      </c>
      <c r="C36" s="116" t="s">
        <v>470</v>
      </c>
      <c r="D36" s="70">
        <v>1</v>
      </c>
      <c r="E36" s="61">
        <v>1.78</v>
      </c>
      <c r="F36" s="61">
        <v>1</v>
      </c>
      <c r="G36" s="64">
        <v>1.98</v>
      </c>
      <c r="H36" s="101">
        <v>1.78</v>
      </c>
      <c r="I36" s="105">
        <v>0</v>
      </c>
      <c r="J36" s="62">
        <v>0</v>
      </c>
      <c r="K36" s="62">
        <v>0</v>
      </c>
      <c r="L36" s="64">
        <v>0</v>
      </c>
      <c r="M36" s="62">
        <v>1.98</v>
      </c>
      <c r="N36" s="101">
        <v>0</v>
      </c>
      <c r="O36" s="110" t="s">
        <v>473</v>
      </c>
      <c r="P36" s="149">
        <v>53</v>
      </c>
      <c r="Q36" s="148">
        <v>50</v>
      </c>
      <c r="R36" s="148">
        <f>P36 - Q36</f>
        <v>3</v>
      </c>
    </row>
    <row r="37" spans="1:18" ht="25.5" x14ac:dyDescent="0.2">
      <c r="A37" s="114">
        <v>54</v>
      </c>
      <c r="B37" s="63">
        <v>40</v>
      </c>
      <c r="C37" s="116" t="s">
        <v>370</v>
      </c>
      <c r="D37" s="70">
        <v>1</v>
      </c>
      <c r="E37" s="61">
        <v>1.71</v>
      </c>
      <c r="F37" s="61">
        <v>1</v>
      </c>
      <c r="G37" s="64">
        <v>1.91</v>
      </c>
      <c r="H37" s="101">
        <v>1.71</v>
      </c>
      <c r="I37" s="105">
        <v>1</v>
      </c>
      <c r="J37" s="62">
        <v>1.91</v>
      </c>
      <c r="K37" s="62">
        <v>1</v>
      </c>
      <c r="L37" s="64">
        <v>2.11</v>
      </c>
      <c r="M37" s="62">
        <v>4.0199999999999996</v>
      </c>
      <c r="N37" s="101">
        <v>1.91</v>
      </c>
      <c r="O37" s="110"/>
      <c r="P37" s="149">
        <v>54</v>
      </c>
      <c r="Q37" s="148">
        <v>52</v>
      </c>
      <c r="R37" s="148">
        <f>P37 - Q37</f>
        <v>2</v>
      </c>
    </row>
    <row r="38" spans="1:18" ht="25.5" x14ac:dyDescent="0.2">
      <c r="A38" s="114">
        <v>31</v>
      </c>
      <c r="B38" s="50">
        <v>59</v>
      </c>
      <c r="C38" s="116" t="s">
        <v>404</v>
      </c>
      <c r="D38" s="70">
        <v>2</v>
      </c>
      <c r="E38" s="61">
        <v>4.0149999999999997</v>
      </c>
      <c r="F38" s="61">
        <v>2</v>
      </c>
      <c r="G38" s="64">
        <v>4.41</v>
      </c>
      <c r="H38" s="101">
        <v>2.2000000000000002</v>
      </c>
      <c r="I38" s="105">
        <v>0</v>
      </c>
      <c r="J38" s="62">
        <v>0</v>
      </c>
      <c r="K38" s="62">
        <v>0</v>
      </c>
      <c r="L38" s="64">
        <v>0</v>
      </c>
      <c r="M38" s="62">
        <v>4.41</v>
      </c>
      <c r="N38" s="101">
        <v>0</v>
      </c>
      <c r="O38" s="110"/>
      <c r="P38" s="149">
        <v>31</v>
      </c>
      <c r="Q38" s="148">
        <v>29</v>
      </c>
      <c r="R38" s="148">
        <f>P38 - Q38</f>
        <v>2</v>
      </c>
    </row>
    <row r="39" spans="1:18" ht="25.5" x14ac:dyDescent="0.2">
      <c r="A39" s="114">
        <v>58</v>
      </c>
      <c r="B39" s="63">
        <v>27</v>
      </c>
      <c r="C39" s="116" t="s">
        <v>384</v>
      </c>
      <c r="D39" s="70">
        <v>1</v>
      </c>
      <c r="E39" s="61">
        <v>0.56000000000000005</v>
      </c>
      <c r="F39" s="61">
        <v>1</v>
      </c>
      <c r="G39" s="64">
        <v>0.76</v>
      </c>
      <c r="H39" s="101">
        <v>0.56000000000000005</v>
      </c>
      <c r="I39" s="105">
        <v>2</v>
      </c>
      <c r="J39" s="62">
        <v>4.41</v>
      </c>
      <c r="K39" s="62">
        <v>2</v>
      </c>
      <c r="L39" s="64">
        <v>4.8099999999999996</v>
      </c>
      <c r="M39" s="62">
        <v>5.57</v>
      </c>
      <c r="N39" s="101">
        <v>2.4300000000000002</v>
      </c>
      <c r="O39" s="110"/>
      <c r="P39" s="149">
        <v>58</v>
      </c>
      <c r="Q39" s="148">
        <v>57</v>
      </c>
      <c r="R39" s="148">
        <f>P39 - Q39</f>
        <v>1</v>
      </c>
    </row>
    <row r="40" spans="1:18" ht="25.5" x14ac:dyDescent="0.2">
      <c r="A40" s="70">
        <v>59</v>
      </c>
      <c r="B40" s="50">
        <v>56</v>
      </c>
      <c r="C40" s="115" t="s">
        <v>453</v>
      </c>
      <c r="D40" s="70">
        <v>0</v>
      </c>
      <c r="E40" s="61">
        <v>0</v>
      </c>
      <c r="F40" s="61">
        <v>0</v>
      </c>
      <c r="G40" s="64">
        <v>0</v>
      </c>
      <c r="H40" s="101">
        <v>0</v>
      </c>
      <c r="I40" s="105">
        <v>2</v>
      </c>
      <c r="J40" s="62">
        <v>3.65</v>
      </c>
      <c r="K40" s="62">
        <v>2</v>
      </c>
      <c r="L40" s="64">
        <v>4.05</v>
      </c>
      <c r="M40" s="62">
        <v>4.05</v>
      </c>
      <c r="N40" s="101">
        <v>1.93</v>
      </c>
      <c r="O40" s="110"/>
      <c r="P40" s="150">
        <v>59</v>
      </c>
      <c r="Q40" s="148">
        <v>59</v>
      </c>
      <c r="R40" s="148">
        <f>P40 - Q40</f>
        <v>0</v>
      </c>
    </row>
    <row r="41" spans="1:18" ht="25.5" x14ac:dyDescent="0.2">
      <c r="A41" s="114">
        <v>59</v>
      </c>
      <c r="B41" s="63">
        <v>20</v>
      </c>
      <c r="C41" s="116" t="s">
        <v>330</v>
      </c>
      <c r="D41" s="70">
        <v>0</v>
      </c>
      <c r="E41" s="61">
        <v>0</v>
      </c>
      <c r="F41" s="61">
        <v>0</v>
      </c>
      <c r="G41" s="64">
        <v>0</v>
      </c>
      <c r="H41" s="101">
        <v>0</v>
      </c>
      <c r="I41" s="105">
        <v>2</v>
      </c>
      <c r="J41" s="62">
        <v>3.67</v>
      </c>
      <c r="K41" s="62">
        <v>2</v>
      </c>
      <c r="L41" s="64">
        <v>4.07</v>
      </c>
      <c r="M41" s="62">
        <v>4.07</v>
      </c>
      <c r="N41" s="101">
        <v>2.67</v>
      </c>
      <c r="O41" s="110"/>
      <c r="P41" s="149">
        <v>59</v>
      </c>
      <c r="Q41" s="148">
        <v>60</v>
      </c>
      <c r="R41" s="148">
        <f>P41 - Q41</f>
        <v>-1</v>
      </c>
    </row>
    <row r="42" spans="1:18" ht="25.5" x14ac:dyDescent="0.2">
      <c r="A42" s="114">
        <v>11</v>
      </c>
      <c r="B42" s="50">
        <v>31</v>
      </c>
      <c r="C42" s="116" t="s">
        <v>297</v>
      </c>
      <c r="D42" s="70">
        <v>2</v>
      </c>
      <c r="E42" s="61">
        <v>4.8600000000000003</v>
      </c>
      <c r="F42" s="61">
        <v>2</v>
      </c>
      <c r="G42" s="64">
        <v>5.26</v>
      </c>
      <c r="H42" s="101">
        <v>2.67</v>
      </c>
      <c r="I42" s="105">
        <v>2</v>
      </c>
      <c r="J42" s="62">
        <v>3.72</v>
      </c>
      <c r="K42" s="62">
        <v>2</v>
      </c>
      <c r="L42" s="64">
        <v>4.12</v>
      </c>
      <c r="M42" s="62">
        <v>9.3800000000000008</v>
      </c>
      <c r="N42" s="101">
        <v>2.02</v>
      </c>
      <c r="O42" s="110"/>
      <c r="P42" s="149">
        <v>11</v>
      </c>
      <c r="Q42" s="148">
        <v>14</v>
      </c>
      <c r="R42" s="148">
        <f>P42 - Q42</f>
        <v>-3</v>
      </c>
    </row>
    <row r="43" spans="1:18" ht="25.5" x14ac:dyDescent="0.2">
      <c r="A43" s="114">
        <v>16</v>
      </c>
      <c r="B43" s="63">
        <v>24</v>
      </c>
      <c r="C43" s="115" t="s">
        <v>310</v>
      </c>
      <c r="D43" s="70">
        <v>2</v>
      </c>
      <c r="E43" s="61">
        <v>4.45</v>
      </c>
      <c r="F43" s="61">
        <v>2</v>
      </c>
      <c r="G43" s="64">
        <v>4.8499999999999996</v>
      </c>
      <c r="H43" s="101">
        <v>2.2400000000000002</v>
      </c>
      <c r="I43" s="105">
        <v>2</v>
      </c>
      <c r="J43" s="62">
        <v>2.7</v>
      </c>
      <c r="K43" s="62">
        <v>2</v>
      </c>
      <c r="L43" s="64">
        <v>3.1</v>
      </c>
      <c r="M43" s="62">
        <v>7.95</v>
      </c>
      <c r="N43" s="101">
        <v>2.0699999999999998</v>
      </c>
      <c r="O43" s="110"/>
      <c r="P43" s="149">
        <v>16</v>
      </c>
      <c r="Q43" s="148">
        <v>21</v>
      </c>
      <c r="R43" s="148">
        <f>P43 - Q43</f>
        <v>-5</v>
      </c>
    </row>
    <row r="44" spans="1:18" ht="25.5" x14ac:dyDescent="0.2">
      <c r="A44" s="114">
        <v>49</v>
      </c>
      <c r="B44" s="50">
        <v>33</v>
      </c>
      <c r="C44" s="116" t="s">
        <v>445</v>
      </c>
      <c r="D44" s="70">
        <v>1</v>
      </c>
      <c r="E44" s="61">
        <v>2.0099999999999998</v>
      </c>
      <c r="F44" s="61">
        <v>1</v>
      </c>
      <c r="G44" s="64">
        <v>2.21</v>
      </c>
      <c r="H44" s="101">
        <v>2.0099999999999998</v>
      </c>
      <c r="I44" s="105">
        <v>2</v>
      </c>
      <c r="J44" s="62">
        <v>4.54</v>
      </c>
      <c r="K44" s="62">
        <v>2</v>
      </c>
      <c r="L44" s="64">
        <v>4.9400000000000004</v>
      </c>
      <c r="M44" s="62">
        <v>7.15</v>
      </c>
      <c r="N44" s="101">
        <v>2.56</v>
      </c>
      <c r="O44" s="110"/>
      <c r="P44" s="149">
        <v>49</v>
      </c>
      <c r="Q44" s="148">
        <v>56</v>
      </c>
      <c r="R44" s="148">
        <f>P44 - Q44</f>
        <v>-7</v>
      </c>
    </row>
    <row r="45" spans="1:18" ht="25.5" x14ac:dyDescent="0.2">
      <c r="A45" s="114">
        <v>59</v>
      </c>
      <c r="B45" s="63">
        <v>11</v>
      </c>
      <c r="C45" s="116" t="s">
        <v>392</v>
      </c>
      <c r="D45" s="70">
        <v>0</v>
      </c>
      <c r="E45" s="61">
        <v>0</v>
      </c>
      <c r="F45" s="61">
        <v>0</v>
      </c>
      <c r="G45" s="64">
        <v>0</v>
      </c>
      <c r="H45" s="101">
        <v>0</v>
      </c>
      <c r="I45" s="105">
        <v>0</v>
      </c>
      <c r="J45" s="62">
        <v>0</v>
      </c>
      <c r="K45" s="62">
        <v>0</v>
      </c>
      <c r="L45" s="64">
        <v>0</v>
      </c>
      <c r="M45" s="62">
        <v>0</v>
      </c>
      <c r="N45" s="101">
        <v>0</v>
      </c>
      <c r="O45" s="110"/>
      <c r="P45" s="149">
        <v>59</v>
      </c>
      <c r="Q45" s="148">
        <v>68</v>
      </c>
      <c r="R45" s="148">
        <f>P45 - Q45</f>
        <v>-9</v>
      </c>
    </row>
    <row r="46" spans="1:18" ht="25.5" x14ac:dyDescent="0.2">
      <c r="A46" s="114">
        <v>59</v>
      </c>
      <c r="B46" s="50">
        <v>29</v>
      </c>
      <c r="C46" s="116" t="s">
        <v>234</v>
      </c>
      <c r="D46" s="70">
        <v>0</v>
      </c>
      <c r="E46" s="61">
        <v>0</v>
      </c>
      <c r="F46" s="61">
        <v>0</v>
      </c>
      <c r="G46" s="64">
        <v>0</v>
      </c>
      <c r="H46" s="101">
        <v>0</v>
      </c>
      <c r="I46" s="105">
        <v>2</v>
      </c>
      <c r="J46" s="62">
        <v>4.17</v>
      </c>
      <c r="K46" s="62">
        <v>2</v>
      </c>
      <c r="L46" s="64">
        <v>4.57</v>
      </c>
      <c r="M46" s="62">
        <v>4.57</v>
      </c>
      <c r="N46" s="101">
        <v>2.09</v>
      </c>
      <c r="O46" s="110"/>
      <c r="P46" s="149">
        <v>59</v>
      </c>
      <c r="Q46" s="148">
        <v>68</v>
      </c>
      <c r="R46" s="148">
        <f>P46 - Q46</f>
        <v>-9</v>
      </c>
    </row>
    <row r="47" spans="1:18" ht="25.5" x14ac:dyDescent="0.2">
      <c r="A47" s="114">
        <v>59</v>
      </c>
      <c r="B47" s="63">
        <v>65</v>
      </c>
      <c r="C47" s="116" t="s">
        <v>469</v>
      </c>
      <c r="D47" s="70">
        <v>0</v>
      </c>
      <c r="E47" s="61">
        <v>0</v>
      </c>
      <c r="F47" s="61">
        <v>0</v>
      </c>
      <c r="G47" s="64">
        <v>0</v>
      </c>
      <c r="H47" s="101">
        <v>0</v>
      </c>
      <c r="I47" s="105">
        <v>0</v>
      </c>
      <c r="J47" s="62">
        <v>0</v>
      </c>
      <c r="K47" s="62">
        <v>0</v>
      </c>
      <c r="L47" s="64">
        <v>0</v>
      </c>
      <c r="M47" s="62">
        <v>0</v>
      </c>
      <c r="N47" s="101">
        <v>0</v>
      </c>
      <c r="O47" s="110"/>
      <c r="P47" s="149">
        <v>59</v>
      </c>
      <c r="Q47" s="148">
        <v>68</v>
      </c>
      <c r="R47" s="148">
        <f>P47 - Q47</f>
        <v>-9</v>
      </c>
    </row>
    <row r="48" spans="1:18" ht="25.5" x14ac:dyDescent="0.2">
      <c r="A48" s="114">
        <v>57</v>
      </c>
      <c r="B48" s="50">
        <v>75</v>
      </c>
      <c r="C48" s="116" t="s">
        <v>472</v>
      </c>
      <c r="D48" s="70">
        <v>1</v>
      </c>
      <c r="E48" s="61">
        <v>1.64</v>
      </c>
      <c r="F48" s="61">
        <v>1</v>
      </c>
      <c r="G48" s="64">
        <v>1.84</v>
      </c>
      <c r="H48" s="101">
        <v>1.64</v>
      </c>
      <c r="I48" s="105">
        <v>1</v>
      </c>
      <c r="J48" s="62">
        <v>2.71</v>
      </c>
      <c r="K48" s="62">
        <v>1</v>
      </c>
      <c r="L48" s="64">
        <v>2.91</v>
      </c>
      <c r="M48" s="62">
        <v>4.75</v>
      </c>
      <c r="N48" s="101">
        <v>2.71</v>
      </c>
      <c r="O48" s="110"/>
      <c r="P48" s="149">
        <v>57</v>
      </c>
      <c r="Q48" s="148">
        <v>66</v>
      </c>
      <c r="R48" s="148">
        <f>P48 - Q48</f>
        <v>-9</v>
      </c>
    </row>
    <row r="49" spans="1:18" ht="25.5" x14ac:dyDescent="0.2">
      <c r="A49" s="114">
        <v>33</v>
      </c>
      <c r="B49" s="63">
        <v>14</v>
      </c>
      <c r="C49" s="116" t="s">
        <v>379</v>
      </c>
      <c r="D49" s="70">
        <v>2</v>
      </c>
      <c r="E49" s="61">
        <v>3.87</v>
      </c>
      <c r="F49" s="61">
        <v>2</v>
      </c>
      <c r="G49" s="64">
        <v>4.2699999999999996</v>
      </c>
      <c r="H49" s="101">
        <v>1.96</v>
      </c>
      <c r="I49" s="105">
        <v>4</v>
      </c>
      <c r="J49" s="62">
        <v>6.02</v>
      </c>
      <c r="K49" s="62">
        <v>4</v>
      </c>
      <c r="L49" s="64">
        <v>6.82</v>
      </c>
      <c r="M49" s="62">
        <v>11.09</v>
      </c>
      <c r="N49" s="101">
        <v>2.31</v>
      </c>
      <c r="O49" s="110"/>
      <c r="P49" s="149">
        <v>33</v>
      </c>
      <c r="Q49" s="148">
        <v>44</v>
      </c>
      <c r="R49" s="148">
        <f>P49 - Q49</f>
        <v>-11</v>
      </c>
    </row>
    <row r="50" spans="1:18" ht="25.5" x14ac:dyDescent="0.2">
      <c r="A50" s="114">
        <v>37</v>
      </c>
      <c r="B50" s="50">
        <v>49</v>
      </c>
      <c r="C50" s="116" t="s">
        <v>451</v>
      </c>
      <c r="D50" s="70">
        <v>2</v>
      </c>
      <c r="E50" s="61">
        <v>3.72</v>
      </c>
      <c r="F50" s="61">
        <v>2</v>
      </c>
      <c r="G50" s="64">
        <v>4.12</v>
      </c>
      <c r="H50" s="101">
        <v>2</v>
      </c>
      <c r="I50" s="105">
        <v>0</v>
      </c>
      <c r="J50" s="62">
        <v>0</v>
      </c>
      <c r="K50" s="62">
        <v>0</v>
      </c>
      <c r="L50" s="64">
        <v>0</v>
      </c>
      <c r="M50" s="62">
        <v>4.12</v>
      </c>
      <c r="N50" s="101">
        <v>0</v>
      </c>
      <c r="O50" s="110"/>
      <c r="P50" s="149">
        <v>37</v>
      </c>
      <c r="Q50" s="148">
        <v>48</v>
      </c>
      <c r="R50" s="148">
        <f>P50 - Q50</f>
        <v>-11</v>
      </c>
    </row>
    <row r="51" spans="1:18" ht="25.5" x14ac:dyDescent="0.2">
      <c r="A51" s="114">
        <v>10</v>
      </c>
      <c r="B51" s="63">
        <v>45</v>
      </c>
      <c r="C51" s="116" t="s">
        <v>253</v>
      </c>
      <c r="D51" s="70">
        <v>3</v>
      </c>
      <c r="E51" s="61">
        <v>4.93</v>
      </c>
      <c r="F51" s="61">
        <v>3</v>
      </c>
      <c r="G51" s="64">
        <v>5.53</v>
      </c>
      <c r="H51" s="101">
        <v>2.0499999999999998</v>
      </c>
      <c r="I51" s="105">
        <v>3</v>
      </c>
      <c r="J51" s="62">
        <v>4.4000000000000004</v>
      </c>
      <c r="K51" s="62">
        <v>3</v>
      </c>
      <c r="L51" s="64">
        <v>5</v>
      </c>
      <c r="M51" s="62">
        <v>10.53</v>
      </c>
      <c r="N51" s="101">
        <v>1.79</v>
      </c>
      <c r="O51" s="110"/>
      <c r="P51" s="149">
        <v>10</v>
      </c>
      <c r="Q51" s="148">
        <v>22</v>
      </c>
      <c r="R51" s="148">
        <f>P51 - Q51</f>
        <v>-12</v>
      </c>
    </row>
    <row r="52" spans="1:18" ht="25.5" x14ac:dyDescent="0.2">
      <c r="A52" s="70">
        <v>21</v>
      </c>
      <c r="B52" s="50">
        <v>8</v>
      </c>
      <c r="C52" s="116" t="s">
        <v>197</v>
      </c>
      <c r="D52" s="70">
        <v>2</v>
      </c>
      <c r="E52" s="61">
        <v>4.3</v>
      </c>
      <c r="F52" s="61">
        <v>2</v>
      </c>
      <c r="G52" s="64">
        <v>4.7</v>
      </c>
      <c r="H52" s="101">
        <v>2.2200000000000002</v>
      </c>
      <c r="I52" s="105">
        <v>7</v>
      </c>
      <c r="J52" s="62">
        <v>9.5299999999999994</v>
      </c>
      <c r="K52" s="62">
        <v>7</v>
      </c>
      <c r="L52" s="64">
        <v>10.93</v>
      </c>
      <c r="M52" s="62">
        <v>15.63</v>
      </c>
      <c r="N52" s="101">
        <v>2.72</v>
      </c>
      <c r="O52" s="110"/>
      <c r="P52" s="150">
        <v>21</v>
      </c>
      <c r="Q52" s="148">
        <v>35</v>
      </c>
      <c r="R52" s="148">
        <f>P52 - Q52</f>
        <v>-14</v>
      </c>
    </row>
    <row r="53" spans="1:18" ht="25.5" x14ac:dyDescent="0.2">
      <c r="A53" s="114">
        <v>42</v>
      </c>
      <c r="B53" s="63">
        <v>6</v>
      </c>
      <c r="C53" s="116" t="s">
        <v>439</v>
      </c>
      <c r="D53" s="70">
        <v>2</v>
      </c>
      <c r="E53" s="61">
        <v>3.62</v>
      </c>
      <c r="F53" s="61">
        <v>2</v>
      </c>
      <c r="G53" s="64">
        <v>4.0199999999999996</v>
      </c>
      <c r="H53" s="101">
        <v>2.46</v>
      </c>
      <c r="I53" s="105">
        <v>3</v>
      </c>
      <c r="J53" s="62">
        <v>5.56</v>
      </c>
      <c r="K53" s="62">
        <v>3</v>
      </c>
      <c r="L53" s="64">
        <v>6.16</v>
      </c>
      <c r="M53" s="62">
        <v>10.18</v>
      </c>
      <c r="N53" s="101">
        <v>2.2599999999999998</v>
      </c>
      <c r="O53" s="110"/>
      <c r="P53" s="149">
        <v>42</v>
      </c>
      <c r="Q53" s="148">
        <v>58</v>
      </c>
      <c r="R53" s="148">
        <f>P53 - Q53</f>
        <v>-16</v>
      </c>
    </row>
    <row r="54" spans="1:18" ht="25.5" x14ac:dyDescent="0.2">
      <c r="A54" s="114">
        <v>13</v>
      </c>
      <c r="B54" s="50">
        <v>55</v>
      </c>
      <c r="C54" s="116" t="s">
        <v>352</v>
      </c>
      <c r="D54" s="70">
        <v>3</v>
      </c>
      <c r="E54" s="61">
        <v>4.49</v>
      </c>
      <c r="F54" s="61">
        <v>3</v>
      </c>
      <c r="G54" s="64">
        <v>5.09</v>
      </c>
      <c r="H54" s="101">
        <v>2.0499999999999998</v>
      </c>
      <c r="I54" s="105">
        <v>5</v>
      </c>
      <c r="J54" s="62">
        <v>5.65</v>
      </c>
      <c r="K54" s="62">
        <v>5</v>
      </c>
      <c r="L54" s="64">
        <v>6.65</v>
      </c>
      <c r="M54" s="62">
        <v>11.74</v>
      </c>
      <c r="N54" s="101">
        <v>2.11</v>
      </c>
      <c r="O54" s="110"/>
      <c r="P54" s="149">
        <v>13</v>
      </c>
      <c r="Q54" s="148">
        <v>31</v>
      </c>
      <c r="R54" s="148">
        <f>P54 - Q54</f>
        <v>-18</v>
      </c>
    </row>
    <row r="55" spans="1:18" ht="25.5" x14ac:dyDescent="0.2">
      <c r="A55" s="114">
        <v>44</v>
      </c>
      <c r="B55" s="63">
        <v>19</v>
      </c>
      <c r="C55" s="116" t="s">
        <v>443</v>
      </c>
      <c r="D55" s="70">
        <v>2</v>
      </c>
      <c r="E55" s="61">
        <v>3.5</v>
      </c>
      <c r="F55" s="61">
        <v>2</v>
      </c>
      <c r="G55" s="64">
        <v>3.9</v>
      </c>
      <c r="H55" s="101">
        <v>1.79</v>
      </c>
      <c r="I55" s="105">
        <v>2</v>
      </c>
      <c r="J55" s="62">
        <v>4.3</v>
      </c>
      <c r="K55" s="62">
        <v>2</v>
      </c>
      <c r="L55" s="64">
        <v>4.7</v>
      </c>
      <c r="M55" s="62">
        <v>8.6</v>
      </c>
      <c r="N55" s="101">
        <v>2.37</v>
      </c>
      <c r="O55" s="110"/>
      <c r="P55" s="149">
        <v>44</v>
      </c>
      <c r="Q55" s="148">
        <v>64</v>
      </c>
      <c r="R55" s="148">
        <f>P55 - Q55</f>
        <v>-20</v>
      </c>
    </row>
    <row r="56" spans="1:18" ht="25.5" x14ac:dyDescent="0.2">
      <c r="A56" s="114">
        <v>14</v>
      </c>
      <c r="B56" s="50">
        <v>52</v>
      </c>
      <c r="C56" s="116" t="s">
        <v>211</v>
      </c>
      <c r="D56" s="70">
        <v>2</v>
      </c>
      <c r="E56" s="61">
        <v>4.5599999999999996</v>
      </c>
      <c r="F56" s="61">
        <v>2</v>
      </c>
      <c r="G56" s="64">
        <v>4.96</v>
      </c>
      <c r="H56" s="101">
        <v>2.42</v>
      </c>
      <c r="I56" s="105">
        <v>2</v>
      </c>
      <c r="J56" s="62">
        <v>4.1399999999999997</v>
      </c>
      <c r="K56" s="62">
        <v>2</v>
      </c>
      <c r="L56" s="64">
        <v>4.54</v>
      </c>
      <c r="M56" s="62">
        <v>9.5</v>
      </c>
      <c r="N56" s="101">
        <v>2.33</v>
      </c>
      <c r="O56" s="110"/>
      <c r="P56" s="149">
        <v>14</v>
      </c>
      <c r="Q56" s="148">
        <v>34</v>
      </c>
      <c r="R56" s="148">
        <f>P56 - Q56</f>
        <v>-20</v>
      </c>
    </row>
    <row r="57" spans="1:18" ht="25.5" x14ac:dyDescent="0.2">
      <c r="A57" s="70">
        <v>26</v>
      </c>
      <c r="B57" s="63">
        <v>2</v>
      </c>
      <c r="C57" s="116" t="s">
        <v>397</v>
      </c>
      <c r="D57" s="70">
        <v>2</v>
      </c>
      <c r="E57" s="61">
        <v>4.12</v>
      </c>
      <c r="F57" s="61">
        <v>2</v>
      </c>
      <c r="G57" s="64">
        <v>4.5199999999999996</v>
      </c>
      <c r="H57" s="101">
        <v>2.12</v>
      </c>
      <c r="I57" s="105">
        <v>3</v>
      </c>
      <c r="J57" s="62">
        <v>5.58</v>
      </c>
      <c r="K57" s="62">
        <v>3</v>
      </c>
      <c r="L57" s="64">
        <v>6.18</v>
      </c>
      <c r="M57" s="62">
        <v>10.7</v>
      </c>
      <c r="N57" s="101">
        <v>2.4500000000000002</v>
      </c>
      <c r="O57" s="110"/>
      <c r="P57" s="150">
        <v>26</v>
      </c>
      <c r="Q57" s="148">
        <v>47</v>
      </c>
      <c r="R57" s="148">
        <f>P57 - Q57</f>
        <v>-21</v>
      </c>
    </row>
    <row r="58" spans="1:18" ht="25.5" x14ac:dyDescent="0.2">
      <c r="A58" s="114">
        <v>12</v>
      </c>
      <c r="B58" s="50">
        <v>46</v>
      </c>
      <c r="C58" s="116" t="s">
        <v>448</v>
      </c>
      <c r="D58" s="70">
        <v>2</v>
      </c>
      <c r="E58" s="61">
        <v>4.7</v>
      </c>
      <c r="F58" s="61">
        <v>2</v>
      </c>
      <c r="G58" s="64">
        <v>5.0999999999999996</v>
      </c>
      <c r="H58" s="101">
        <v>2.5299999999999998</v>
      </c>
      <c r="I58" s="105">
        <v>2</v>
      </c>
      <c r="J58" s="62">
        <v>4.45</v>
      </c>
      <c r="K58" s="62">
        <v>2</v>
      </c>
      <c r="L58" s="64">
        <v>4.8499999999999996</v>
      </c>
      <c r="M58" s="62">
        <v>9.9499999999999993</v>
      </c>
      <c r="N58" s="101">
        <v>2.38</v>
      </c>
      <c r="O58" s="110"/>
      <c r="P58" s="149">
        <v>12</v>
      </c>
      <c r="Q58" s="148">
        <v>36</v>
      </c>
      <c r="R58" s="148">
        <f>P58 - Q58</f>
        <v>-24</v>
      </c>
    </row>
    <row r="59" spans="1:18" ht="25.5" x14ac:dyDescent="0.2">
      <c r="A59" s="114">
        <v>28</v>
      </c>
      <c r="B59" s="63">
        <v>17</v>
      </c>
      <c r="C59" s="116" t="s">
        <v>226</v>
      </c>
      <c r="D59" s="70">
        <v>2</v>
      </c>
      <c r="E59" s="61">
        <v>4.0999999999999996</v>
      </c>
      <c r="F59" s="61">
        <v>2</v>
      </c>
      <c r="G59" s="64">
        <v>4.5</v>
      </c>
      <c r="H59" s="101">
        <v>2.29</v>
      </c>
      <c r="I59" s="105">
        <v>2</v>
      </c>
      <c r="J59" s="62">
        <v>3.77</v>
      </c>
      <c r="K59" s="62">
        <v>2</v>
      </c>
      <c r="L59" s="64">
        <v>4.17</v>
      </c>
      <c r="M59" s="62">
        <v>8.67</v>
      </c>
      <c r="N59" s="101">
        <v>2.0299999999999998</v>
      </c>
      <c r="O59" s="110"/>
      <c r="P59" s="149">
        <v>28</v>
      </c>
      <c r="Q59" s="148">
        <v>53</v>
      </c>
      <c r="R59" s="148">
        <f>P59 - Q59</f>
        <v>-25</v>
      </c>
    </row>
    <row r="60" spans="1:18" ht="25.5" x14ac:dyDescent="0.2">
      <c r="A60" s="114">
        <v>34</v>
      </c>
      <c r="B60" s="50">
        <v>12</v>
      </c>
      <c r="C60" s="116" t="s">
        <v>393</v>
      </c>
      <c r="D60" s="70">
        <v>2</v>
      </c>
      <c r="E60" s="61">
        <v>3.8</v>
      </c>
      <c r="F60" s="61">
        <v>2</v>
      </c>
      <c r="G60" s="64">
        <v>4.2</v>
      </c>
      <c r="H60" s="101">
        <v>1.86</v>
      </c>
      <c r="I60" s="105">
        <v>3</v>
      </c>
      <c r="J60" s="62">
        <v>4.88</v>
      </c>
      <c r="K60" s="62">
        <v>3</v>
      </c>
      <c r="L60" s="64">
        <v>5.48</v>
      </c>
      <c r="M60" s="62">
        <v>9.68</v>
      </c>
      <c r="N60" s="101">
        <v>2.1</v>
      </c>
      <c r="O60" s="110"/>
      <c r="P60" s="149">
        <v>34</v>
      </c>
      <c r="Q60" s="148">
        <v>68</v>
      </c>
      <c r="R60" s="148">
        <f>P60 - Q60</f>
        <v>-34</v>
      </c>
    </row>
    <row r="61" spans="1:18" ht="25.5" x14ac:dyDescent="0.2">
      <c r="A61" s="114">
        <v>27</v>
      </c>
      <c r="B61" s="63">
        <v>36</v>
      </c>
      <c r="C61" s="116" t="s">
        <v>386</v>
      </c>
      <c r="D61" s="70">
        <v>2</v>
      </c>
      <c r="E61" s="61">
        <v>4.1100000000000003</v>
      </c>
      <c r="F61" s="61">
        <v>2</v>
      </c>
      <c r="G61" s="64">
        <v>4.51</v>
      </c>
      <c r="H61" s="101">
        <v>2.23</v>
      </c>
      <c r="I61" s="105">
        <v>0</v>
      </c>
      <c r="J61" s="62">
        <v>0</v>
      </c>
      <c r="K61" s="62">
        <v>0</v>
      </c>
      <c r="L61" s="64">
        <v>0</v>
      </c>
      <c r="M61" s="62">
        <v>4.51</v>
      </c>
      <c r="N61" s="101">
        <v>0</v>
      </c>
      <c r="O61" s="110"/>
      <c r="P61" s="149">
        <v>27</v>
      </c>
      <c r="Q61" s="148">
        <v>61</v>
      </c>
      <c r="R61" s="148">
        <f>P61 - Q61</f>
        <v>-34</v>
      </c>
    </row>
    <row r="62" spans="1:18" ht="25.5" x14ac:dyDescent="0.2">
      <c r="A62" s="114">
        <v>19</v>
      </c>
      <c r="B62" s="50">
        <v>34</v>
      </c>
      <c r="C62" s="116" t="s">
        <v>258</v>
      </c>
      <c r="D62" s="70">
        <v>2</v>
      </c>
      <c r="E62" s="61">
        <v>4.3899999999999997</v>
      </c>
      <c r="F62" s="61">
        <v>2</v>
      </c>
      <c r="G62" s="64">
        <v>4.79</v>
      </c>
      <c r="H62" s="101">
        <v>2.23</v>
      </c>
      <c r="I62" s="105">
        <v>2</v>
      </c>
      <c r="J62" s="62">
        <v>6.93</v>
      </c>
      <c r="K62" s="62">
        <v>2</v>
      </c>
      <c r="L62" s="64">
        <v>7.33</v>
      </c>
      <c r="M62" s="62">
        <v>12.12</v>
      </c>
      <c r="N62" s="101">
        <v>4.5999999999999996</v>
      </c>
      <c r="O62" s="110"/>
      <c r="P62" s="149">
        <v>19</v>
      </c>
      <c r="Q62" s="148">
        <v>54</v>
      </c>
      <c r="R62" s="148">
        <f>P62 - Q62</f>
        <v>-35</v>
      </c>
    </row>
    <row r="63" spans="1:18" ht="25.5" x14ac:dyDescent="0.2">
      <c r="A63" s="114">
        <v>2</v>
      </c>
      <c r="B63" s="63">
        <v>44</v>
      </c>
      <c r="C63" s="116" t="s">
        <v>345</v>
      </c>
      <c r="D63" s="70">
        <v>5</v>
      </c>
      <c r="E63" s="61">
        <v>5.96</v>
      </c>
      <c r="F63" s="61">
        <v>5</v>
      </c>
      <c r="G63" s="64">
        <v>6.96</v>
      </c>
      <c r="H63" s="101">
        <v>2.2000000000000002</v>
      </c>
      <c r="I63" s="105">
        <v>4</v>
      </c>
      <c r="J63" s="62">
        <v>5.48</v>
      </c>
      <c r="K63" s="62">
        <v>4</v>
      </c>
      <c r="L63" s="64">
        <v>6.28</v>
      </c>
      <c r="M63" s="62">
        <v>13.24</v>
      </c>
      <c r="N63" s="101">
        <v>1.89</v>
      </c>
      <c r="O63" s="110"/>
      <c r="P63" s="149">
        <v>2</v>
      </c>
      <c r="Q63" s="148">
        <v>38</v>
      </c>
      <c r="R63" s="148">
        <f>P63 - Q63</f>
        <v>-36</v>
      </c>
    </row>
    <row r="64" spans="1:18" ht="25.5" x14ac:dyDescent="0.2">
      <c r="A64" s="70">
        <v>6</v>
      </c>
      <c r="B64" s="50">
        <v>23</v>
      </c>
      <c r="C64" s="116" t="s">
        <v>391</v>
      </c>
      <c r="D64" s="70">
        <v>4</v>
      </c>
      <c r="E64" s="61">
        <v>5.05</v>
      </c>
      <c r="F64" s="61">
        <v>4</v>
      </c>
      <c r="G64" s="64">
        <v>5.85</v>
      </c>
      <c r="H64" s="101">
        <v>1.79</v>
      </c>
      <c r="I64" s="105">
        <v>2</v>
      </c>
      <c r="J64" s="62">
        <v>2.41</v>
      </c>
      <c r="K64" s="62">
        <v>2</v>
      </c>
      <c r="L64" s="64">
        <v>2.81</v>
      </c>
      <c r="M64" s="62">
        <v>8.66</v>
      </c>
      <c r="N64" s="101">
        <v>1.63</v>
      </c>
      <c r="O64" s="110"/>
      <c r="P64" s="150">
        <v>6</v>
      </c>
      <c r="Q64" s="148">
        <v>43</v>
      </c>
      <c r="R64" s="148">
        <f>P64 - Q64</f>
        <v>-37</v>
      </c>
    </row>
    <row r="65" spans="1:18" ht="25.5" x14ac:dyDescent="0.2">
      <c r="A65" s="114">
        <v>25</v>
      </c>
      <c r="B65" s="63">
        <v>3</v>
      </c>
      <c r="C65" s="116" t="s">
        <v>471</v>
      </c>
      <c r="D65" s="70">
        <v>2</v>
      </c>
      <c r="E65" s="61">
        <v>4.1399999999999997</v>
      </c>
      <c r="F65" s="61">
        <v>2</v>
      </c>
      <c r="G65" s="64">
        <v>4.54</v>
      </c>
      <c r="H65" s="101">
        <v>2.2799999999999998</v>
      </c>
      <c r="I65" s="105">
        <v>1</v>
      </c>
      <c r="J65" s="62">
        <v>2.4300000000000002</v>
      </c>
      <c r="K65" s="62">
        <v>1</v>
      </c>
      <c r="L65" s="64">
        <v>2.63</v>
      </c>
      <c r="M65" s="62">
        <v>7.17</v>
      </c>
      <c r="N65" s="101">
        <v>2.4300000000000002</v>
      </c>
      <c r="O65" s="110"/>
      <c r="P65" s="149">
        <v>25</v>
      </c>
      <c r="Q65" s="148">
        <v>63</v>
      </c>
      <c r="R65" s="148">
        <f>P65 - Q65</f>
        <v>-38</v>
      </c>
    </row>
    <row r="66" spans="1:18" ht="25.5" x14ac:dyDescent="0.2">
      <c r="A66" s="114">
        <v>3</v>
      </c>
      <c r="B66" s="50">
        <v>51</v>
      </c>
      <c r="C66" s="116" t="s">
        <v>320</v>
      </c>
      <c r="D66" s="70">
        <v>4</v>
      </c>
      <c r="E66" s="61">
        <v>5.54</v>
      </c>
      <c r="F66" s="61">
        <v>4</v>
      </c>
      <c r="G66" s="64">
        <v>6.34</v>
      </c>
      <c r="H66" s="101">
        <v>2.1800000000000002</v>
      </c>
      <c r="I66" s="105">
        <v>2</v>
      </c>
      <c r="J66" s="62">
        <v>4.28</v>
      </c>
      <c r="K66" s="62">
        <v>2</v>
      </c>
      <c r="L66" s="64">
        <v>4.68</v>
      </c>
      <c r="M66" s="62">
        <v>11.02</v>
      </c>
      <c r="N66" s="101">
        <v>2.17</v>
      </c>
      <c r="O66" s="110"/>
      <c r="P66" s="149">
        <v>3</v>
      </c>
      <c r="Q66" s="148">
        <v>41</v>
      </c>
      <c r="R66" s="148">
        <f>P66 - Q66</f>
        <v>-38</v>
      </c>
    </row>
    <row r="67" spans="1:18" ht="25.5" x14ac:dyDescent="0.2">
      <c r="A67" s="114">
        <v>1</v>
      </c>
      <c r="B67" s="63">
        <v>10</v>
      </c>
      <c r="C67" s="116" t="s">
        <v>440</v>
      </c>
      <c r="D67" s="70">
        <v>5</v>
      </c>
      <c r="E67" s="61">
        <v>7.25</v>
      </c>
      <c r="F67" s="61">
        <v>5</v>
      </c>
      <c r="G67" s="64">
        <v>8.25</v>
      </c>
      <c r="H67" s="101">
        <v>2.36</v>
      </c>
      <c r="I67" s="105">
        <v>5</v>
      </c>
      <c r="J67" s="62">
        <v>8.75</v>
      </c>
      <c r="K67" s="62">
        <v>5</v>
      </c>
      <c r="L67" s="64">
        <v>9.75</v>
      </c>
      <c r="M67" s="62">
        <v>18</v>
      </c>
      <c r="N67" s="101">
        <v>3.03</v>
      </c>
      <c r="O67" s="110"/>
      <c r="P67" s="149">
        <v>1</v>
      </c>
      <c r="Q67" s="148">
        <v>45</v>
      </c>
      <c r="R67" s="148">
        <f>P67 - Q67</f>
        <v>-44</v>
      </c>
    </row>
    <row r="68" spans="1:18" ht="25.5" x14ac:dyDescent="0.2">
      <c r="A68" s="114">
        <v>23</v>
      </c>
      <c r="B68" s="50">
        <v>26</v>
      </c>
      <c r="C68" s="116" t="s">
        <v>444</v>
      </c>
      <c r="D68" s="70">
        <v>2</v>
      </c>
      <c r="E68" s="61">
        <v>4.24</v>
      </c>
      <c r="F68" s="61">
        <v>2</v>
      </c>
      <c r="G68" s="64">
        <v>4.6399999999999997</v>
      </c>
      <c r="H68" s="101">
        <v>2.2400000000000002</v>
      </c>
      <c r="I68" s="105">
        <v>2</v>
      </c>
      <c r="J68" s="62">
        <v>4.24</v>
      </c>
      <c r="K68" s="62">
        <v>2</v>
      </c>
      <c r="L68" s="64">
        <v>4.6399999999999997</v>
      </c>
      <c r="M68" s="62">
        <v>9.2799999999999994</v>
      </c>
      <c r="N68" s="101">
        <v>2.14</v>
      </c>
      <c r="O68" s="110"/>
      <c r="P68" s="149">
        <v>23</v>
      </c>
      <c r="Q68" s="148">
        <v>67</v>
      </c>
      <c r="R68" s="148">
        <f>P68 - Q68</f>
        <v>-44</v>
      </c>
    </row>
    <row r="69" spans="1:18" ht="25.5" x14ac:dyDescent="0.2">
      <c r="A69" s="114">
        <v>4</v>
      </c>
      <c r="B69" s="63">
        <v>63</v>
      </c>
      <c r="C69" s="116" t="s">
        <v>459</v>
      </c>
      <c r="D69" s="70">
        <v>4</v>
      </c>
      <c r="E69" s="61">
        <v>5.41</v>
      </c>
      <c r="F69" s="61">
        <v>4</v>
      </c>
      <c r="G69" s="64">
        <v>6.21</v>
      </c>
      <c r="H69" s="101">
        <v>2.11</v>
      </c>
      <c r="I69" s="105">
        <v>2</v>
      </c>
      <c r="J69" s="62">
        <v>4.92</v>
      </c>
      <c r="K69" s="62">
        <v>2</v>
      </c>
      <c r="L69" s="64">
        <v>5.32</v>
      </c>
      <c r="M69" s="62">
        <v>11.53</v>
      </c>
      <c r="N69" s="101">
        <v>2.54</v>
      </c>
      <c r="O69" s="110"/>
      <c r="P69" s="149">
        <v>4</v>
      </c>
      <c r="Q69" s="148">
        <v>49</v>
      </c>
      <c r="R69" s="148">
        <f>P69 - Q69</f>
        <v>-45</v>
      </c>
    </row>
    <row r="70" spans="1:18" ht="25.5" x14ac:dyDescent="0.2">
      <c r="A70" s="114">
        <v>22</v>
      </c>
      <c r="B70" s="50">
        <v>5</v>
      </c>
      <c r="C70" s="116" t="s">
        <v>438</v>
      </c>
      <c r="D70" s="70">
        <v>2</v>
      </c>
      <c r="E70" s="61">
        <v>4.29</v>
      </c>
      <c r="F70" s="61">
        <v>2</v>
      </c>
      <c r="G70" s="64">
        <v>4.6900000000000004</v>
      </c>
      <c r="H70" s="101">
        <v>2.3199999999999998</v>
      </c>
      <c r="I70" s="105">
        <v>2</v>
      </c>
      <c r="J70" s="62">
        <v>3.6</v>
      </c>
      <c r="K70" s="62">
        <v>2</v>
      </c>
      <c r="L70" s="64">
        <v>4</v>
      </c>
      <c r="M70" s="62">
        <v>8.69</v>
      </c>
      <c r="N70" s="101">
        <v>1.81</v>
      </c>
      <c r="O70" s="110"/>
      <c r="P70" s="149">
        <v>22</v>
      </c>
      <c r="Q70" s="148">
        <v>68</v>
      </c>
      <c r="R70" s="148">
        <f>P70 - Q70</f>
        <v>-46</v>
      </c>
    </row>
    <row r="71" spans="1:18" ht="25.5" x14ac:dyDescent="0.2">
      <c r="A71" s="114">
        <v>5</v>
      </c>
      <c r="B71" s="63">
        <v>15</v>
      </c>
      <c r="C71" s="116" t="s">
        <v>323</v>
      </c>
      <c r="D71" s="70">
        <v>3</v>
      </c>
      <c r="E71" s="61">
        <v>5.4</v>
      </c>
      <c r="F71" s="61">
        <v>3</v>
      </c>
      <c r="G71" s="64">
        <v>6</v>
      </c>
      <c r="H71" s="101">
        <v>2.35</v>
      </c>
      <c r="I71" s="105">
        <v>2</v>
      </c>
      <c r="J71" s="62">
        <v>4.04</v>
      </c>
      <c r="K71" s="62">
        <v>2</v>
      </c>
      <c r="L71" s="64">
        <v>4.4400000000000004</v>
      </c>
      <c r="M71" s="62">
        <v>10.44</v>
      </c>
      <c r="N71" s="101">
        <v>2.11</v>
      </c>
      <c r="O71" s="110"/>
      <c r="P71" s="149">
        <v>5</v>
      </c>
      <c r="Q71" s="148">
        <v>55</v>
      </c>
      <c r="R71" s="148">
        <f>P71 - Q71</f>
        <v>-50</v>
      </c>
    </row>
    <row r="72" spans="1:18" ht="25.5" x14ac:dyDescent="0.2">
      <c r="A72" s="114">
        <v>17</v>
      </c>
      <c r="B72" s="50">
        <v>22</v>
      </c>
      <c r="C72" s="116" t="s">
        <v>287</v>
      </c>
      <c r="D72" s="70">
        <v>2</v>
      </c>
      <c r="E72" s="61">
        <v>4.3899999999999997</v>
      </c>
      <c r="F72" s="61">
        <v>2</v>
      </c>
      <c r="G72" s="64">
        <v>4.79</v>
      </c>
      <c r="H72" s="101">
        <v>2.2999999999999998</v>
      </c>
      <c r="I72" s="105">
        <v>5</v>
      </c>
      <c r="J72" s="62">
        <v>7.22</v>
      </c>
      <c r="K72" s="62">
        <v>5</v>
      </c>
      <c r="L72" s="64">
        <v>8.2200000000000006</v>
      </c>
      <c r="M72" s="62">
        <v>13.01</v>
      </c>
      <c r="N72" s="101">
        <v>2.46</v>
      </c>
      <c r="O72" s="110"/>
      <c r="P72" s="149">
        <v>17</v>
      </c>
      <c r="Q72" s="148">
        <v>68</v>
      </c>
      <c r="R72" s="148">
        <f>P72 - Q72</f>
        <v>-51</v>
      </c>
    </row>
    <row r="73" spans="1:18" ht="25.5" x14ac:dyDescent="0.2">
      <c r="A73" s="114">
        <v>15</v>
      </c>
      <c r="B73" s="63">
        <v>39</v>
      </c>
      <c r="C73" s="116" t="s">
        <v>307</v>
      </c>
      <c r="D73" s="70">
        <v>2</v>
      </c>
      <c r="E73" s="61">
        <v>4.5199999999999996</v>
      </c>
      <c r="F73" s="61">
        <v>2</v>
      </c>
      <c r="G73" s="64">
        <v>4.92</v>
      </c>
      <c r="H73" s="101">
        <v>2.35</v>
      </c>
      <c r="I73" s="105">
        <v>2</v>
      </c>
      <c r="J73" s="62">
        <v>5.52</v>
      </c>
      <c r="K73" s="62">
        <v>2</v>
      </c>
      <c r="L73" s="64">
        <v>5.92</v>
      </c>
      <c r="M73" s="62">
        <v>10.84</v>
      </c>
      <c r="N73" s="101">
        <v>2.38</v>
      </c>
      <c r="O73" s="110"/>
      <c r="P73" s="149">
        <v>15</v>
      </c>
      <c r="Q73" s="148">
        <v>68</v>
      </c>
      <c r="R73" s="148">
        <f>P73 - Q73</f>
        <v>-53</v>
      </c>
    </row>
    <row r="74" spans="1:18" ht="25.5" x14ac:dyDescent="0.2">
      <c r="A74" s="114">
        <v>8</v>
      </c>
      <c r="B74" s="50">
        <v>9</v>
      </c>
      <c r="C74" s="116" t="s">
        <v>238</v>
      </c>
      <c r="D74" s="70">
        <v>3</v>
      </c>
      <c r="E74" s="61">
        <v>4.99</v>
      </c>
      <c r="F74" s="61">
        <v>3</v>
      </c>
      <c r="G74" s="64">
        <v>5.59</v>
      </c>
      <c r="H74" s="101">
        <v>2.1</v>
      </c>
      <c r="I74" s="105">
        <v>2</v>
      </c>
      <c r="J74" s="62">
        <v>3.98</v>
      </c>
      <c r="K74" s="62">
        <v>2</v>
      </c>
      <c r="L74" s="64">
        <v>4.38</v>
      </c>
      <c r="M74" s="62">
        <v>9.9700000000000006</v>
      </c>
      <c r="N74" s="101">
        <v>2.0699999999999998</v>
      </c>
      <c r="O74" s="110"/>
      <c r="P74" s="149">
        <v>8</v>
      </c>
      <c r="Q74" s="148">
        <v>62</v>
      </c>
      <c r="R74" s="148">
        <f>P74 - Q74</f>
        <v>-54</v>
      </c>
    </row>
    <row r="75" spans="1:18" ht="25.5" x14ac:dyDescent="0.2">
      <c r="A75" s="114">
        <v>7</v>
      </c>
      <c r="B75" s="63">
        <v>28</v>
      </c>
      <c r="C75" s="116" t="s">
        <v>326</v>
      </c>
      <c r="D75" s="70">
        <v>3</v>
      </c>
      <c r="E75" s="61">
        <v>5.2</v>
      </c>
      <c r="F75" s="61">
        <v>3</v>
      </c>
      <c r="G75" s="64">
        <v>5.8</v>
      </c>
      <c r="H75" s="101">
        <v>2.27</v>
      </c>
      <c r="I75" s="105">
        <v>3</v>
      </c>
      <c r="J75" s="62">
        <v>4.92</v>
      </c>
      <c r="K75" s="62">
        <v>3</v>
      </c>
      <c r="L75" s="64">
        <v>5.52</v>
      </c>
      <c r="M75" s="62">
        <v>11.32</v>
      </c>
      <c r="N75" s="101">
        <v>2.15</v>
      </c>
      <c r="O75" s="110"/>
      <c r="P75" s="149">
        <v>7</v>
      </c>
      <c r="Q75" s="148">
        <v>65</v>
      </c>
      <c r="R75" s="148">
        <f>P75 - Q75</f>
        <v>-58</v>
      </c>
    </row>
    <row r="76" spans="1:18" ht="25.5" x14ac:dyDescent="0.2">
      <c r="A76" s="114">
        <v>9</v>
      </c>
      <c r="B76" s="50">
        <v>18</v>
      </c>
      <c r="C76" s="116" t="s">
        <v>363</v>
      </c>
      <c r="D76" s="70">
        <v>2</v>
      </c>
      <c r="E76" s="61">
        <v>5.16</v>
      </c>
      <c r="F76" s="61">
        <v>2</v>
      </c>
      <c r="G76" s="64">
        <v>5.56</v>
      </c>
      <c r="H76" s="101">
        <v>2.81</v>
      </c>
      <c r="I76" s="105">
        <v>3</v>
      </c>
      <c r="J76" s="62">
        <v>5.15</v>
      </c>
      <c r="K76" s="62">
        <v>3</v>
      </c>
      <c r="L76" s="64">
        <v>5.75</v>
      </c>
      <c r="M76" s="62">
        <v>11.31</v>
      </c>
      <c r="N76" s="101">
        <v>2.3199999999999998</v>
      </c>
      <c r="O76" s="110"/>
      <c r="P76" s="149">
        <v>9</v>
      </c>
      <c r="Q76" s="148">
        <v>68</v>
      </c>
      <c r="R76" s="148">
        <f>P76 - Q76</f>
        <v>-59</v>
      </c>
    </row>
    <row r="77" spans="1:18" ht="13.5" thickBot="1" x14ac:dyDescent="0.25">
      <c r="A77" s="114"/>
      <c r="B77" s="63"/>
      <c r="C77" s="116"/>
      <c r="D77" s="70"/>
      <c r="E77" s="61"/>
      <c r="F77" s="61"/>
      <c r="G77" s="64"/>
      <c r="H77" s="101"/>
      <c r="I77" s="105"/>
      <c r="J77" s="62"/>
      <c r="K77" s="62"/>
      <c r="L77" s="64"/>
      <c r="M77" s="62"/>
      <c r="N77" s="101"/>
      <c r="O77" s="111"/>
      <c r="P77" s="151"/>
      <c r="Q77" s="148"/>
      <c r="R77" s="148"/>
    </row>
    <row r="78" spans="1:18" x14ac:dyDescent="0.2">
      <c r="A78" s="114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  <c r="P78" s="165"/>
      <c r="Q78" s="148"/>
      <c r="R78" s="148"/>
    </row>
    <row r="79" spans="1:18" x14ac:dyDescent="0.2">
      <c r="A79" s="114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  <c r="P79" s="152"/>
      <c r="Q79" s="148"/>
      <c r="R79" s="148"/>
    </row>
    <row r="80" spans="1:18" x14ac:dyDescent="0.2">
      <c r="A80" s="114"/>
      <c r="B80" s="50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  <c r="P80" s="152"/>
      <c r="Q80" s="148"/>
      <c r="R80" s="148"/>
    </row>
    <row r="81" spans="1:18" x14ac:dyDescent="0.2">
      <c r="A81" s="114"/>
      <c r="B81" s="50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  <c r="P81" s="152"/>
      <c r="Q81" s="148"/>
      <c r="R81" s="148"/>
    </row>
    <row r="82" spans="1:18" x14ac:dyDescent="0.2">
      <c r="A82" s="114"/>
      <c r="B82" s="50"/>
      <c r="C82" s="116"/>
      <c r="D82" s="70"/>
      <c r="E82" s="61"/>
      <c r="F82" s="61"/>
      <c r="G82" s="64"/>
      <c r="H82" s="101"/>
      <c r="I82" s="105"/>
      <c r="J82" s="62"/>
      <c r="K82" s="62"/>
      <c r="L82" s="64"/>
      <c r="M82" s="62"/>
      <c r="N82" s="101"/>
      <c r="O82" s="27"/>
      <c r="P82" s="152"/>
    </row>
    <row r="83" spans="1:18" x14ac:dyDescent="0.2">
      <c r="A83" s="114"/>
      <c r="B83" s="50"/>
      <c r="C83" s="116"/>
      <c r="D83" s="70"/>
      <c r="E83" s="61"/>
      <c r="F83" s="61"/>
      <c r="G83" s="64"/>
      <c r="H83" s="101"/>
      <c r="I83" s="105"/>
      <c r="J83" s="62"/>
      <c r="K83" s="62"/>
      <c r="L83" s="64"/>
      <c r="M83" s="62"/>
      <c r="N83" s="101"/>
      <c r="O83" s="27"/>
      <c r="P83" s="152"/>
    </row>
    <row r="84" spans="1:18" x14ac:dyDescent="0.2">
      <c r="A84" s="114"/>
      <c r="B84" s="50"/>
      <c r="C84" s="116"/>
      <c r="D84" s="70"/>
      <c r="E84" s="61"/>
      <c r="F84" s="61"/>
      <c r="G84" s="64"/>
      <c r="H84" s="101"/>
      <c r="I84" s="105"/>
      <c r="J84" s="62"/>
      <c r="K84" s="62"/>
      <c r="L84" s="64"/>
      <c r="M84" s="62"/>
      <c r="N84" s="101"/>
      <c r="O84" s="27"/>
      <c r="P84" s="152"/>
    </row>
    <row r="85" spans="1:18" x14ac:dyDescent="0.2">
      <c r="A85" s="114"/>
      <c r="B85" s="50"/>
      <c r="C85" s="116"/>
      <c r="D85" s="70"/>
      <c r="E85" s="61"/>
      <c r="F85" s="61"/>
      <c r="G85" s="64"/>
      <c r="H85" s="101"/>
      <c r="I85" s="105"/>
      <c r="J85" s="62"/>
      <c r="K85" s="62"/>
      <c r="L85" s="64"/>
      <c r="M85" s="62"/>
      <c r="N85" s="101"/>
      <c r="O85" s="27"/>
      <c r="P85" s="152"/>
    </row>
    <row r="86" spans="1:18" x14ac:dyDescent="0.2">
      <c r="A86" s="114"/>
      <c r="B86" s="50"/>
      <c r="C86" s="116"/>
      <c r="D86" s="70"/>
      <c r="E86" s="61"/>
      <c r="F86" s="61"/>
      <c r="G86" s="64"/>
      <c r="H86" s="101"/>
      <c r="I86" s="105"/>
      <c r="J86" s="62"/>
      <c r="K86" s="62"/>
      <c r="L86" s="64"/>
      <c r="M86" s="62"/>
      <c r="N86" s="101"/>
      <c r="O86" s="27"/>
      <c r="P86" s="152"/>
    </row>
    <row r="87" spans="1:18" x14ac:dyDescent="0.2">
      <c r="A87" s="114"/>
      <c r="B87" s="50"/>
      <c r="C87" s="116"/>
      <c r="D87" s="70"/>
      <c r="E87" s="61"/>
      <c r="F87" s="61"/>
      <c r="G87" s="64"/>
      <c r="H87" s="101"/>
      <c r="I87" s="105"/>
      <c r="J87" s="62"/>
      <c r="K87" s="62"/>
      <c r="L87" s="64"/>
      <c r="M87" s="62"/>
      <c r="N87" s="101"/>
      <c r="O87" s="27"/>
      <c r="P87" s="152"/>
    </row>
    <row r="88" spans="1:18" x14ac:dyDescent="0.2">
      <c r="A88" s="114"/>
      <c r="B88" s="50"/>
      <c r="C88" s="116"/>
      <c r="D88" s="70"/>
      <c r="E88" s="61"/>
      <c r="F88" s="61"/>
      <c r="G88" s="64"/>
      <c r="H88" s="101"/>
      <c r="I88" s="105"/>
      <c r="J88" s="62"/>
      <c r="K88" s="62"/>
      <c r="L88" s="64"/>
      <c r="M88" s="62"/>
      <c r="N88" s="101"/>
      <c r="O88" s="27"/>
      <c r="P88" s="152"/>
    </row>
    <row r="89" spans="1:18" x14ac:dyDescent="0.2">
      <c r="A89" s="114"/>
      <c r="B89" s="50"/>
      <c r="C89" s="116"/>
      <c r="D89" s="70"/>
      <c r="E89" s="61"/>
      <c r="F89" s="61"/>
      <c r="G89" s="64"/>
      <c r="H89" s="101"/>
      <c r="I89" s="105"/>
      <c r="J89" s="62"/>
      <c r="K89" s="62"/>
      <c r="L89" s="64"/>
      <c r="M89" s="62"/>
      <c r="N89" s="101"/>
      <c r="O89" s="27"/>
      <c r="P89" s="152"/>
    </row>
    <row r="90" spans="1:18" x14ac:dyDescent="0.2">
      <c r="A90" s="114"/>
      <c r="B90" s="50"/>
      <c r="C90" s="116"/>
      <c r="D90" s="70"/>
      <c r="E90" s="61"/>
      <c r="F90" s="61"/>
      <c r="G90" s="64"/>
      <c r="H90" s="101"/>
      <c r="I90" s="105"/>
      <c r="J90" s="62"/>
      <c r="K90" s="62"/>
      <c r="L90" s="64"/>
      <c r="M90" s="62"/>
      <c r="N90" s="101"/>
      <c r="O90" s="27"/>
      <c r="P90" s="152"/>
    </row>
    <row r="91" spans="1:18" x14ac:dyDescent="0.2">
      <c r="A91" s="114"/>
      <c r="B91" s="50"/>
      <c r="C91" s="116"/>
      <c r="D91" s="70"/>
      <c r="E91" s="61"/>
      <c r="F91" s="61"/>
      <c r="G91" s="64"/>
      <c r="H91" s="101"/>
      <c r="I91" s="105"/>
      <c r="J91" s="62"/>
      <c r="K91" s="62"/>
      <c r="L91" s="64"/>
      <c r="M91" s="62"/>
      <c r="N91" s="101"/>
      <c r="O91" s="27"/>
      <c r="P91" s="152"/>
    </row>
    <row r="92" spans="1:18" x14ac:dyDescent="0.2">
      <c r="A92" s="114"/>
      <c r="B92" s="50"/>
      <c r="C92" s="116"/>
      <c r="D92" s="70"/>
      <c r="E92" s="61"/>
      <c r="F92" s="61"/>
      <c r="G92" s="64"/>
      <c r="H92" s="101"/>
      <c r="I92" s="105"/>
      <c r="J92" s="62"/>
      <c r="K92" s="62"/>
      <c r="L92" s="64"/>
      <c r="M92" s="62"/>
      <c r="N92" s="101"/>
      <c r="O92" s="27"/>
      <c r="P92" s="152"/>
    </row>
    <row r="93" spans="1:18" x14ac:dyDescent="0.2">
      <c r="A93" s="114"/>
      <c r="B93" s="50"/>
      <c r="C93" s="116"/>
      <c r="D93" s="70"/>
      <c r="E93" s="61"/>
      <c r="F93" s="61"/>
      <c r="G93" s="64"/>
      <c r="H93" s="101"/>
      <c r="I93" s="105"/>
      <c r="J93" s="62"/>
      <c r="K93" s="62"/>
      <c r="L93" s="64"/>
      <c r="M93" s="62"/>
      <c r="N93" s="101"/>
      <c r="O93" s="27"/>
      <c r="P93" s="152"/>
    </row>
    <row r="94" spans="1:18" x14ac:dyDescent="0.2">
      <c r="A94" s="114"/>
      <c r="B94" s="50"/>
      <c r="C94" s="116"/>
      <c r="D94" s="70"/>
      <c r="E94" s="61"/>
      <c r="F94" s="61"/>
      <c r="G94" s="64"/>
      <c r="H94" s="101"/>
      <c r="I94" s="105"/>
      <c r="J94" s="62"/>
      <c r="K94" s="62"/>
      <c r="L94" s="64"/>
      <c r="M94" s="62"/>
      <c r="N94" s="101"/>
      <c r="O94" s="27"/>
      <c r="P94" s="152"/>
    </row>
    <row r="95" spans="1:18" x14ac:dyDescent="0.2">
      <c r="A95" s="114"/>
      <c r="B95" s="50"/>
      <c r="C95" s="116"/>
      <c r="D95" s="70"/>
      <c r="E95" s="61"/>
      <c r="F95" s="61"/>
      <c r="G95" s="64"/>
      <c r="H95" s="101"/>
      <c r="I95" s="105"/>
      <c r="J95" s="62"/>
      <c r="K95" s="62"/>
      <c r="L95" s="64"/>
      <c r="M95" s="62"/>
      <c r="N95" s="101"/>
      <c r="O95" s="27"/>
      <c r="P95" s="152"/>
    </row>
    <row r="96" spans="1:18" x14ac:dyDescent="0.2">
      <c r="A96" s="114"/>
      <c r="B96" s="50"/>
      <c r="C96" s="116"/>
      <c r="D96" s="70"/>
      <c r="E96" s="61"/>
      <c r="F96" s="61"/>
      <c r="G96" s="64"/>
      <c r="H96" s="101"/>
      <c r="I96" s="105"/>
      <c r="J96" s="62"/>
      <c r="K96" s="62"/>
      <c r="L96" s="64"/>
      <c r="M96" s="62"/>
      <c r="N96" s="101"/>
      <c r="O96" s="27"/>
      <c r="P96" s="152"/>
    </row>
    <row r="97" spans="1:16" x14ac:dyDescent="0.2">
      <c r="A97" s="114"/>
      <c r="B97" s="50"/>
      <c r="C97" s="116"/>
      <c r="D97" s="70"/>
      <c r="E97" s="61"/>
      <c r="F97" s="61"/>
      <c r="G97" s="64"/>
      <c r="H97" s="101"/>
      <c r="I97" s="105"/>
      <c r="J97" s="62"/>
      <c r="K97" s="62"/>
      <c r="L97" s="64"/>
      <c r="M97" s="62"/>
      <c r="N97" s="101"/>
      <c r="O97" s="27"/>
      <c r="P97" s="152"/>
    </row>
    <row r="98" spans="1:16" x14ac:dyDescent="0.2">
      <c r="A98" s="114"/>
      <c r="B98" s="50"/>
      <c r="C98" s="116"/>
      <c r="D98" s="70"/>
      <c r="E98" s="61"/>
      <c r="F98" s="61"/>
      <c r="G98" s="64"/>
      <c r="H98" s="101"/>
      <c r="I98" s="105"/>
      <c r="J98" s="62"/>
      <c r="K98" s="62"/>
      <c r="L98" s="64"/>
      <c r="M98" s="62"/>
      <c r="N98" s="101"/>
      <c r="O98" s="27"/>
      <c r="P98" s="152"/>
    </row>
    <row r="99" spans="1:16" x14ac:dyDescent="0.2">
      <c r="A99" s="114"/>
      <c r="B99" s="50"/>
      <c r="C99" s="116"/>
      <c r="D99" s="70"/>
      <c r="E99" s="61"/>
      <c r="F99" s="61"/>
      <c r="G99" s="64"/>
      <c r="H99" s="101"/>
      <c r="I99" s="105"/>
      <c r="J99" s="62"/>
      <c r="K99" s="62"/>
      <c r="L99" s="64"/>
      <c r="M99" s="62"/>
      <c r="N99" s="101"/>
      <c r="O99" s="27"/>
      <c r="P99" s="152"/>
    </row>
    <row r="100" spans="1:16" x14ac:dyDescent="0.2">
      <c r="A100" s="114"/>
      <c r="B100" s="50"/>
      <c r="C100" s="116"/>
      <c r="D100" s="70"/>
      <c r="E100" s="61"/>
      <c r="F100" s="61"/>
      <c r="G100" s="64"/>
      <c r="H100" s="101"/>
      <c r="I100" s="105"/>
      <c r="J100" s="62"/>
      <c r="K100" s="62"/>
      <c r="L100" s="64"/>
      <c r="M100" s="62"/>
      <c r="N100" s="101"/>
      <c r="O100" s="27"/>
      <c r="P100" s="152"/>
    </row>
    <row r="101" spans="1:16" x14ac:dyDescent="0.2">
      <c r="A101" s="114"/>
      <c r="B101" s="50"/>
      <c r="C101" s="116"/>
      <c r="D101" s="70"/>
      <c r="E101" s="61"/>
      <c r="F101" s="61"/>
      <c r="G101" s="64"/>
      <c r="H101" s="101"/>
      <c r="I101" s="105"/>
      <c r="J101" s="62"/>
      <c r="K101" s="62"/>
      <c r="L101" s="64"/>
      <c r="M101" s="62"/>
      <c r="N101" s="101"/>
      <c r="O101" s="27"/>
      <c r="P101" s="152"/>
    </row>
    <row r="102" spans="1:16" x14ac:dyDescent="0.2">
      <c r="A102" s="114"/>
      <c r="B102" s="50"/>
      <c r="C102" s="116"/>
      <c r="D102" s="70"/>
      <c r="E102" s="61"/>
      <c r="F102" s="61"/>
      <c r="G102" s="64"/>
      <c r="H102" s="101"/>
      <c r="I102" s="105"/>
      <c r="J102" s="62"/>
      <c r="K102" s="62"/>
      <c r="L102" s="64"/>
      <c r="M102" s="62"/>
      <c r="N102" s="101"/>
      <c r="O102" s="27"/>
      <c r="P102" s="152"/>
    </row>
    <row r="103" spans="1:16" x14ac:dyDescent="0.2">
      <c r="A103" s="114"/>
      <c r="B103" s="50"/>
      <c r="C103" s="116"/>
      <c r="D103" s="70"/>
      <c r="E103" s="61"/>
      <c r="F103" s="61"/>
      <c r="G103" s="64"/>
      <c r="H103" s="101"/>
      <c r="I103" s="105"/>
      <c r="J103" s="62"/>
      <c r="K103" s="62"/>
      <c r="L103" s="64"/>
      <c r="M103" s="62"/>
      <c r="N103" s="101"/>
      <c r="O103" s="27"/>
      <c r="P103" s="152"/>
    </row>
    <row r="104" spans="1:16" x14ac:dyDescent="0.2">
      <c r="A104" s="114"/>
      <c r="B104" s="50"/>
      <c r="C104" s="116"/>
      <c r="D104" s="70"/>
      <c r="E104" s="61"/>
      <c r="F104" s="61"/>
      <c r="G104" s="64"/>
      <c r="H104" s="101"/>
      <c r="I104" s="105"/>
      <c r="J104" s="62"/>
      <c r="K104" s="62"/>
      <c r="L104" s="64"/>
      <c r="M104" s="62"/>
      <c r="N104" s="101"/>
      <c r="O104" s="27"/>
      <c r="P104" s="152"/>
    </row>
    <row r="105" spans="1:16" x14ac:dyDescent="0.2">
      <c r="A105" s="114"/>
      <c r="B105" s="50"/>
      <c r="C105" s="116"/>
      <c r="D105" s="70"/>
      <c r="E105" s="61"/>
      <c r="F105" s="61"/>
      <c r="G105" s="64"/>
      <c r="H105" s="101"/>
      <c r="I105" s="105"/>
      <c r="J105" s="62"/>
      <c r="K105" s="62"/>
      <c r="L105" s="64"/>
      <c r="M105" s="62"/>
      <c r="N105" s="101"/>
      <c r="O105" s="27"/>
      <c r="P105" s="152"/>
    </row>
    <row r="106" spans="1:16" x14ac:dyDescent="0.2">
      <c r="A106" s="114"/>
      <c r="B106" s="50"/>
      <c r="C106" s="116"/>
      <c r="D106" s="70"/>
      <c r="E106" s="61"/>
      <c r="F106" s="61"/>
      <c r="G106" s="64"/>
      <c r="H106" s="101"/>
      <c r="I106" s="105"/>
      <c r="J106" s="62"/>
      <c r="K106" s="62"/>
      <c r="L106" s="64"/>
      <c r="M106" s="62"/>
      <c r="N106" s="101"/>
      <c r="O106" s="27"/>
      <c r="P106" s="152"/>
    </row>
    <row r="107" spans="1:16" x14ac:dyDescent="0.2">
      <c r="A107" s="114"/>
      <c r="B107" s="50"/>
      <c r="C107" s="116"/>
      <c r="D107" s="70"/>
      <c r="E107" s="61"/>
      <c r="F107" s="61"/>
      <c r="G107" s="64"/>
      <c r="H107" s="101"/>
      <c r="I107" s="105"/>
      <c r="J107" s="62"/>
      <c r="K107" s="62"/>
      <c r="L107" s="64"/>
      <c r="M107" s="62"/>
      <c r="N107" s="101"/>
      <c r="O107" s="27"/>
      <c r="P107" s="152"/>
    </row>
    <row r="108" spans="1:16" x14ac:dyDescent="0.2">
      <c r="A108" s="114"/>
      <c r="B108" s="50"/>
      <c r="C108" s="116"/>
      <c r="D108" s="70"/>
      <c r="E108" s="61"/>
      <c r="F108" s="61"/>
      <c r="G108" s="64"/>
      <c r="H108" s="101"/>
      <c r="I108" s="105"/>
      <c r="J108" s="62"/>
      <c r="K108" s="62"/>
      <c r="L108" s="64"/>
      <c r="M108" s="62"/>
      <c r="N108" s="101"/>
      <c r="O108" s="27"/>
      <c r="P108" s="152"/>
    </row>
    <row r="109" spans="1:16" x14ac:dyDescent="0.2">
      <c r="A109" s="114"/>
      <c r="B109" s="50"/>
      <c r="C109" s="116"/>
      <c r="D109" s="70"/>
      <c r="E109" s="61"/>
      <c r="F109" s="61"/>
      <c r="G109" s="64"/>
      <c r="H109" s="101"/>
      <c r="I109" s="105"/>
      <c r="J109" s="62"/>
      <c r="K109" s="62"/>
      <c r="L109" s="64"/>
      <c r="M109" s="62"/>
      <c r="N109" s="101"/>
      <c r="O109" s="27"/>
      <c r="P109" s="152"/>
    </row>
    <row r="110" spans="1:16" x14ac:dyDescent="0.2">
      <c r="A110" s="114"/>
      <c r="B110" s="50"/>
      <c r="C110" s="116"/>
      <c r="D110" s="70"/>
      <c r="E110" s="61"/>
      <c r="F110" s="61"/>
      <c r="G110" s="64"/>
      <c r="H110" s="101"/>
      <c r="I110" s="105"/>
      <c r="J110" s="62"/>
      <c r="K110" s="62"/>
      <c r="L110" s="64"/>
      <c r="M110" s="62"/>
      <c r="N110" s="101"/>
      <c r="O110" s="27"/>
      <c r="P110" s="152"/>
    </row>
    <row r="111" spans="1:16" x14ac:dyDescent="0.2">
      <c r="A111" s="114"/>
      <c r="B111" s="50"/>
      <c r="C111" s="116"/>
      <c r="D111" s="70"/>
      <c r="E111" s="61"/>
      <c r="F111" s="61"/>
      <c r="G111" s="64"/>
      <c r="H111" s="101"/>
      <c r="I111" s="105"/>
      <c r="J111" s="62"/>
      <c r="K111" s="62"/>
      <c r="L111" s="64"/>
      <c r="M111" s="62"/>
      <c r="N111" s="101"/>
      <c r="O111" s="27"/>
      <c r="P111" s="152"/>
    </row>
    <row r="112" spans="1:16" x14ac:dyDescent="0.2">
      <c r="A112" s="114"/>
      <c r="B112" s="50"/>
      <c r="C112" s="116"/>
      <c r="D112" s="70"/>
      <c r="E112" s="61"/>
      <c r="F112" s="61"/>
      <c r="G112" s="64"/>
      <c r="H112" s="101"/>
      <c r="I112" s="105"/>
      <c r="J112" s="62"/>
      <c r="K112" s="62"/>
      <c r="L112" s="64"/>
      <c r="M112" s="62"/>
      <c r="N112" s="101"/>
      <c r="O112" s="27"/>
      <c r="P112" s="152"/>
    </row>
    <row r="113" spans="1:16" x14ac:dyDescent="0.2">
      <c r="A113" s="114"/>
      <c r="B113" s="50"/>
      <c r="C113" s="116"/>
      <c r="D113" s="70"/>
      <c r="E113" s="61"/>
      <c r="F113" s="61"/>
      <c r="G113" s="64"/>
      <c r="H113" s="101"/>
      <c r="I113" s="105"/>
      <c r="J113" s="62"/>
      <c r="K113" s="62"/>
      <c r="L113" s="64"/>
      <c r="M113" s="62"/>
      <c r="N113" s="101"/>
      <c r="O113" s="27"/>
      <c r="P113" s="152"/>
    </row>
    <row r="114" spans="1:16" x14ac:dyDescent="0.2">
      <c r="A114" s="114"/>
      <c r="B114" s="50"/>
      <c r="C114" s="116"/>
      <c r="D114" s="70"/>
      <c r="E114" s="61"/>
      <c r="F114" s="61"/>
      <c r="G114" s="64"/>
      <c r="H114" s="101"/>
      <c r="I114" s="105"/>
      <c r="J114" s="62"/>
      <c r="K114" s="62"/>
      <c r="L114" s="64"/>
      <c r="M114" s="62"/>
      <c r="N114" s="101"/>
      <c r="O114" s="27"/>
      <c r="P114" s="152"/>
    </row>
    <row r="115" spans="1:16" x14ac:dyDescent="0.2">
      <c r="A115" s="114"/>
      <c r="B115" s="50"/>
      <c r="C115" s="116"/>
      <c r="D115" s="70"/>
      <c r="E115" s="61"/>
      <c r="F115" s="61"/>
      <c r="G115" s="64"/>
      <c r="H115" s="101"/>
      <c r="I115" s="105"/>
      <c r="J115" s="62"/>
      <c r="K115" s="62"/>
      <c r="L115" s="64"/>
      <c r="M115" s="62"/>
      <c r="N115" s="101"/>
      <c r="O115" s="27"/>
      <c r="P115" s="152"/>
    </row>
    <row r="116" spans="1:16" x14ac:dyDescent="0.2">
      <c r="A116" s="114"/>
      <c r="B116" s="50"/>
      <c r="C116" s="116"/>
      <c r="D116" s="70"/>
      <c r="E116" s="61"/>
      <c r="F116" s="61"/>
      <c r="G116" s="64"/>
      <c r="H116" s="101"/>
      <c r="I116" s="105"/>
      <c r="J116" s="62"/>
      <c r="K116" s="62"/>
      <c r="L116" s="64"/>
      <c r="M116" s="62"/>
      <c r="N116" s="101"/>
      <c r="O116" s="27"/>
      <c r="P116" s="152"/>
    </row>
    <row r="117" spans="1:16" x14ac:dyDescent="0.2">
      <c r="A117" s="114"/>
      <c r="B117" s="50"/>
      <c r="C117" s="116"/>
      <c r="D117" s="70"/>
      <c r="E117" s="61"/>
      <c r="F117" s="61"/>
      <c r="G117" s="64"/>
      <c r="H117" s="101"/>
      <c r="I117" s="105"/>
      <c r="J117" s="62"/>
      <c r="K117" s="62"/>
      <c r="L117" s="64"/>
      <c r="M117" s="62"/>
      <c r="N117" s="101"/>
      <c r="O117" s="27"/>
      <c r="P117" s="152"/>
    </row>
    <row r="118" spans="1:16" x14ac:dyDescent="0.2">
      <c r="A118" s="114"/>
      <c r="B118" s="50"/>
      <c r="C118" s="116"/>
      <c r="D118" s="70"/>
      <c r="E118" s="61"/>
      <c r="F118" s="61"/>
      <c r="G118" s="64"/>
      <c r="H118" s="101"/>
      <c r="I118" s="105"/>
      <c r="J118" s="62"/>
      <c r="K118" s="62"/>
      <c r="L118" s="64"/>
      <c r="M118" s="62"/>
      <c r="N118" s="101"/>
      <c r="O118" s="27"/>
      <c r="P118" s="152"/>
    </row>
    <row r="119" spans="1:16" x14ac:dyDescent="0.2">
      <c r="A119" s="114"/>
      <c r="B119" s="50"/>
      <c r="C119" s="116"/>
      <c r="D119" s="70"/>
      <c r="E119" s="61"/>
      <c r="F119" s="61"/>
      <c r="G119" s="64"/>
      <c r="H119" s="101"/>
      <c r="I119" s="105"/>
      <c r="J119" s="62"/>
      <c r="K119" s="62"/>
      <c r="L119" s="64"/>
      <c r="M119" s="62"/>
      <c r="N119" s="101"/>
      <c r="O119" s="27"/>
      <c r="P119" s="152"/>
    </row>
    <row r="120" spans="1:16" x14ac:dyDescent="0.2">
      <c r="A120" s="114"/>
      <c r="B120" s="50"/>
      <c r="C120" s="116"/>
      <c r="D120" s="70"/>
      <c r="E120" s="61"/>
      <c r="F120" s="61"/>
      <c r="G120" s="64"/>
      <c r="H120" s="101"/>
      <c r="I120" s="105"/>
      <c r="J120" s="62"/>
      <c r="K120" s="62"/>
      <c r="L120" s="64"/>
      <c r="M120" s="62"/>
      <c r="N120" s="101"/>
      <c r="O120" s="27"/>
      <c r="P120" s="152"/>
    </row>
    <row r="121" spans="1:16" x14ac:dyDescent="0.2">
      <c r="A121" s="114"/>
      <c r="B121" s="50"/>
      <c r="C121" s="116"/>
      <c r="D121" s="70"/>
      <c r="E121" s="61"/>
      <c r="F121" s="61"/>
      <c r="G121" s="64"/>
      <c r="H121" s="101"/>
      <c r="I121" s="105"/>
      <c r="J121" s="62"/>
      <c r="K121" s="62"/>
      <c r="L121" s="64"/>
      <c r="M121" s="62"/>
      <c r="N121" s="101"/>
      <c r="O121" s="27"/>
      <c r="P121" s="152"/>
    </row>
    <row r="122" spans="1:16" x14ac:dyDescent="0.2">
      <c r="A122" s="114"/>
      <c r="B122" s="50"/>
      <c r="C122" s="116"/>
      <c r="D122" s="70"/>
      <c r="E122" s="61"/>
      <c r="F122" s="61"/>
      <c r="G122" s="64"/>
      <c r="H122" s="101"/>
      <c r="I122" s="105"/>
      <c r="J122" s="62"/>
      <c r="K122" s="62"/>
      <c r="L122" s="64"/>
      <c r="M122" s="62"/>
      <c r="N122" s="101"/>
      <c r="O122" s="27"/>
      <c r="P122" s="152"/>
    </row>
    <row r="123" spans="1:16" x14ac:dyDescent="0.2">
      <c r="A123" s="114"/>
      <c r="B123" s="50"/>
      <c r="C123" s="116"/>
      <c r="D123" s="70"/>
      <c r="E123" s="61"/>
      <c r="F123" s="61"/>
      <c r="G123" s="64"/>
      <c r="H123" s="101"/>
      <c r="I123" s="105"/>
      <c r="J123" s="62"/>
      <c r="K123" s="62"/>
      <c r="L123" s="64"/>
      <c r="M123" s="62"/>
      <c r="N123" s="101"/>
      <c r="O123" s="27"/>
      <c r="P123" s="152"/>
    </row>
    <row r="124" spans="1:16" x14ac:dyDescent="0.2">
      <c r="A124" s="114"/>
      <c r="B124" s="50"/>
      <c r="C124" s="116"/>
      <c r="D124" s="70"/>
      <c r="E124" s="61"/>
      <c r="F124" s="61"/>
      <c r="G124" s="64"/>
      <c r="H124" s="101"/>
      <c r="I124" s="105"/>
      <c r="J124" s="62"/>
      <c r="K124" s="62"/>
      <c r="L124" s="64"/>
      <c r="M124" s="62"/>
      <c r="N124" s="101"/>
      <c r="O124" s="27"/>
      <c r="P124" s="152"/>
    </row>
    <row r="125" spans="1:16" x14ac:dyDescent="0.2">
      <c r="A125" s="114"/>
      <c r="B125" s="50"/>
      <c r="C125" s="116"/>
      <c r="D125" s="70"/>
      <c r="E125" s="61"/>
      <c r="F125" s="61"/>
      <c r="G125" s="64"/>
      <c r="H125" s="101"/>
      <c r="I125" s="105"/>
      <c r="J125" s="62"/>
      <c r="K125" s="62"/>
      <c r="L125" s="64"/>
      <c r="M125" s="62"/>
      <c r="N125" s="101"/>
      <c r="O125" s="27"/>
      <c r="P125" s="152"/>
    </row>
    <row r="126" spans="1:16" x14ac:dyDescent="0.2">
      <c r="A126" s="114"/>
      <c r="B126" s="50"/>
      <c r="C126" s="116"/>
      <c r="D126" s="70"/>
      <c r="E126" s="61"/>
      <c r="F126" s="61"/>
      <c r="G126" s="64"/>
      <c r="H126" s="101"/>
      <c r="I126" s="105"/>
      <c r="J126" s="62"/>
      <c r="K126" s="62"/>
      <c r="L126" s="64"/>
      <c r="M126" s="62"/>
      <c r="N126" s="101"/>
      <c r="O126" s="27"/>
      <c r="P126" s="152"/>
    </row>
    <row r="127" spans="1:16" x14ac:dyDescent="0.2">
      <c r="A127" s="114"/>
      <c r="B127" s="50"/>
      <c r="C127" s="116"/>
      <c r="D127" s="70"/>
      <c r="E127" s="61"/>
      <c r="F127" s="61"/>
      <c r="G127" s="64"/>
      <c r="H127" s="101"/>
      <c r="I127" s="105"/>
      <c r="J127" s="62"/>
      <c r="K127" s="62"/>
      <c r="L127" s="64"/>
      <c r="M127" s="62"/>
      <c r="N127" s="101"/>
      <c r="O127" s="27"/>
      <c r="P127" s="152"/>
    </row>
    <row r="128" spans="1:16" x14ac:dyDescent="0.2">
      <c r="A128" s="114"/>
      <c r="B128" s="50"/>
      <c r="C128" s="116"/>
      <c r="D128" s="70"/>
      <c r="E128" s="61"/>
      <c r="F128" s="61"/>
      <c r="G128" s="64"/>
      <c r="H128" s="101"/>
      <c r="I128" s="105"/>
      <c r="J128" s="62"/>
      <c r="K128" s="62"/>
      <c r="L128" s="64"/>
      <c r="M128" s="62"/>
      <c r="N128" s="101"/>
      <c r="O128" s="27"/>
      <c r="P128" s="152"/>
    </row>
    <row r="129" spans="1:16" x14ac:dyDescent="0.2">
      <c r="A129" s="114"/>
      <c r="B129" s="50"/>
      <c r="C129" s="116"/>
      <c r="D129" s="70"/>
      <c r="E129" s="61"/>
      <c r="F129" s="61"/>
      <c r="G129" s="64"/>
      <c r="H129" s="101"/>
      <c r="I129" s="105"/>
      <c r="J129" s="62"/>
      <c r="K129" s="62"/>
      <c r="L129" s="64"/>
      <c r="M129" s="62"/>
      <c r="N129" s="101"/>
      <c r="O129" s="27"/>
      <c r="P129" s="152"/>
    </row>
    <row r="130" spans="1:16" x14ac:dyDescent="0.2">
      <c r="A130" s="114"/>
      <c r="B130" s="50"/>
      <c r="C130" s="116"/>
      <c r="D130" s="70"/>
      <c r="E130" s="61"/>
      <c r="F130" s="61"/>
      <c r="G130" s="64"/>
      <c r="H130" s="101"/>
      <c r="I130" s="105"/>
      <c r="J130" s="62"/>
      <c r="K130" s="62"/>
      <c r="L130" s="64"/>
      <c r="M130" s="62"/>
      <c r="N130" s="101"/>
      <c r="O130" s="27"/>
      <c r="P130" s="152"/>
    </row>
    <row r="131" spans="1:16" x14ac:dyDescent="0.2">
      <c r="A131" s="114"/>
      <c r="B131" s="50"/>
      <c r="C131" s="116"/>
      <c r="D131" s="70"/>
      <c r="E131" s="61"/>
      <c r="F131" s="61"/>
      <c r="G131" s="64"/>
      <c r="H131" s="101"/>
      <c r="I131" s="105"/>
      <c r="J131" s="62"/>
      <c r="K131" s="62"/>
      <c r="L131" s="64"/>
      <c r="M131" s="62"/>
      <c r="N131" s="101"/>
      <c r="O131" s="27"/>
      <c r="P131" s="152"/>
    </row>
    <row r="132" spans="1:16" x14ac:dyDescent="0.2">
      <c r="A132" s="114"/>
      <c r="B132" s="50"/>
      <c r="C132" s="116"/>
      <c r="D132" s="70"/>
      <c r="E132" s="61"/>
      <c r="F132" s="61"/>
      <c r="G132" s="64"/>
      <c r="H132" s="101"/>
      <c r="I132" s="105"/>
      <c r="J132" s="62"/>
      <c r="K132" s="62"/>
      <c r="L132" s="64"/>
      <c r="M132" s="62"/>
      <c r="N132" s="101"/>
      <c r="O132" s="27"/>
      <c r="P132" s="152"/>
    </row>
    <row r="133" spans="1:16" x14ac:dyDescent="0.2">
      <c r="A133" s="114"/>
      <c r="B133" s="50"/>
      <c r="C133" s="116"/>
      <c r="D133" s="70"/>
      <c r="E133" s="61"/>
      <c r="F133" s="61"/>
      <c r="G133" s="64"/>
      <c r="H133" s="101"/>
      <c r="I133" s="105"/>
      <c r="J133" s="62"/>
      <c r="K133" s="62"/>
      <c r="L133" s="64"/>
      <c r="M133" s="62"/>
      <c r="N133" s="101"/>
      <c r="O133" s="27"/>
      <c r="P133" s="152"/>
    </row>
    <row r="134" spans="1:16" x14ac:dyDescent="0.2">
      <c r="A134" s="114"/>
      <c r="B134" s="50"/>
      <c r="C134" s="116"/>
      <c r="D134" s="70"/>
      <c r="E134" s="61"/>
      <c r="F134" s="61"/>
      <c r="G134" s="64"/>
      <c r="H134" s="101"/>
      <c r="I134" s="105"/>
      <c r="J134" s="62"/>
      <c r="K134" s="62"/>
      <c r="L134" s="64"/>
      <c r="M134" s="62"/>
      <c r="N134" s="101"/>
      <c r="O134" s="27"/>
      <c r="P134" s="152"/>
    </row>
    <row r="135" spans="1:16" x14ac:dyDescent="0.2">
      <c r="A135" s="114"/>
      <c r="B135" s="50"/>
      <c r="C135" s="116"/>
      <c r="D135" s="70"/>
      <c r="E135" s="61"/>
      <c r="F135" s="61"/>
      <c r="G135" s="64"/>
      <c r="H135" s="101"/>
      <c r="I135" s="105"/>
      <c r="J135" s="62"/>
      <c r="K135" s="62"/>
      <c r="L135" s="64"/>
      <c r="M135" s="62"/>
      <c r="N135" s="101"/>
      <c r="O135" s="27"/>
      <c r="P135" s="152"/>
    </row>
    <row r="136" spans="1:16" x14ac:dyDescent="0.2">
      <c r="A136" s="114"/>
      <c r="B136" s="50"/>
      <c r="C136" s="116"/>
      <c r="D136" s="70"/>
      <c r="E136" s="61"/>
      <c r="F136" s="61"/>
      <c r="G136" s="64"/>
      <c r="H136" s="101"/>
      <c r="I136" s="105"/>
      <c r="J136" s="62"/>
      <c r="K136" s="62"/>
      <c r="L136" s="64"/>
      <c r="M136" s="62"/>
      <c r="N136" s="101"/>
      <c r="O136" s="27"/>
      <c r="P136" s="152"/>
    </row>
    <row r="137" spans="1:16" x14ac:dyDescent="0.2">
      <c r="A137" s="114"/>
      <c r="B137" s="50"/>
      <c r="C137" s="116"/>
      <c r="D137" s="70"/>
      <c r="E137" s="61"/>
      <c r="F137" s="61"/>
      <c r="G137" s="64"/>
      <c r="H137" s="101"/>
      <c r="I137" s="105"/>
      <c r="J137" s="62"/>
      <c r="K137" s="62"/>
      <c r="L137" s="64"/>
      <c r="M137" s="62"/>
      <c r="N137" s="101"/>
      <c r="O137" s="27"/>
      <c r="P137" s="152"/>
    </row>
    <row r="138" spans="1:16" x14ac:dyDescent="0.2">
      <c r="A138" s="114"/>
      <c r="B138" s="50"/>
      <c r="C138" s="116"/>
      <c r="D138" s="70"/>
      <c r="E138" s="61"/>
      <c r="F138" s="61"/>
      <c r="G138" s="64"/>
      <c r="H138" s="101"/>
      <c r="I138" s="105"/>
      <c r="J138" s="62"/>
      <c r="K138" s="62"/>
      <c r="L138" s="64"/>
      <c r="M138" s="62"/>
      <c r="N138" s="101"/>
      <c r="O138" s="27"/>
      <c r="P138" s="152"/>
    </row>
    <row r="139" spans="1:16" x14ac:dyDescent="0.2">
      <c r="A139" s="114"/>
      <c r="B139" s="50"/>
      <c r="C139" s="116"/>
      <c r="D139" s="70"/>
      <c r="E139" s="61"/>
      <c r="F139" s="61"/>
      <c r="G139" s="64"/>
      <c r="H139" s="101"/>
      <c r="I139" s="105"/>
      <c r="J139" s="62"/>
      <c r="K139" s="62"/>
      <c r="L139" s="64"/>
      <c r="M139" s="62"/>
      <c r="N139" s="101"/>
      <c r="O139" s="27"/>
      <c r="P139" s="152"/>
    </row>
    <row r="140" spans="1:16" x14ac:dyDescent="0.2">
      <c r="A140" s="114"/>
      <c r="B140" s="50"/>
      <c r="C140" s="116"/>
      <c r="D140" s="70"/>
      <c r="E140" s="61"/>
      <c r="F140" s="61"/>
      <c r="G140" s="64"/>
      <c r="H140" s="101"/>
      <c r="I140" s="105"/>
      <c r="J140" s="62"/>
      <c r="K140" s="62"/>
      <c r="L140" s="64"/>
      <c r="M140" s="62"/>
      <c r="N140" s="101"/>
      <c r="O140" s="27"/>
      <c r="P140" s="152"/>
    </row>
    <row r="141" spans="1:16" x14ac:dyDescent="0.2">
      <c r="A141" s="114"/>
      <c r="B141" s="50"/>
      <c r="C141" s="116"/>
      <c r="D141" s="70"/>
      <c r="E141" s="61"/>
      <c r="F141" s="61"/>
      <c r="G141" s="64"/>
      <c r="H141" s="101"/>
      <c r="I141" s="105"/>
      <c r="J141" s="62"/>
      <c r="K141" s="62"/>
      <c r="L141" s="64"/>
      <c r="M141" s="62"/>
      <c r="N141" s="101"/>
      <c r="O141" s="27"/>
      <c r="P141" s="152"/>
    </row>
    <row r="142" spans="1:16" x14ac:dyDescent="0.2">
      <c r="A142" s="114"/>
      <c r="B142" s="50"/>
      <c r="C142" s="116"/>
      <c r="D142" s="70"/>
      <c r="E142" s="61"/>
      <c r="F142" s="61"/>
      <c r="G142" s="64"/>
      <c r="H142" s="101"/>
      <c r="I142" s="105"/>
      <c r="J142" s="62"/>
      <c r="K142" s="62"/>
      <c r="L142" s="64"/>
      <c r="M142" s="62"/>
      <c r="N142" s="101"/>
      <c r="O142" s="27"/>
      <c r="P142" s="152"/>
    </row>
    <row r="143" spans="1:16" x14ac:dyDescent="0.2">
      <c r="A143" s="114"/>
      <c r="B143" s="50"/>
      <c r="C143" s="116"/>
      <c r="D143" s="70"/>
      <c r="E143" s="61"/>
      <c r="F143" s="61"/>
      <c r="G143" s="64"/>
      <c r="H143" s="101"/>
      <c r="I143" s="105"/>
      <c r="J143" s="62"/>
      <c r="K143" s="62"/>
      <c r="L143" s="64"/>
      <c r="M143" s="62"/>
      <c r="N143" s="101"/>
      <c r="O143" s="27"/>
      <c r="P143" s="152"/>
    </row>
    <row r="144" spans="1:16" x14ac:dyDescent="0.2">
      <c r="A144" s="114"/>
      <c r="B144" s="50"/>
      <c r="C144" s="116"/>
      <c r="D144" s="70"/>
      <c r="E144" s="61"/>
      <c r="F144" s="61"/>
      <c r="G144" s="64"/>
      <c r="H144" s="101"/>
      <c r="I144" s="105"/>
      <c r="J144" s="62"/>
      <c r="K144" s="62"/>
      <c r="L144" s="64"/>
      <c r="M144" s="62"/>
      <c r="N144" s="101"/>
      <c r="O144" s="27"/>
      <c r="P144" s="152"/>
    </row>
    <row r="145" spans="1:16" x14ac:dyDescent="0.2">
      <c r="A145" s="70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  <c r="P145" s="117"/>
    </row>
    <row r="146" spans="1:16" x14ac:dyDescent="0.2">
      <c r="A146" s="70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  <c r="P146" s="117"/>
    </row>
    <row r="147" spans="1:16" x14ac:dyDescent="0.2">
      <c r="A147" s="70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  <c r="P147" s="117"/>
    </row>
    <row r="148" spans="1:16" x14ac:dyDescent="0.2">
      <c r="A148" s="70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  <c r="P148" s="117"/>
    </row>
    <row r="149" spans="1:16" x14ac:dyDescent="0.2">
      <c r="A149" s="70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  <c r="P149" s="117"/>
    </row>
    <row r="150" spans="1:16" x14ac:dyDescent="0.2">
      <c r="A150" s="70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  <c r="P150" s="117"/>
    </row>
    <row r="151" spans="1:16" x14ac:dyDescent="0.2">
      <c r="A151" s="70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  <c r="P151" s="117"/>
    </row>
    <row r="152" spans="1:16" x14ac:dyDescent="0.2">
      <c r="A152" s="70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  <c r="P152" s="117"/>
    </row>
    <row r="153" spans="1:16" x14ac:dyDescent="0.2">
      <c r="A153" s="70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  <c r="P153" s="117"/>
    </row>
    <row r="154" spans="1:16" x14ac:dyDescent="0.2">
      <c r="A154" s="70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  <c r="P154" s="117"/>
    </row>
    <row r="155" spans="1:16" x14ac:dyDescent="0.2">
      <c r="A155" s="70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  <c r="P155" s="117"/>
    </row>
    <row r="156" spans="1:16" x14ac:dyDescent="0.2">
      <c r="A156" s="70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  <c r="P156" s="117"/>
    </row>
    <row r="157" spans="1:16" x14ac:dyDescent="0.2">
      <c r="A157" s="70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  <c r="P157" s="117"/>
    </row>
    <row r="158" spans="1:16" x14ac:dyDescent="0.2">
      <c r="A158" s="70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  <c r="P158" s="117"/>
    </row>
    <row r="159" spans="1:16" x14ac:dyDescent="0.2">
      <c r="A159" s="70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  <c r="P159" s="117"/>
    </row>
    <row r="160" spans="1:16" x14ac:dyDescent="0.2">
      <c r="A160" s="70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  <c r="P160" s="117"/>
    </row>
    <row r="161" spans="1:16" x14ac:dyDescent="0.2">
      <c r="A161" s="70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  <c r="P161" s="117"/>
    </row>
    <row r="162" spans="1:16" x14ac:dyDescent="0.2">
      <c r="A162" s="70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  <c r="P162" s="117"/>
    </row>
    <row r="163" spans="1:16" x14ac:dyDescent="0.2">
      <c r="A163" s="70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  <c r="P163" s="117"/>
    </row>
    <row r="164" spans="1:16" x14ac:dyDescent="0.2">
      <c r="A164" s="70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  <c r="P164" s="117"/>
    </row>
    <row r="165" spans="1:16" x14ac:dyDescent="0.2">
      <c r="A165" s="70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  <c r="P165" s="117"/>
    </row>
    <row r="166" spans="1:16" x14ac:dyDescent="0.2">
      <c r="A166" s="70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  <c r="P166" s="117"/>
    </row>
    <row r="167" spans="1:16" x14ac:dyDescent="0.2">
      <c r="A167" s="70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  <c r="P167" s="117"/>
    </row>
    <row r="168" spans="1:16" x14ac:dyDescent="0.2">
      <c r="A168" s="70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  <c r="P168" s="117"/>
    </row>
    <row r="169" spans="1:16" x14ac:dyDescent="0.2">
      <c r="A169" s="70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  <c r="P169" s="117"/>
    </row>
    <row r="170" spans="1:16" x14ac:dyDescent="0.2">
      <c r="A170" s="70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  <c r="P170" s="117"/>
    </row>
    <row r="171" spans="1:16" x14ac:dyDescent="0.2">
      <c r="A171" s="70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  <c r="P171" s="117"/>
    </row>
    <row r="172" spans="1:16" x14ac:dyDescent="0.2">
      <c r="A172" s="70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  <c r="P172" s="117"/>
    </row>
    <row r="173" spans="1:16" x14ac:dyDescent="0.2">
      <c r="A173" s="70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  <c r="P173" s="117"/>
    </row>
    <row r="174" spans="1:16" x14ac:dyDescent="0.2">
      <c r="A174" s="70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  <c r="P174" s="117"/>
    </row>
    <row r="175" spans="1:16" x14ac:dyDescent="0.2">
      <c r="A175" s="70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  <c r="P175" s="117"/>
    </row>
    <row r="176" spans="1:16" x14ac:dyDescent="0.2">
      <c r="A176" s="70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  <c r="P176" s="117"/>
    </row>
    <row r="177" spans="1:16" x14ac:dyDescent="0.2">
      <c r="A177" s="70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  <c r="P177" s="117"/>
    </row>
    <row r="178" spans="1:16" x14ac:dyDescent="0.2">
      <c r="A178" s="70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  <c r="P178" s="117"/>
    </row>
    <row r="179" spans="1:16" x14ac:dyDescent="0.2">
      <c r="A179" s="70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  <c r="P179" s="117"/>
    </row>
    <row r="180" spans="1:16" x14ac:dyDescent="0.2">
      <c r="A180" s="70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  <c r="P180" s="117"/>
    </row>
    <row r="181" spans="1:16" x14ac:dyDescent="0.2">
      <c r="A181" s="70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  <c r="P181" s="117"/>
    </row>
    <row r="182" spans="1:16" x14ac:dyDescent="0.2">
      <c r="A182" s="70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  <c r="P182" s="117"/>
    </row>
    <row r="183" spans="1:16" x14ac:dyDescent="0.2">
      <c r="A183" s="70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  <c r="P183" s="117"/>
    </row>
    <row r="184" spans="1:16" x14ac:dyDescent="0.2">
      <c r="A184" s="70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  <c r="P184" s="117"/>
    </row>
    <row r="185" spans="1:16" x14ac:dyDescent="0.2">
      <c r="A185" s="70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  <c r="P185" s="117"/>
    </row>
    <row r="186" spans="1:16" x14ac:dyDescent="0.2">
      <c r="A186" s="70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  <c r="P186" s="117"/>
    </row>
    <row r="187" spans="1:16" x14ac:dyDescent="0.2">
      <c r="A187" s="70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  <c r="P187" s="117"/>
    </row>
    <row r="188" spans="1:16" x14ac:dyDescent="0.2">
      <c r="A188" s="70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  <c r="P188" s="117"/>
    </row>
    <row r="189" spans="1:16" x14ac:dyDescent="0.2">
      <c r="A189" s="70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  <c r="P189" s="117"/>
    </row>
    <row r="190" spans="1:16" x14ac:dyDescent="0.2">
      <c r="A190" s="70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  <c r="P190" s="117"/>
    </row>
    <row r="191" spans="1:16" x14ac:dyDescent="0.2">
      <c r="A191" s="70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  <c r="P191" s="117"/>
    </row>
    <row r="192" spans="1:16" x14ac:dyDescent="0.2">
      <c r="A192" s="70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  <c r="P192" s="117"/>
    </row>
    <row r="193" spans="1:16" x14ac:dyDescent="0.2">
      <c r="A193" s="70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  <c r="P193" s="117"/>
    </row>
    <row r="194" spans="1:16" x14ac:dyDescent="0.2">
      <c r="A194" s="70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  <c r="P194" s="117"/>
    </row>
    <row r="195" spans="1:16" x14ac:dyDescent="0.2">
      <c r="A195" s="70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  <c r="P195" s="117"/>
    </row>
    <row r="196" spans="1:16" x14ac:dyDescent="0.2">
      <c r="A196" s="70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  <c r="P196" s="117"/>
    </row>
    <row r="197" spans="1:16" x14ac:dyDescent="0.2">
      <c r="A197" s="70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  <c r="P197" s="117"/>
    </row>
    <row r="198" spans="1:16" x14ac:dyDescent="0.2">
      <c r="A198" s="70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  <c r="P198" s="117"/>
    </row>
    <row r="199" spans="1:16" x14ac:dyDescent="0.2">
      <c r="A199" s="70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  <c r="P199" s="117"/>
    </row>
    <row r="200" spans="1:16" x14ac:dyDescent="0.2">
      <c r="A200" s="70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  <c r="P200" s="117"/>
    </row>
    <row r="201" spans="1:16" x14ac:dyDescent="0.2">
      <c r="A201" s="70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  <c r="P201" s="117"/>
    </row>
    <row r="202" spans="1:16" x14ac:dyDescent="0.2">
      <c r="A202" s="70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  <c r="P202" s="117"/>
    </row>
    <row r="203" spans="1:16" x14ac:dyDescent="0.2">
      <c r="A203" s="70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  <c r="P203" s="117"/>
    </row>
    <row r="204" spans="1:16" x14ac:dyDescent="0.2">
      <c r="A204" s="70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  <c r="P204" s="117"/>
    </row>
    <row r="205" spans="1:16" x14ac:dyDescent="0.2">
      <c r="A205" s="70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  <c r="P205" s="117"/>
    </row>
    <row r="206" spans="1:16" x14ac:dyDescent="0.2">
      <c r="A206" s="70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  <c r="P206" s="117"/>
    </row>
    <row r="207" spans="1:16" x14ac:dyDescent="0.2">
      <c r="A207" s="70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  <c r="P207" s="117"/>
    </row>
    <row r="208" spans="1:16" x14ac:dyDescent="0.2">
      <c r="A208" s="70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  <c r="P208" s="117"/>
    </row>
    <row r="209" spans="1:16" x14ac:dyDescent="0.2">
      <c r="A209" s="70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  <c r="P209" s="117"/>
    </row>
    <row r="210" spans="1:16" x14ac:dyDescent="0.2">
      <c r="A210" s="70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  <c r="P210" s="117"/>
    </row>
    <row r="211" spans="1:16" x14ac:dyDescent="0.2">
      <c r="A211" s="70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  <c r="P211" s="117"/>
    </row>
    <row r="212" spans="1:16" x14ac:dyDescent="0.2">
      <c r="A212" s="70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  <c r="P212" s="117"/>
    </row>
    <row r="213" spans="1:16" x14ac:dyDescent="0.2">
      <c r="A213" s="70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  <c r="P213" s="117"/>
    </row>
    <row r="214" spans="1:16" x14ac:dyDescent="0.2">
      <c r="A214" s="70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  <c r="P214" s="117"/>
    </row>
    <row r="215" spans="1:16" x14ac:dyDescent="0.2">
      <c r="A215" s="70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  <c r="P215" s="117"/>
    </row>
    <row r="216" spans="1:16" x14ac:dyDescent="0.2">
      <c r="A216" s="70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  <c r="P216" s="117"/>
    </row>
    <row r="217" spans="1:16" x14ac:dyDescent="0.2">
      <c r="A217" s="70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  <c r="P217" s="117"/>
    </row>
    <row r="218" spans="1:16" x14ac:dyDescent="0.2">
      <c r="A218" s="70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  <c r="P218" s="117"/>
    </row>
    <row r="219" spans="1:16" x14ac:dyDescent="0.2">
      <c r="A219" s="70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  <c r="P219" s="117"/>
    </row>
    <row r="220" spans="1:16" x14ac:dyDescent="0.2">
      <c r="A220" s="70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  <c r="P220" s="117"/>
    </row>
    <row r="221" spans="1:16" x14ac:dyDescent="0.2">
      <c r="A221" s="70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  <c r="P221" s="117"/>
    </row>
    <row r="222" spans="1:16" x14ac:dyDescent="0.2">
      <c r="A222" s="70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  <c r="P222" s="117"/>
    </row>
    <row r="223" spans="1:16" x14ac:dyDescent="0.2">
      <c r="A223" s="70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  <c r="P223" s="117"/>
    </row>
    <row r="224" spans="1:16" x14ac:dyDescent="0.2">
      <c r="A224" s="70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  <c r="P224" s="117"/>
    </row>
    <row r="225" spans="1:16" x14ac:dyDescent="0.2">
      <c r="A225" s="70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  <c r="P225" s="117"/>
    </row>
    <row r="226" spans="1:16" x14ac:dyDescent="0.2">
      <c r="A226" s="70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  <c r="P226" s="117"/>
    </row>
    <row r="227" spans="1:16" x14ac:dyDescent="0.2">
      <c r="A227" s="70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  <c r="P227" s="117"/>
    </row>
    <row r="228" spans="1:16" x14ac:dyDescent="0.2">
      <c r="A228" s="70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  <c r="P228" s="117"/>
    </row>
    <row r="229" spans="1:16" x14ac:dyDescent="0.2">
      <c r="A229" s="70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  <c r="P229" s="117"/>
    </row>
    <row r="230" spans="1:16" x14ac:dyDescent="0.2">
      <c r="A230" s="70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  <c r="P230" s="117"/>
    </row>
    <row r="231" spans="1:16" x14ac:dyDescent="0.2">
      <c r="A231" s="70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  <c r="P231" s="117"/>
    </row>
    <row r="232" spans="1:16" x14ac:dyDescent="0.2">
      <c r="A232" s="70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  <c r="P232" s="117"/>
    </row>
    <row r="233" spans="1:16" x14ac:dyDescent="0.2">
      <c r="A233" s="70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  <c r="P233" s="117"/>
    </row>
    <row r="234" spans="1:16" x14ac:dyDescent="0.2">
      <c r="A234" s="70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  <c r="P234" s="117"/>
    </row>
    <row r="235" spans="1:16" x14ac:dyDescent="0.2">
      <c r="A235" s="70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  <c r="P235" s="117"/>
    </row>
    <row r="236" spans="1:16" x14ac:dyDescent="0.2">
      <c r="A236" s="70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  <c r="P236" s="117"/>
    </row>
    <row r="237" spans="1:16" x14ac:dyDescent="0.2">
      <c r="A237" s="70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  <c r="P237" s="117"/>
    </row>
    <row r="238" spans="1:16" x14ac:dyDescent="0.2">
      <c r="A238" s="70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  <c r="P238" s="117"/>
    </row>
    <row r="239" spans="1:16" x14ac:dyDescent="0.2">
      <c r="A239" s="70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  <c r="P239" s="117"/>
    </row>
    <row r="240" spans="1:16" x14ac:dyDescent="0.2">
      <c r="A240" s="70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  <c r="P240" s="117"/>
    </row>
    <row r="241" spans="1:16" x14ac:dyDescent="0.2">
      <c r="A241" s="70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  <c r="P241" s="117"/>
    </row>
    <row r="242" spans="1:16" x14ac:dyDescent="0.2">
      <c r="A242" s="70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  <c r="P242" s="117"/>
    </row>
    <row r="243" spans="1:16" x14ac:dyDescent="0.2">
      <c r="A243" s="70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  <c r="P243" s="117"/>
    </row>
    <row r="244" spans="1:16" x14ac:dyDescent="0.2">
      <c r="A244" s="70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  <c r="P244" s="117"/>
    </row>
    <row r="245" spans="1:16" x14ac:dyDescent="0.2">
      <c r="A245" s="70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  <c r="P245" s="117"/>
    </row>
    <row r="246" spans="1:16" x14ac:dyDescent="0.2">
      <c r="A246" s="70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  <c r="P246" s="117"/>
    </row>
    <row r="247" spans="1:16" x14ac:dyDescent="0.2">
      <c r="A247" s="70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  <c r="P247" s="117"/>
    </row>
    <row r="248" spans="1:16" x14ac:dyDescent="0.2">
      <c r="A248" s="70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  <c r="P248" s="117"/>
    </row>
    <row r="249" spans="1:16" x14ac:dyDescent="0.2">
      <c r="A249" s="70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  <c r="P249" s="117"/>
    </row>
    <row r="250" spans="1:16" x14ac:dyDescent="0.2">
      <c r="A250" s="70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  <c r="P250" s="117"/>
    </row>
    <row r="251" spans="1:16" x14ac:dyDescent="0.2">
      <c r="A251" s="70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  <c r="P251" s="117"/>
    </row>
    <row r="252" spans="1:16" x14ac:dyDescent="0.2">
      <c r="A252" s="70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  <c r="P252" s="117"/>
    </row>
    <row r="253" spans="1:16" x14ac:dyDescent="0.2">
      <c r="A253" s="70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  <c r="P253" s="117"/>
    </row>
    <row r="254" spans="1:16" x14ac:dyDescent="0.2">
      <c r="A254" s="70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  <c r="P254" s="117"/>
    </row>
    <row r="255" spans="1:16" x14ac:dyDescent="0.2">
      <c r="A255" s="70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  <c r="P255" s="117"/>
    </row>
    <row r="256" spans="1:16" x14ac:dyDescent="0.2">
      <c r="A256" s="70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  <c r="P256" s="117"/>
    </row>
    <row r="257" spans="1:16" x14ac:dyDescent="0.2">
      <c r="A257" s="70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  <c r="P257" s="117"/>
    </row>
    <row r="258" spans="1:16" x14ac:dyDescent="0.2">
      <c r="A258" s="70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  <c r="P258" s="117"/>
    </row>
    <row r="259" spans="1:16" x14ac:dyDescent="0.2">
      <c r="A259" s="70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  <c r="P259" s="117"/>
    </row>
    <row r="260" spans="1:16" x14ac:dyDescent="0.2">
      <c r="A260" s="70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  <c r="P260" s="117"/>
    </row>
    <row r="261" spans="1:16" x14ac:dyDescent="0.2">
      <c r="A261" s="70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  <c r="P261" s="117"/>
    </row>
    <row r="262" spans="1:16" x14ac:dyDescent="0.2">
      <c r="A262" s="70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  <c r="P262" s="117"/>
    </row>
    <row r="263" spans="1:16" x14ac:dyDescent="0.2">
      <c r="A263" s="70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  <c r="P263" s="117"/>
    </row>
    <row r="264" spans="1:16" x14ac:dyDescent="0.2">
      <c r="A264" s="70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  <c r="P264" s="117"/>
    </row>
    <row r="265" spans="1:16" x14ac:dyDescent="0.2">
      <c r="A265" s="70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  <c r="P265" s="117"/>
    </row>
    <row r="266" spans="1:16" x14ac:dyDescent="0.2">
      <c r="A266" s="70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  <c r="P266" s="117"/>
    </row>
    <row r="267" spans="1:16" x14ac:dyDescent="0.2">
      <c r="A267" s="70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  <c r="P267" s="117"/>
    </row>
    <row r="268" spans="1:16" x14ac:dyDescent="0.2">
      <c r="A268" s="70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  <c r="P268" s="117"/>
    </row>
    <row r="269" spans="1:16" x14ac:dyDescent="0.2">
      <c r="A269" s="70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  <c r="P269" s="117"/>
    </row>
    <row r="270" spans="1:16" x14ac:dyDescent="0.2">
      <c r="A270" s="70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  <c r="P270" s="117"/>
    </row>
    <row r="271" spans="1:16" x14ac:dyDescent="0.2">
      <c r="A271" s="70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  <c r="P271" s="117"/>
    </row>
    <row r="272" spans="1:16" x14ac:dyDescent="0.2">
      <c r="A272" s="70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  <c r="P272" s="117"/>
    </row>
    <row r="273" spans="1:16" x14ac:dyDescent="0.2">
      <c r="A273" s="70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  <c r="P273" s="117"/>
    </row>
    <row r="274" spans="1:16" x14ac:dyDescent="0.2">
      <c r="A274" s="70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  <c r="P274" s="117"/>
    </row>
    <row r="275" spans="1:16" x14ac:dyDescent="0.2">
      <c r="A275" s="70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  <c r="P275" s="117"/>
    </row>
    <row r="276" spans="1:16" x14ac:dyDescent="0.2">
      <c r="A276" s="70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  <c r="P276" s="117"/>
    </row>
    <row r="277" spans="1:16" x14ac:dyDescent="0.2">
      <c r="A277" s="70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  <c r="P277" s="117"/>
    </row>
    <row r="278" spans="1:16" x14ac:dyDescent="0.2">
      <c r="A278" s="70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  <c r="P278" s="117"/>
    </row>
    <row r="279" spans="1:16" x14ac:dyDescent="0.2">
      <c r="A279" s="70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  <c r="P279" s="117"/>
    </row>
    <row r="280" spans="1:16" x14ac:dyDescent="0.2">
      <c r="A280" s="70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  <c r="P280" s="117"/>
    </row>
    <row r="281" spans="1:16" x14ac:dyDescent="0.2">
      <c r="A281" s="70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  <c r="P281" s="117"/>
    </row>
    <row r="282" spans="1:16" x14ac:dyDescent="0.2">
      <c r="A282" s="70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  <c r="P282" s="117"/>
    </row>
    <row r="283" spans="1:16" x14ac:dyDescent="0.2">
      <c r="A283" s="70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  <c r="P283" s="117"/>
    </row>
    <row r="284" spans="1:16" x14ac:dyDescent="0.2">
      <c r="A284" s="70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  <c r="P284" s="117"/>
    </row>
    <row r="285" spans="1:16" x14ac:dyDescent="0.2">
      <c r="A285" s="70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  <c r="P285" s="117"/>
    </row>
    <row r="286" spans="1:16" x14ac:dyDescent="0.2">
      <c r="A286" s="70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  <c r="P286" s="117"/>
    </row>
    <row r="287" spans="1:16" x14ac:dyDescent="0.2">
      <c r="A287" s="70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  <c r="P287" s="117"/>
    </row>
    <row r="288" spans="1:16" x14ac:dyDescent="0.2">
      <c r="A288" s="70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  <c r="P288" s="117"/>
    </row>
    <row r="289" spans="1:16" x14ac:dyDescent="0.2">
      <c r="A289" s="70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  <c r="P289" s="117"/>
    </row>
    <row r="290" spans="1:16" x14ac:dyDescent="0.2">
      <c r="A290" s="70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  <c r="P290" s="117"/>
    </row>
    <row r="291" spans="1:16" x14ac:dyDescent="0.2">
      <c r="A291" s="70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  <c r="P291" s="117"/>
    </row>
    <row r="292" spans="1:16" x14ac:dyDescent="0.2">
      <c r="A292" s="70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  <c r="P292" s="117"/>
    </row>
    <row r="293" spans="1:16" x14ac:dyDescent="0.2">
      <c r="A293" s="70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  <c r="P293" s="117"/>
    </row>
    <row r="294" spans="1:16" x14ac:dyDescent="0.2">
      <c r="A294" s="70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  <c r="P294" s="117"/>
    </row>
    <row r="295" spans="1:16" x14ac:dyDescent="0.2">
      <c r="A295" s="70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  <c r="P295" s="117"/>
    </row>
    <row r="296" spans="1:16" x14ac:dyDescent="0.2">
      <c r="A296" s="70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  <c r="P296" s="117"/>
    </row>
    <row r="297" spans="1:16" x14ac:dyDescent="0.2">
      <c r="A297" s="70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  <c r="P297" s="117"/>
    </row>
    <row r="298" spans="1:16" x14ac:dyDescent="0.2">
      <c r="A298" s="70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  <c r="P298" s="117"/>
    </row>
    <row r="299" spans="1:16" x14ac:dyDescent="0.2">
      <c r="A299" s="70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  <c r="P299" s="117"/>
    </row>
    <row r="300" spans="1:16" x14ac:dyDescent="0.2">
      <c r="A300" s="153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  <c r="P300" s="154"/>
    </row>
    <row r="301" spans="1:16" x14ac:dyDescent="0.2">
      <c r="A301" s="92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  <c r="P301" s="155"/>
    </row>
    <row r="302" spans="1:16" x14ac:dyDescent="0.2">
      <c r="A302" s="153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  <c r="P302" s="154"/>
    </row>
    <row r="303" spans="1:16" x14ac:dyDescent="0.2">
      <c r="A303" s="92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  <c r="P303" s="155"/>
    </row>
    <row r="304" spans="1:16" x14ac:dyDescent="0.2">
      <c r="A304" s="153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  <c r="P304" s="154"/>
    </row>
    <row r="305" spans="1:16" x14ac:dyDescent="0.2">
      <c r="A305" s="92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  <c r="P305" s="155"/>
    </row>
    <row r="306" spans="1:16" x14ac:dyDescent="0.2">
      <c r="A306" s="153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  <c r="P306" s="154"/>
    </row>
    <row r="307" spans="1:16" x14ac:dyDescent="0.2">
      <c r="A307" s="92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  <c r="P307" s="155"/>
    </row>
    <row r="308" spans="1:16" x14ac:dyDescent="0.2">
      <c r="A308" s="153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  <c r="P308" s="154"/>
    </row>
    <row r="309" spans="1:16" x14ac:dyDescent="0.2">
      <c r="A309" s="92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  <c r="P309" s="155"/>
    </row>
    <row r="310" spans="1:16" x14ac:dyDescent="0.2">
      <c r="A310" s="153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  <c r="P310" s="154"/>
    </row>
    <row r="311" spans="1:16" x14ac:dyDescent="0.2">
      <c r="A311" s="92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  <c r="P311" s="155"/>
    </row>
    <row r="312" spans="1:16" x14ac:dyDescent="0.2">
      <c r="A312" s="153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  <c r="P312" s="154"/>
    </row>
    <row r="313" spans="1:16" x14ac:dyDescent="0.2">
      <c r="A313" s="92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  <c r="P313" s="155"/>
    </row>
    <row r="314" spans="1:16" x14ac:dyDescent="0.2">
      <c r="A314" s="153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  <c r="P314" s="154"/>
    </row>
    <row r="315" spans="1:16" x14ac:dyDescent="0.2">
      <c r="A315" s="92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  <c r="P315" s="155"/>
    </row>
    <row r="316" spans="1:16" x14ac:dyDescent="0.2">
      <c r="A316" s="153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  <c r="P316" s="154"/>
    </row>
    <row r="317" spans="1:16" x14ac:dyDescent="0.2">
      <c r="A317" s="92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  <c r="P317" s="155"/>
    </row>
    <row r="318" spans="1:16" x14ac:dyDescent="0.2">
      <c r="A318" s="153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  <c r="P318" s="154"/>
    </row>
    <row r="319" spans="1:16" x14ac:dyDescent="0.2">
      <c r="A319" s="92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  <c r="P319" s="155"/>
    </row>
    <row r="320" spans="1:16" x14ac:dyDescent="0.2">
      <c r="A320" s="153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  <c r="P320" s="154"/>
    </row>
    <row r="321" spans="1:16" x14ac:dyDescent="0.2">
      <c r="A321" s="92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  <c r="P321" s="155"/>
    </row>
    <row r="322" spans="1:16" x14ac:dyDescent="0.2">
      <c r="A322" s="153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  <c r="P322" s="154"/>
    </row>
    <row r="323" spans="1:16" x14ac:dyDescent="0.2">
      <c r="A323" s="92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  <c r="P323" s="155"/>
    </row>
    <row r="324" spans="1:16" x14ac:dyDescent="0.2">
      <c r="A324" s="153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  <c r="P324" s="154"/>
    </row>
    <row r="325" spans="1:16" x14ac:dyDescent="0.2">
      <c r="A325" s="92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  <c r="P325" s="155"/>
    </row>
    <row r="326" spans="1:16" x14ac:dyDescent="0.2">
      <c r="A326" s="153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  <c r="P326" s="154"/>
    </row>
    <row r="327" spans="1:16" x14ac:dyDescent="0.2">
      <c r="A327" s="92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  <c r="P327" s="155"/>
    </row>
    <row r="328" spans="1:16" x14ac:dyDescent="0.2">
      <c r="A328" s="153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  <c r="P328" s="154"/>
    </row>
    <row r="329" spans="1:16" x14ac:dyDescent="0.2">
      <c r="A329" s="92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  <c r="P329" s="155"/>
    </row>
    <row r="330" spans="1:16" x14ac:dyDescent="0.2">
      <c r="A330" s="153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  <c r="P330" s="154"/>
    </row>
    <row r="331" spans="1:16" x14ac:dyDescent="0.2">
      <c r="A331" s="92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  <c r="P331" s="155"/>
    </row>
    <row r="332" spans="1:16" x14ac:dyDescent="0.2">
      <c r="A332" s="153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  <c r="P332" s="154"/>
    </row>
    <row r="333" spans="1:16" x14ac:dyDescent="0.2">
      <c r="A333" s="92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  <c r="P333" s="155"/>
    </row>
    <row r="334" spans="1:16" x14ac:dyDescent="0.2">
      <c r="A334" s="153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  <c r="P334" s="154"/>
    </row>
    <row r="335" spans="1:16" x14ac:dyDescent="0.2">
      <c r="A335" s="92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  <c r="P335" s="155"/>
    </row>
    <row r="336" spans="1:16" x14ac:dyDescent="0.2">
      <c r="A336" s="153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  <c r="P336" s="154"/>
    </row>
    <row r="337" spans="1:16" x14ac:dyDescent="0.2">
      <c r="A337" s="92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  <c r="P337" s="155"/>
    </row>
    <row r="338" spans="1:16" x14ac:dyDescent="0.2">
      <c r="A338" s="153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  <c r="P338" s="154"/>
    </row>
    <row r="339" spans="1:16" x14ac:dyDescent="0.2">
      <c r="A339" s="92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  <c r="P339" s="155"/>
    </row>
    <row r="340" spans="1:16" x14ac:dyDescent="0.2">
      <c r="A340" s="153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  <c r="P340" s="154"/>
    </row>
    <row r="341" spans="1:16" x14ac:dyDescent="0.2">
      <c r="A341" s="92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  <c r="P341" s="155"/>
    </row>
    <row r="342" spans="1:16" x14ac:dyDescent="0.2">
      <c r="A342" s="153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  <c r="P342" s="154"/>
    </row>
    <row r="343" spans="1:16" x14ac:dyDescent="0.2">
      <c r="A343" s="92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  <c r="P343" s="155"/>
    </row>
    <row r="344" spans="1:16" x14ac:dyDescent="0.2">
      <c r="A344" s="153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  <c r="P344" s="154"/>
    </row>
    <row r="345" spans="1:16" x14ac:dyDescent="0.2">
      <c r="A345" s="92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  <c r="P345" s="155"/>
    </row>
    <row r="346" spans="1:16" x14ac:dyDescent="0.2">
      <c r="A346" s="153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  <c r="P346" s="154"/>
    </row>
    <row r="347" spans="1:16" x14ac:dyDescent="0.2">
      <c r="A347" s="92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  <c r="P347" s="155"/>
    </row>
    <row r="348" spans="1:16" x14ac:dyDescent="0.2">
      <c r="A348" s="153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  <c r="P348" s="154"/>
    </row>
    <row r="349" spans="1:16" x14ac:dyDescent="0.2">
      <c r="A349" s="92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  <c r="P349" s="155"/>
    </row>
    <row r="350" spans="1:16" x14ac:dyDescent="0.2">
      <c r="A350" s="153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  <c r="P350" s="154"/>
    </row>
    <row r="351" spans="1:16" x14ac:dyDescent="0.2">
      <c r="A351" s="92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  <c r="P351" s="155"/>
    </row>
    <row r="352" spans="1:16" x14ac:dyDescent="0.2">
      <c r="A352" s="153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  <c r="P352" s="154"/>
    </row>
    <row r="353" spans="1:16" x14ac:dyDescent="0.2">
      <c r="A353" s="92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  <c r="P353" s="155"/>
    </row>
    <row r="354" spans="1:16" x14ac:dyDescent="0.2">
      <c r="A354" s="153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  <c r="P354" s="154"/>
    </row>
    <row r="355" spans="1:16" x14ac:dyDescent="0.2">
      <c r="A355" s="92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  <c r="P355" s="155"/>
    </row>
    <row r="356" spans="1:16" x14ac:dyDescent="0.2">
      <c r="A356" s="153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  <c r="P356" s="154"/>
    </row>
    <row r="357" spans="1:16" x14ac:dyDescent="0.2">
      <c r="A357" s="92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  <c r="P357" s="155"/>
    </row>
    <row r="358" spans="1:16" x14ac:dyDescent="0.2">
      <c r="A358" s="153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  <c r="P358" s="154"/>
    </row>
    <row r="359" spans="1:16" x14ac:dyDescent="0.2">
      <c r="A359" s="92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  <c r="P359" s="155"/>
    </row>
    <row r="360" spans="1:16" x14ac:dyDescent="0.2">
      <c r="A360" s="153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  <c r="P360" s="154"/>
    </row>
    <row r="361" spans="1:16" x14ac:dyDescent="0.2">
      <c r="A361" s="92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  <c r="P361" s="155"/>
    </row>
    <row r="362" spans="1:16" x14ac:dyDescent="0.2">
      <c r="A362" s="153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  <c r="P362" s="154"/>
    </row>
    <row r="363" spans="1:16" x14ac:dyDescent="0.2">
      <c r="A363" s="92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  <c r="P363" s="155"/>
    </row>
    <row r="364" spans="1:16" x14ac:dyDescent="0.2">
      <c r="A364" s="153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  <c r="P364" s="154"/>
    </row>
    <row r="365" spans="1:16" x14ac:dyDescent="0.2">
      <c r="A365" s="92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  <c r="P365" s="155"/>
    </row>
    <row r="366" spans="1:16" x14ac:dyDescent="0.2">
      <c r="A366" s="153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  <c r="P366" s="154"/>
    </row>
    <row r="367" spans="1:16" x14ac:dyDescent="0.2">
      <c r="A367" s="92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  <c r="P367" s="155"/>
    </row>
    <row r="368" spans="1:16" x14ac:dyDescent="0.2">
      <c r="A368" s="153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  <c r="P368" s="154"/>
    </row>
    <row r="369" spans="1:16" x14ac:dyDescent="0.2">
      <c r="A369" s="92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  <c r="P369" s="155"/>
    </row>
    <row r="370" spans="1:16" x14ac:dyDescent="0.2">
      <c r="A370" s="153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  <c r="P370" s="154"/>
    </row>
    <row r="371" spans="1:16" x14ac:dyDescent="0.2">
      <c r="A371" s="92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  <c r="P371" s="155"/>
    </row>
    <row r="372" spans="1:16" x14ac:dyDescent="0.2">
      <c r="A372" s="153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  <c r="P372" s="154"/>
    </row>
    <row r="373" spans="1:16" x14ac:dyDescent="0.2">
      <c r="A373" s="92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  <c r="P373" s="155"/>
    </row>
    <row r="374" spans="1:16" x14ac:dyDescent="0.2">
      <c r="A374" s="153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  <c r="P374" s="154"/>
    </row>
    <row r="375" spans="1:16" x14ac:dyDescent="0.2">
      <c r="A375" s="92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  <c r="P375" s="155"/>
    </row>
    <row r="376" spans="1:16" x14ac:dyDescent="0.2">
      <c r="A376" s="153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  <c r="P376" s="154"/>
    </row>
    <row r="377" spans="1:16" x14ac:dyDescent="0.2">
      <c r="A377" s="92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  <c r="P377" s="155"/>
    </row>
    <row r="378" spans="1:16" x14ac:dyDescent="0.2">
      <c r="A378" s="153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  <c r="P378" s="154"/>
    </row>
    <row r="379" spans="1:16" x14ac:dyDescent="0.2">
      <c r="A379" s="92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  <c r="P379" s="155"/>
    </row>
    <row r="380" spans="1:16" x14ac:dyDescent="0.2">
      <c r="A380" s="153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  <c r="P380" s="154"/>
    </row>
    <row r="381" spans="1:16" x14ac:dyDescent="0.2">
      <c r="A381" s="92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  <c r="P381" s="155"/>
    </row>
    <row r="382" spans="1:16" x14ac:dyDescent="0.2">
      <c r="A382" s="153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  <c r="P382" s="154"/>
    </row>
    <row r="383" spans="1:16" x14ac:dyDescent="0.2">
      <c r="A383" s="92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  <c r="P383" s="155"/>
    </row>
    <row r="384" spans="1:16" x14ac:dyDescent="0.2">
      <c r="A384" s="153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  <c r="P384" s="154"/>
    </row>
    <row r="385" spans="1:16" x14ac:dyDescent="0.2">
      <c r="A385" s="92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  <c r="P385" s="155"/>
    </row>
    <row r="386" spans="1:16" x14ac:dyDescent="0.2">
      <c r="A386" s="153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  <c r="P386" s="154"/>
    </row>
    <row r="387" spans="1:16" x14ac:dyDescent="0.2">
      <c r="A387" s="92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  <c r="P387" s="155"/>
    </row>
    <row r="388" spans="1:16" x14ac:dyDescent="0.2">
      <c r="A388" s="153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  <c r="P388" s="154"/>
    </row>
    <row r="389" spans="1:16" x14ac:dyDescent="0.2">
      <c r="A389" s="92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  <c r="P389" s="155"/>
    </row>
    <row r="390" spans="1:16" x14ac:dyDescent="0.2">
      <c r="A390" s="153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  <c r="P390" s="154"/>
    </row>
    <row r="391" spans="1:16" x14ac:dyDescent="0.2">
      <c r="A391" s="92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  <c r="P391" s="155"/>
    </row>
    <row r="392" spans="1:16" x14ac:dyDescent="0.2">
      <c r="A392" s="153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  <c r="P392" s="154"/>
    </row>
    <row r="393" spans="1:16" x14ac:dyDescent="0.2">
      <c r="A393" s="92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  <c r="P393" s="155"/>
    </row>
    <row r="394" spans="1:16" x14ac:dyDescent="0.2">
      <c r="A394" s="153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  <c r="P394" s="154"/>
    </row>
    <row r="395" spans="1:16" x14ac:dyDescent="0.2">
      <c r="A395" s="92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  <c r="P395" s="155"/>
    </row>
    <row r="396" spans="1:16" x14ac:dyDescent="0.2">
      <c r="A396" s="153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  <c r="P396" s="154"/>
    </row>
    <row r="397" spans="1:16" x14ac:dyDescent="0.2">
      <c r="A397" s="92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  <c r="P397" s="155"/>
    </row>
    <row r="398" spans="1:16" x14ac:dyDescent="0.2">
      <c r="A398" s="153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  <c r="P398" s="154"/>
    </row>
    <row r="399" spans="1:16" x14ac:dyDescent="0.2">
      <c r="A399" s="92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  <c r="P399" s="155"/>
    </row>
    <row r="400" spans="1:16" x14ac:dyDescent="0.2">
      <c r="A400" s="153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  <c r="P400" s="154"/>
    </row>
    <row r="401" spans="1:16" x14ac:dyDescent="0.2">
      <c r="A401" s="92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  <c r="P401" s="155"/>
    </row>
    <row r="402" spans="1:16" x14ac:dyDescent="0.2">
      <c r="A402" s="153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  <c r="P402" s="154"/>
    </row>
    <row r="403" spans="1:16" x14ac:dyDescent="0.2">
      <c r="A403" s="92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  <c r="P403" s="155"/>
    </row>
    <row r="404" spans="1:16" x14ac:dyDescent="0.2">
      <c r="A404" s="153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  <c r="P404" s="154"/>
    </row>
    <row r="405" spans="1:16" x14ac:dyDescent="0.2">
      <c r="A405" s="92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  <c r="P405" s="155"/>
    </row>
    <row r="406" spans="1:16" x14ac:dyDescent="0.2">
      <c r="A406" s="153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  <c r="P406" s="154"/>
    </row>
    <row r="407" spans="1:16" x14ac:dyDescent="0.2">
      <c r="A407" s="92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  <c r="P407" s="155"/>
    </row>
    <row r="408" spans="1:16" x14ac:dyDescent="0.2">
      <c r="A408" s="153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  <c r="P408" s="154"/>
    </row>
    <row r="409" spans="1:16" x14ac:dyDescent="0.2">
      <c r="A409" s="92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  <c r="P409" s="155"/>
    </row>
    <row r="410" spans="1:16" x14ac:dyDescent="0.2">
      <c r="A410" s="153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  <c r="P410" s="154"/>
    </row>
    <row r="411" spans="1:16" x14ac:dyDescent="0.2">
      <c r="A411" s="92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  <c r="P411" s="155"/>
    </row>
    <row r="412" spans="1:16" x14ac:dyDescent="0.2">
      <c r="A412" s="153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  <c r="P412" s="154"/>
    </row>
    <row r="413" spans="1:16" x14ac:dyDescent="0.2">
      <c r="A413" s="92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  <c r="P413" s="155"/>
    </row>
    <row r="414" spans="1:16" x14ac:dyDescent="0.2">
      <c r="A414" s="153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  <c r="P414" s="154"/>
    </row>
    <row r="415" spans="1:16" x14ac:dyDescent="0.2">
      <c r="A415" s="92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  <c r="P415" s="155"/>
    </row>
    <row r="416" spans="1:16" x14ac:dyDescent="0.2">
      <c r="A416" s="153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  <c r="P416" s="154"/>
    </row>
    <row r="417" spans="1:16" x14ac:dyDescent="0.2">
      <c r="A417" s="92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  <c r="P417" s="155"/>
    </row>
    <row r="418" spans="1:16" x14ac:dyDescent="0.2">
      <c r="A418" s="153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  <c r="P418" s="154"/>
    </row>
    <row r="419" spans="1:16" x14ac:dyDescent="0.2">
      <c r="A419" s="92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  <c r="P419" s="155"/>
    </row>
    <row r="420" spans="1:16" x14ac:dyDescent="0.2">
      <c r="A420" s="153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  <c r="P420" s="154"/>
    </row>
    <row r="421" spans="1:16" x14ac:dyDescent="0.2">
      <c r="A421" s="92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  <c r="P421" s="155"/>
    </row>
    <row r="422" spans="1:16" x14ac:dyDescent="0.2">
      <c r="A422" s="153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  <c r="P422" s="154"/>
    </row>
    <row r="423" spans="1:16" x14ac:dyDescent="0.2">
      <c r="A423" s="92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  <c r="P423" s="155"/>
    </row>
    <row r="424" spans="1:16" x14ac:dyDescent="0.2">
      <c r="A424" s="153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  <c r="P424" s="154"/>
    </row>
    <row r="425" spans="1:16" x14ac:dyDescent="0.2">
      <c r="A425" s="92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  <c r="P425" s="155"/>
    </row>
    <row r="426" spans="1:16" x14ac:dyDescent="0.2">
      <c r="A426" s="153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  <c r="P426" s="154"/>
    </row>
    <row r="427" spans="1:16" x14ac:dyDescent="0.2">
      <c r="A427" s="92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  <c r="P427" s="155"/>
    </row>
    <row r="428" spans="1:16" x14ac:dyDescent="0.2">
      <c r="A428" s="153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  <c r="P428" s="154"/>
    </row>
    <row r="429" spans="1:16" x14ac:dyDescent="0.2">
      <c r="A429" s="92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  <c r="P429" s="155"/>
    </row>
    <row r="430" spans="1:16" x14ac:dyDescent="0.2">
      <c r="A430" s="153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  <c r="P430" s="154"/>
    </row>
    <row r="431" spans="1:16" x14ac:dyDescent="0.2">
      <c r="A431" s="92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  <c r="P431" s="155"/>
    </row>
    <row r="432" spans="1:16" x14ac:dyDescent="0.2">
      <c r="A432" s="153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  <c r="P432" s="154"/>
    </row>
    <row r="433" spans="1:16" x14ac:dyDescent="0.2">
      <c r="A433" s="92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  <c r="P433" s="155"/>
    </row>
    <row r="434" spans="1:16" x14ac:dyDescent="0.2">
      <c r="A434" s="153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  <c r="P434" s="154"/>
    </row>
    <row r="435" spans="1:16" x14ac:dyDescent="0.2">
      <c r="A435" s="92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  <c r="P435" s="155"/>
    </row>
    <row r="436" spans="1:16" x14ac:dyDescent="0.2">
      <c r="A436" s="153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  <c r="P436" s="154"/>
    </row>
    <row r="437" spans="1:16" x14ac:dyDescent="0.2">
      <c r="A437" s="92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  <c r="P437" s="155"/>
    </row>
    <row r="438" spans="1:16" x14ac:dyDescent="0.2">
      <c r="A438" s="153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  <c r="P438" s="154"/>
    </row>
    <row r="439" spans="1:16" x14ac:dyDescent="0.2">
      <c r="A439" s="92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  <c r="P439" s="155"/>
    </row>
    <row r="440" spans="1:16" x14ac:dyDescent="0.2">
      <c r="A440" s="153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  <c r="P440" s="154"/>
    </row>
    <row r="441" spans="1:16" x14ac:dyDescent="0.2">
      <c r="A441" s="92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  <c r="P441" s="155"/>
    </row>
    <row r="442" spans="1:16" x14ac:dyDescent="0.2">
      <c r="A442" s="153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  <c r="P442" s="154"/>
    </row>
    <row r="443" spans="1:16" x14ac:dyDescent="0.2">
      <c r="A443" s="92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  <c r="P443" s="155"/>
    </row>
    <row r="444" spans="1:16" x14ac:dyDescent="0.2">
      <c r="A444" s="153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  <c r="P444" s="154"/>
    </row>
    <row r="445" spans="1:16" x14ac:dyDescent="0.2">
      <c r="A445" s="92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  <c r="P445" s="155"/>
    </row>
    <row r="446" spans="1:16" x14ac:dyDescent="0.2">
      <c r="A446" s="153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  <c r="P446" s="154"/>
    </row>
    <row r="447" spans="1:16" x14ac:dyDescent="0.2">
      <c r="A447" s="92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  <c r="P447" s="155"/>
    </row>
    <row r="448" spans="1:16" x14ac:dyDescent="0.2">
      <c r="A448" s="153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  <c r="P448" s="154"/>
    </row>
    <row r="449" spans="1:16" x14ac:dyDescent="0.2">
      <c r="A449" s="92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  <c r="P449" s="155"/>
    </row>
    <row r="450" spans="1:16" x14ac:dyDescent="0.2">
      <c r="A450" s="153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  <c r="P450" s="154"/>
    </row>
    <row r="451" spans="1:16" x14ac:dyDescent="0.2">
      <c r="A451" s="92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  <c r="P451" s="155"/>
    </row>
    <row r="452" spans="1:16" x14ac:dyDescent="0.2">
      <c r="A452" s="153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  <c r="P452" s="154"/>
    </row>
    <row r="453" spans="1:16" x14ac:dyDescent="0.2">
      <c r="A453" s="92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  <c r="P453" s="155"/>
    </row>
    <row r="454" spans="1:16" x14ac:dyDescent="0.2">
      <c r="A454" s="153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  <c r="P454" s="154"/>
    </row>
    <row r="455" spans="1:16" x14ac:dyDescent="0.2">
      <c r="A455" s="92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  <c r="P455" s="155"/>
    </row>
    <row r="456" spans="1:16" x14ac:dyDescent="0.2">
      <c r="A456" s="153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  <c r="P456" s="154"/>
    </row>
    <row r="457" spans="1:16" x14ac:dyDescent="0.2">
      <c r="A457" s="92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  <c r="P457" s="155"/>
    </row>
    <row r="458" spans="1:16" x14ac:dyDescent="0.2">
      <c r="A458" s="153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  <c r="P458" s="154"/>
    </row>
    <row r="459" spans="1:16" x14ac:dyDescent="0.2">
      <c r="A459" s="92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  <c r="P459" s="155"/>
    </row>
    <row r="460" spans="1:16" x14ac:dyDescent="0.2">
      <c r="A460" s="153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  <c r="P460" s="154"/>
    </row>
    <row r="461" spans="1:16" x14ac:dyDescent="0.2">
      <c r="A461" s="92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  <c r="P461" s="155"/>
    </row>
    <row r="462" spans="1:16" x14ac:dyDescent="0.2">
      <c r="A462" s="153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  <c r="P462" s="154"/>
    </row>
    <row r="463" spans="1:16" x14ac:dyDescent="0.2">
      <c r="A463" s="92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  <c r="P463" s="155"/>
    </row>
    <row r="464" spans="1:16" x14ac:dyDescent="0.2">
      <c r="A464" s="153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  <c r="P464" s="154"/>
    </row>
    <row r="465" spans="1:16" x14ac:dyDescent="0.2">
      <c r="A465" s="92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  <c r="P465" s="155"/>
    </row>
    <row r="466" spans="1:16" x14ac:dyDescent="0.2">
      <c r="A466" s="153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  <c r="P466" s="154"/>
    </row>
    <row r="467" spans="1:16" x14ac:dyDescent="0.2">
      <c r="A467" s="92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  <c r="P467" s="155"/>
    </row>
    <row r="468" spans="1:16" x14ac:dyDescent="0.2">
      <c r="A468" s="153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  <c r="P468" s="154"/>
    </row>
    <row r="469" spans="1:16" x14ac:dyDescent="0.2">
      <c r="A469" s="92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  <c r="P469" s="155"/>
    </row>
    <row r="470" spans="1:16" x14ac:dyDescent="0.2">
      <c r="A470" s="153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  <c r="P470" s="154"/>
    </row>
    <row r="471" spans="1:16" x14ac:dyDescent="0.2">
      <c r="A471" s="92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  <c r="P471" s="155"/>
    </row>
    <row r="472" spans="1:16" x14ac:dyDescent="0.2">
      <c r="A472" s="153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  <c r="P472" s="154"/>
    </row>
    <row r="473" spans="1:16" x14ac:dyDescent="0.2">
      <c r="A473" s="92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  <c r="P473" s="155"/>
    </row>
    <row r="474" spans="1:16" x14ac:dyDescent="0.2">
      <c r="A474" s="153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  <c r="P474" s="154"/>
    </row>
    <row r="475" spans="1:16" x14ac:dyDescent="0.2">
      <c r="A475" s="92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  <c r="P475" s="155"/>
    </row>
    <row r="476" spans="1:16" x14ac:dyDescent="0.2">
      <c r="A476" s="153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  <c r="P476" s="154"/>
    </row>
    <row r="477" spans="1:16" x14ac:dyDescent="0.2">
      <c r="A477" s="92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  <c r="P477" s="155"/>
    </row>
    <row r="478" spans="1:16" x14ac:dyDescent="0.2">
      <c r="A478" s="153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  <c r="P478" s="154"/>
    </row>
    <row r="479" spans="1:16" x14ac:dyDescent="0.2">
      <c r="A479" s="92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  <c r="P479" s="155"/>
    </row>
    <row r="480" spans="1:16" x14ac:dyDescent="0.2">
      <c r="A480" s="153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  <c r="P480" s="154"/>
    </row>
    <row r="481" spans="1:16" x14ac:dyDescent="0.2">
      <c r="A481" s="92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  <c r="P481" s="155"/>
    </row>
    <row r="482" spans="1:16" x14ac:dyDescent="0.2">
      <c r="A482" s="153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  <c r="P482" s="154"/>
    </row>
    <row r="483" spans="1:16" x14ac:dyDescent="0.2">
      <c r="A483" s="92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  <c r="P483" s="155"/>
    </row>
    <row r="484" spans="1:16" x14ac:dyDescent="0.2">
      <c r="A484" s="153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  <c r="P484" s="154"/>
    </row>
    <row r="485" spans="1:16" x14ac:dyDescent="0.2">
      <c r="A485" s="92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  <c r="P485" s="155"/>
    </row>
    <row r="486" spans="1:16" x14ac:dyDescent="0.2">
      <c r="A486" s="153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  <c r="P486" s="154"/>
    </row>
    <row r="487" spans="1:16" x14ac:dyDescent="0.2">
      <c r="A487" s="92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  <c r="P487" s="155"/>
    </row>
    <row r="488" spans="1:16" x14ac:dyDescent="0.2">
      <c r="A488" s="153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  <c r="P488" s="154"/>
    </row>
    <row r="489" spans="1:16" x14ac:dyDescent="0.2">
      <c r="A489" s="92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  <c r="P489" s="155"/>
    </row>
    <row r="490" spans="1:16" x14ac:dyDescent="0.2">
      <c r="A490" s="153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  <c r="P490" s="154"/>
    </row>
    <row r="491" spans="1:16" x14ac:dyDescent="0.2">
      <c r="A491" s="92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  <c r="P491" s="155"/>
    </row>
    <row r="492" spans="1:16" x14ac:dyDescent="0.2">
      <c r="A492" s="153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  <c r="P492" s="154"/>
    </row>
    <row r="493" spans="1:16" x14ac:dyDescent="0.2">
      <c r="A493" s="92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  <c r="P493" s="155"/>
    </row>
    <row r="494" spans="1:16" x14ac:dyDescent="0.2">
      <c r="A494" s="153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  <c r="P494" s="154"/>
    </row>
    <row r="495" spans="1:16" x14ac:dyDescent="0.2">
      <c r="A495" s="92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  <c r="P495" s="155"/>
    </row>
    <row r="496" spans="1:16" x14ac:dyDescent="0.2">
      <c r="A496" s="153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  <c r="P496" s="154"/>
    </row>
    <row r="497" spans="1:16" x14ac:dyDescent="0.2">
      <c r="A497" s="92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  <c r="P497" s="155"/>
    </row>
    <row r="498" spans="1:16" x14ac:dyDescent="0.2">
      <c r="A498" s="153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  <c r="P498" s="154"/>
    </row>
    <row r="499" spans="1:16" x14ac:dyDescent="0.2">
      <c r="A499" s="92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  <c r="P499" s="155"/>
    </row>
    <row r="500" spans="1:16" x14ac:dyDescent="0.2">
      <c r="A500" s="153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  <c r="P500" s="154"/>
    </row>
    <row r="501" spans="1:16" x14ac:dyDescent="0.2">
      <c r="A501" s="92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  <c r="P501" s="155"/>
    </row>
    <row r="502" spans="1:16" x14ac:dyDescent="0.2">
      <c r="A502" s="153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  <c r="P502" s="154"/>
    </row>
    <row r="503" spans="1:16" x14ac:dyDescent="0.2">
      <c r="A503" s="92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  <c r="P503" s="155"/>
    </row>
    <row r="504" spans="1:16" x14ac:dyDescent="0.2">
      <c r="A504" s="153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  <c r="P504" s="154"/>
    </row>
    <row r="505" spans="1:16" x14ac:dyDescent="0.2">
      <c r="A505" s="92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  <c r="P505" s="155"/>
    </row>
    <row r="506" spans="1:16" x14ac:dyDescent="0.2">
      <c r="A506" s="153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  <c r="P506" s="154"/>
    </row>
    <row r="507" spans="1:16" x14ac:dyDescent="0.2">
      <c r="A507" s="92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  <c r="P507" s="155"/>
    </row>
    <row r="508" spans="1:16" x14ac:dyDescent="0.2">
      <c r="A508" s="153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  <c r="P508" s="154"/>
    </row>
    <row r="509" spans="1:16" x14ac:dyDescent="0.2">
      <c r="A509" s="92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  <c r="P509" s="155"/>
    </row>
    <row r="510" spans="1:16" x14ac:dyDescent="0.2">
      <c r="A510" s="153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  <c r="P510" s="154"/>
    </row>
    <row r="511" spans="1:16" x14ac:dyDescent="0.2">
      <c r="A511" s="92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  <c r="P511" s="155"/>
    </row>
    <row r="512" spans="1:16" x14ac:dyDescent="0.2">
      <c r="A512" s="153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  <c r="P512" s="154"/>
    </row>
    <row r="513" spans="1:16" x14ac:dyDescent="0.2">
      <c r="A513" s="92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  <c r="P513" s="155"/>
    </row>
    <row r="514" spans="1:16" x14ac:dyDescent="0.2">
      <c r="A514" s="153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  <c r="P514" s="154"/>
    </row>
    <row r="515" spans="1:16" x14ac:dyDescent="0.2">
      <c r="A515" s="92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  <c r="P515" s="155"/>
    </row>
    <row r="516" spans="1:16" x14ac:dyDescent="0.2">
      <c r="A516" s="153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  <c r="P516" s="154"/>
    </row>
    <row r="517" spans="1:16" x14ac:dyDescent="0.2">
      <c r="A517" s="92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  <c r="P517" s="155"/>
    </row>
    <row r="518" spans="1:16" x14ac:dyDescent="0.2">
      <c r="A518" s="153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  <c r="P518" s="154"/>
    </row>
    <row r="519" spans="1:16" x14ac:dyDescent="0.2">
      <c r="A519" s="92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  <c r="P519" s="155"/>
    </row>
    <row r="520" spans="1:16" x14ac:dyDescent="0.2">
      <c r="A520" s="153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  <c r="P520" s="154"/>
    </row>
    <row r="521" spans="1:16" x14ac:dyDescent="0.2">
      <c r="A521" s="92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  <c r="P521" s="155"/>
    </row>
    <row r="522" spans="1:16" x14ac:dyDescent="0.2">
      <c r="A522" s="153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  <c r="P522" s="154"/>
    </row>
    <row r="523" spans="1:16" x14ac:dyDescent="0.2">
      <c r="A523" s="92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  <c r="P523" s="155"/>
    </row>
    <row r="524" spans="1:16" x14ac:dyDescent="0.2">
      <c r="A524" s="153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  <c r="P524" s="154"/>
    </row>
    <row r="525" spans="1:16" x14ac:dyDescent="0.2">
      <c r="A525" s="92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  <c r="P525" s="155"/>
    </row>
    <row r="526" spans="1:16" x14ac:dyDescent="0.2">
      <c r="A526" s="153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  <c r="P526" s="154"/>
    </row>
    <row r="527" spans="1:16" x14ac:dyDescent="0.2">
      <c r="A527" s="92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  <c r="P527" s="155"/>
    </row>
    <row r="528" spans="1:16" x14ac:dyDescent="0.2">
      <c r="A528" s="153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  <c r="P528" s="154"/>
    </row>
    <row r="529" spans="1:16" x14ac:dyDescent="0.2">
      <c r="A529" s="92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  <c r="P529" s="155"/>
    </row>
    <row r="530" spans="1:16" x14ac:dyDescent="0.2">
      <c r="A530" s="153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  <c r="P530" s="154"/>
    </row>
    <row r="531" spans="1:16" x14ac:dyDescent="0.2">
      <c r="A531" s="92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  <c r="P531" s="155"/>
    </row>
    <row r="532" spans="1:16" x14ac:dyDescent="0.2">
      <c r="A532" s="153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  <c r="P532" s="154"/>
    </row>
    <row r="533" spans="1:16" x14ac:dyDescent="0.2">
      <c r="A533" s="92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  <c r="P533" s="155"/>
    </row>
    <row r="534" spans="1:16" x14ac:dyDescent="0.2">
      <c r="A534" s="153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  <c r="P534" s="154"/>
    </row>
    <row r="535" spans="1:16" x14ac:dyDescent="0.2">
      <c r="A535" s="92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  <c r="P535" s="155"/>
    </row>
    <row r="536" spans="1:16" x14ac:dyDescent="0.2">
      <c r="A536" s="153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  <c r="P536" s="154"/>
    </row>
    <row r="537" spans="1:16" x14ac:dyDescent="0.2">
      <c r="A537" s="92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  <c r="P537" s="155"/>
    </row>
    <row r="538" spans="1:16" x14ac:dyDescent="0.2">
      <c r="A538" s="153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  <c r="P538" s="154"/>
    </row>
    <row r="539" spans="1:16" x14ac:dyDescent="0.2">
      <c r="A539" s="92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  <c r="P539" s="155"/>
    </row>
    <row r="540" spans="1:16" x14ac:dyDescent="0.2">
      <c r="A540" s="153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  <c r="P540" s="154"/>
    </row>
    <row r="541" spans="1:16" x14ac:dyDescent="0.2">
      <c r="A541" s="92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  <c r="P541" s="155"/>
    </row>
    <row r="542" spans="1:16" x14ac:dyDescent="0.2">
      <c r="A542" s="153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  <c r="P542" s="154"/>
    </row>
    <row r="543" spans="1:16" x14ac:dyDescent="0.2">
      <c r="A543" s="92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  <c r="P543" s="155"/>
    </row>
    <row r="544" spans="1:16" x14ac:dyDescent="0.2">
      <c r="A544" s="153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  <c r="P544" s="154"/>
    </row>
    <row r="545" spans="1:16" x14ac:dyDescent="0.2">
      <c r="A545" s="92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  <c r="P545" s="155"/>
    </row>
    <row r="546" spans="1:16" x14ac:dyDescent="0.2">
      <c r="A546" s="153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  <c r="P546" s="154"/>
    </row>
    <row r="547" spans="1:16" x14ac:dyDescent="0.2">
      <c r="A547" s="92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  <c r="P547" s="155"/>
    </row>
    <row r="548" spans="1:16" x14ac:dyDescent="0.2">
      <c r="A548" s="153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  <c r="P548" s="154"/>
    </row>
    <row r="549" spans="1:16" x14ac:dyDescent="0.2">
      <c r="A549" s="92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  <c r="P549" s="155"/>
    </row>
    <row r="550" spans="1:16" x14ac:dyDescent="0.2">
      <c r="A550" s="153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  <c r="P550" s="154"/>
    </row>
    <row r="551" spans="1:16" x14ac:dyDescent="0.2">
      <c r="A551" s="92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  <c r="P551" s="155"/>
    </row>
    <row r="552" spans="1:16" x14ac:dyDescent="0.2">
      <c r="A552" s="153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  <c r="P552" s="154"/>
    </row>
    <row r="553" spans="1:16" x14ac:dyDescent="0.2">
      <c r="A553" s="92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  <c r="P553" s="155"/>
    </row>
    <row r="554" spans="1:16" x14ac:dyDescent="0.2">
      <c r="A554" s="153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  <c r="P554" s="154"/>
    </row>
    <row r="555" spans="1:16" x14ac:dyDescent="0.2">
      <c r="A555" s="92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  <c r="P555" s="155"/>
    </row>
    <row r="556" spans="1:16" x14ac:dyDescent="0.2">
      <c r="A556" s="153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  <c r="P556" s="154"/>
    </row>
    <row r="557" spans="1:16" x14ac:dyDescent="0.2">
      <c r="A557" s="92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  <c r="P557" s="155"/>
    </row>
    <row r="558" spans="1:16" x14ac:dyDescent="0.2">
      <c r="A558" s="153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  <c r="P558" s="154"/>
    </row>
    <row r="559" spans="1:16" x14ac:dyDescent="0.2">
      <c r="A559" s="92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  <c r="P559" s="155"/>
    </row>
    <row r="560" spans="1:16" x14ac:dyDescent="0.2">
      <c r="A560" s="153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  <c r="P560" s="154"/>
    </row>
    <row r="561" spans="1:16" x14ac:dyDescent="0.2">
      <c r="A561" s="92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  <c r="P561" s="155"/>
    </row>
    <row r="562" spans="1:16" x14ac:dyDescent="0.2">
      <c r="A562" s="153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  <c r="P562" s="154"/>
    </row>
    <row r="563" spans="1:16" x14ac:dyDescent="0.2">
      <c r="A563" s="92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  <c r="P563" s="155"/>
    </row>
    <row r="564" spans="1:16" x14ac:dyDescent="0.2">
      <c r="A564" s="153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  <c r="P564" s="154"/>
    </row>
    <row r="565" spans="1:16" x14ac:dyDescent="0.2">
      <c r="A565" s="92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  <c r="P565" s="155"/>
    </row>
    <row r="566" spans="1:16" x14ac:dyDescent="0.2">
      <c r="A566" s="153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  <c r="P566" s="154"/>
    </row>
    <row r="567" spans="1:16" x14ac:dyDescent="0.2">
      <c r="A567" s="92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  <c r="P567" s="155"/>
    </row>
    <row r="568" spans="1:16" x14ac:dyDescent="0.2">
      <c r="A568" s="153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  <c r="P568" s="154"/>
    </row>
    <row r="569" spans="1:16" x14ac:dyDescent="0.2">
      <c r="A569" s="92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  <c r="P569" s="155"/>
    </row>
    <row r="570" spans="1:16" x14ac:dyDescent="0.2">
      <c r="A570" s="153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  <c r="P570" s="154"/>
    </row>
    <row r="571" spans="1:16" x14ac:dyDescent="0.2">
      <c r="A571" s="92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  <c r="P571" s="155"/>
    </row>
    <row r="572" spans="1:16" x14ac:dyDescent="0.2">
      <c r="A572" s="153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  <c r="P572" s="154"/>
    </row>
    <row r="573" spans="1:16" x14ac:dyDescent="0.2">
      <c r="A573" s="92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  <c r="P573" s="155"/>
    </row>
    <row r="574" spans="1:16" x14ac:dyDescent="0.2">
      <c r="A574" s="153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  <c r="P574" s="154"/>
    </row>
    <row r="575" spans="1:16" x14ac:dyDescent="0.2">
      <c r="A575" s="92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  <c r="P575" s="155"/>
    </row>
    <row r="576" spans="1:16" x14ac:dyDescent="0.2">
      <c r="A576" s="153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  <c r="P576" s="154"/>
    </row>
    <row r="577" spans="1:16" x14ac:dyDescent="0.2">
      <c r="A577" s="92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  <c r="P577" s="155"/>
    </row>
    <row r="578" spans="1:16" x14ac:dyDescent="0.2">
      <c r="A578" s="153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  <c r="P578" s="154"/>
    </row>
    <row r="579" spans="1:16" x14ac:dyDescent="0.2">
      <c r="A579" s="92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  <c r="P579" s="155"/>
    </row>
    <row r="580" spans="1:16" x14ac:dyDescent="0.2">
      <c r="A580" s="153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  <c r="P580" s="154"/>
    </row>
    <row r="581" spans="1:16" x14ac:dyDescent="0.2">
      <c r="A581" s="92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  <c r="P581" s="155"/>
    </row>
    <row r="582" spans="1:16" x14ac:dyDescent="0.2">
      <c r="A582" s="153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  <c r="P582" s="154"/>
    </row>
    <row r="583" spans="1:16" x14ac:dyDescent="0.2">
      <c r="A583" s="92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  <c r="P583" s="155"/>
    </row>
    <row r="584" spans="1:16" x14ac:dyDescent="0.2">
      <c r="A584" s="153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  <c r="P584" s="154"/>
    </row>
    <row r="585" spans="1:16" x14ac:dyDescent="0.2">
      <c r="A585" s="92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  <c r="P585" s="155"/>
    </row>
    <row r="586" spans="1:16" x14ac:dyDescent="0.2">
      <c r="A586" s="153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  <c r="P586" s="154"/>
    </row>
    <row r="587" spans="1:16" x14ac:dyDescent="0.2">
      <c r="A587" s="92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  <c r="P587" s="155"/>
    </row>
    <row r="588" spans="1:16" x14ac:dyDescent="0.2">
      <c r="A588" s="153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  <c r="P588" s="154"/>
    </row>
    <row r="589" spans="1:16" x14ac:dyDescent="0.2">
      <c r="A589" s="92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  <c r="P589" s="155"/>
    </row>
    <row r="590" spans="1:16" x14ac:dyDescent="0.2">
      <c r="A590" s="153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  <c r="P590" s="154"/>
    </row>
    <row r="591" spans="1:16" x14ac:dyDescent="0.2">
      <c r="A591" s="92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  <c r="P591" s="155"/>
    </row>
    <row r="592" spans="1:16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R76">
    <sortCondition descending="1" ref="R1:R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B1:G53"/>
  <sheetViews>
    <sheetView zoomScale="90" zoomScaleNormal="90" workbookViewId="0">
      <selection activeCell="J37" sqref="J37"/>
    </sheetView>
  </sheetViews>
  <sheetFormatPr defaultColWidth="9.140625" defaultRowHeight="12.75" x14ac:dyDescent="0.2"/>
  <cols>
    <col min="2" max="2" width="22.28515625" bestFit="1" customWidth="1"/>
    <col min="5" max="5" width="22.28515625" bestFit="1" customWidth="1"/>
    <col min="7" max="7" width="9.140625" customWidth="1"/>
    <col min="8" max="8" width="9.85546875" customWidth="1"/>
  </cols>
  <sheetData>
    <row r="1" spans="2:7" x14ac:dyDescent="0.2">
      <c r="B1" s="36"/>
      <c r="C1" s="37"/>
      <c r="D1" s="37"/>
      <c r="E1" s="37"/>
      <c r="F1" s="37"/>
      <c r="G1" s="38"/>
    </row>
    <row r="2" spans="2:7" x14ac:dyDescent="0.2">
      <c r="B2" s="39"/>
      <c r="E2" s="7" t="s">
        <v>148</v>
      </c>
      <c r="G2" s="40"/>
    </row>
    <row r="3" spans="2:7" x14ac:dyDescent="0.2">
      <c r="B3" s="39"/>
      <c r="E3" s="34" t="s">
        <v>149</v>
      </c>
      <c r="F3" s="173"/>
      <c r="G3" s="174"/>
    </row>
    <row r="4" spans="2:7" x14ac:dyDescent="0.2">
      <c r="B4" s="39"/>
      <c r="E4" s="171" t="s">
        <v>150</v>
      </c>
      <c r="F4" s="170"/>
      <c r="G4" s="170"/>
    </row>
    <row r="5" spans="2:7" x14ac:dyDescent="0.2">
      <c r="B5" s="39"/>
      <c r="E5" s="172"/>
      <c r="F5" s="170"/>
      <c r="G5" s="170"/>
    </row>
    <row r="6" spans="2:7" x14ac:dyDescent="0.2">
      <c r="B6" s="39"/>
      <c r="G6" s="40"/>
    </row>
    <row r="7" spans="2:7" x14ac:dyDescent="0.2">
      <c r="B7" s="39"/>
      <c r="E7" s="26" t="s">
        <v>158</v>
      </c>
      <c r="F7" s="170"/>
      <c r="G7" s="170"/>
    </row>
    <row r="8" spans="2:7" x14ac:dyDescent="0.2">
      <c r="B8" s="39"/>
      <c r="E8" s="26" t="s">
        <v>159</v>
      </c>
      <c r="F8" s="170"/>
      <c r="G8" s="170"/>
    </row>
    <row r="9" spans="2:7" x14ac:dyDescent="0.2">
      <c r="B9" s="39"/>
      <c r="G9" s="40"/>
    </row>
    <row r="10" spans="2:7" x14ac:dyDescent="0.2">
      <c r="B10" s="39"/>
      <c r="G10" s="40"/>
    </row>
    <row r="11" spans="2:7" x14ac:dyDescent="0.2">
      <c r="B11" s="41" t="s">
        <v>155</v>
      </c>
      <c r="C11" s="42"/>
      <c r="E11" s="43" t="s">
        <v>156</v>
      </c>
      <c r="F11" s="42"/>
      <c r="G11" s="40"/>
    </row>
    <row r="12" spans="2:7" x14ac:dyDescent="0.2">
      <c r="B12" s="39"/>
      <c r="G12" s="40"/>
    </row>
    <row r="13" spans="2:7" x14ac:dyDescent="0.2">
      <c r="B13" s="26" t="s">
        <v>151</v>
      </c>
      <c r="C13" s="27"/>
      <c r="E13" s="26" t="s">
        <v>162</v>
      </c>
      <c r="F13" s="27"/>
      <c r="G13" s="40"/>
    </row>
    <row r="14" spans="2:7" x14ac:dyDescent="0.2">
      <c r="B14" s="26" t="s">
        <v>152</v>
      </c>
      <c r="C14" s="27"/>
      <c r="E14" s="26" t="s">
        <v>163</v>
      </c>
      <c r="F14" s="27"/>
      <c r="G14" s="40"/>
    </row>
    <row r="15" spans="2:7" x14ac:dyDescent="0.2">
      <c r="B15" s="26" t="s">
        <v>153</v>
      </c>
      <c r="C15" s="27"/>
      <c r="E15" s="26" t="s">
        <v>153</v>
      </c>
      <c r="F15" s="27"/>
      <c r="G15" s="40"/>
    </row>
    <row r="16" spans="2:7" x14ac:dyDescent="0.2">
      <c r="B16" s="28" t="s">
        <v>154</v>
      </c>
      <c r="C16" s="29"/>
      <c r="E16" s="28" t="s">
        <v>154</v>
      </c>
      <c r="F16" s="29"/>
      <c r="G16" s="40"/>
    </row>
    <row r="17" spans="2:7" x14ac:dyDescent="0.2">
      <c r="B17" s="32"/>
      <c r="C17" s="33"/>
      <c r="E17" s="35"/>
      <c r="F17" s="33"/>
      <c r="G17" s="40"/>
    </row>
    <row r="18" spans="2:7" x14ac:dyDescent="0.2">
      <c r="B18" s="30" t="s">
        <v>157</v>
      </c>
      <c r="C18" s="31"/>
      <c r="E18" s="30" t="s">
        <v>157</v>
      </c>
      <c r="F18" s="31"/>
      <c r="G18" s="40"/>
    </row>
    <row r="19" spans="2:7" x14ac:dyDescent="0.2">
      <c r="B19" s="44"/>
      <c r="G19" s="40"/>
    </row>
    <row r="20" spans="2:7" x14ac:dyDescent="0.2">
      <c r="B20" s="39"/>
      <c r="G20" s="40"/>
    </row>
    <row r="21" spans="2:7" x14ac:dyDescent="0.2">
      <c r="B21" s="44" t="s">
        <v>160</v>
      </c>
      <c r="C21" s="22"/>
      <c r="D21" s="22"/>
      <c r="E21" s="22"/>
      <c r="F21" s="22"/>
      <c r="G21" s="40"/>
    </row>
    <row r="22" spans="2:7" x14ac:dyDescent="0.2">
      <c r="B22" s="39"/>
      <c r="G22" s="40"/>
    </row>
    <row r="23" spans="2:7" x14ac:dyDescent="0.2">
      <c r="B23" s="44" t="s">
        <v>161</v>
      </c>
      <c r="C23" s="22"/>
      <c r="D23" s="22"/>
      <c r="E23" s="22"/>
      <c r="F23" s="22"/>
      <c r="G23" s="40"/>
    </row>
    <row r="24" spans="2:7" x14ac:dyDescent="0.2">
      <c r="B24" s="39"/>
      <c r="G24" s="40"/>
    </row>
    <row r="25" spans="2:7" x14ac:dyDescent="0.2">
      <c r="B25" s="45"/>
      <c r="C25" s="22"/>
      <c r="D25" s="22"/>
      <c r="E25" s="22"/>
      <c r="F25" s="22"/>
      <c r="G25" s="46"/>
    </row>
    <row r="27" spans="2:7" ht="13.5" thickBot="1" x14ac:dyDescent="0.25">
      <c r="B27" s="23"/>
      <c r="C27" s="23"/>
      <c r="D27" s="23"/>
      <c r="E27" s="23"/>
      <c r="F27" s="23"/>
      <c r="G27" s="23"/>
    </row>
    <row r="29" spans="2:7" x14ac:dyDescent="0.2">
      <c r="B29" s="36"/>
      <c r="C29" s="37"/>
      <c r="D29" s="37"/>
      <c r="E29" s="37"/>
      <c r="F29" s="37"/>
      <c r="G29" s="38"/>
    </row>
    <row r="30" spans="2:7" x14ac:dyDescent="0.2">
      <c r="B30" s="39"/>
      <c r="E30" s="7" t="s">
        <v>148</v>
      </c>
      <c r="G30" s="40"/>
    </row>
    <row r="31" spans="2:7" x14ac:dyDescent="0.2">
      <c r="B31" s="39"/>
      <c r="E31" s="34" t="s">
        <v>149</v>
      </c>
      <c r="F31" s="173"/>
      <c r="G31" s="174"/>
    </row>
    <row r="32" spans="2:7" x14ac:dyDescent="0.2">
      <c r="B32" s="39"/>
      <c r="E32" s="171" t="s">
        <v>150</v>
      </c>
      <c r="F32" s="170"/>
      <c r="G32" s="170"/>
    </row>
    <row r="33" spans="2:7" x14ac:dyDescent="0.2">
      <c r="B33" s="39"/>
      <c r="E33" s="172"/>
      <c r="F33" s="170"/>
      <c r="G33" s="170"/>
    </row>
    <row r="34" spans="2:7" x14ac:dyDescent="0.2">
      <c r="B34" s="39"/>
      <c r="G34" s="40"/>
    </row>
    <row r="35" spans="2:7" x14ac:dyDescent="0.2">
      <c r="B35" s="39"/>
      <c r="E35" s="26" t="s">
        <v>158</v>
      </c>
      <c r="F35" s="170"/>
      <c r="G35" s="170"/>
    </row>
    <row r="36" spans="2:7" x14ac:dyDescent="0.2">
      <c r="B36" s="39"/>
      <c r="E36" s="26" t="s">
        <v>159</v>
      </c>
      <c r="F36" s="170"/>
      <c r="G36" s="170"/>
    </row>
    <row r="37" spans="2:7" x14ac:dyDescent="0.2">
      <c r="B37" s="39"/>
      <c r="G37" s="40"/>
    </row>
    <row r="38" spans="2:7" x14ac:dyDescent="0.2">
      <c r="B38" s="39"/>
      <c r="G38" s="40"/>
    </row>
    <row r="39" spans="2:7" x14ac:dyDescent="0.2">
      <c r="B39" s="41" t="s">
        <v>155</v>
      </c>
      <c r="C39" s="42"/>
      <c r="E39" s="43" t="s">
        <v>156</v>
      </c>
      <c r="F39" s="42"/>
      <c r="G39" s="40"/>
    </row>
    <row r="40" spans="2:7" x14ac:dyDescent="0.2">
      <c r="B40" s="39"/>
      <c r="G40" s="40"/>
    </row>
    <row r="41" spans="2:7" x14ac:dyDescent="0.2">
      <c r="B41" s="26" t="s">
        <v>162</v>
      </c>
      <c r="C41" s="27"/>
      <c r="E41" s="26" t="s">
        <v>162</v>
      </c>
      <c r="F41" s="27"/>
      <c r="G41" s="40"/>
    </row>
    <row r="42" spans="2:7" x14ac:dyDescent="0.2">
      <c r="B42" s="26" t="s">
        <v>163</v>
      </c>
      <c r="C42" s="27"/>
      <c r="E42" s="26" t="s">
        <v>163</v>
      </c>
      <c r="F42" s="27"/>
      <c r="G42" s="40"/>
    </row>
    <row r="43" spans="2:7" x14ac:dyDescent="0.2">
      <c r="B43" s="26" t="s">
        <v>153</v>
      </c>
      <c r="C43" s="27"/>
      <c r="E43" s="26" t="s">
        <v>153</v>
      </c>
      <c r="F43" s="27"/>
      <c r="G43" s="40"/>
    </row>
    <row r="44" spans="2:7" x14ac:dyDescent="0.2">
      <c r="B44" s="28" t="s">
        <v>154</v>
      </c>
      <c r="C44" s="29"/>
      <c r="E44" s="28" t="s">
        <v>154</v>
      </c>
      <c r="F44" s="29"/>
      <c r="G44" s="40"/>
    </row>
    <row r="45" spans="2:7" x14ac:dyDescent="0.2">
      <c r="B45" s="32"/>
      <c r="C45" s="33"/>
      <c r="E45" s="35"/>
      <c r="F45" s="33"/>
      <c r="G45" s="40"/>
    </row>
    <row r="46" spans="2:7" x14ac:dyDescent="0.2">
      <c r="B46" s="30" t="s">
        <v>157</v>
      </c>
      <c r="C46" s="31"/>
      <c r="E46" s="30" t="s">
        <v>157</v>
      </c>
      <c r="F46" s="31"/>
      <c r="G46" s="40"/>
    </row>
    <row r="47" spans="2:7" x14ac:dyDescent="0.2">
      <c r="B47" s="44"/>
      <c r="G47" s="40"/>
    </row>
    <row r="48" spans="2:7" x14ac:dyDescent="0.2">
      <c r="B48" s="39"/>
      <c r="G48" s="40"/>
    </row>
    <row r="49" spans="2:7" x14ac:dyDescent="0.2">
      <c r="B49" s="44" t="s">
        <v>160</v>
      </c>
      <c r="C49" s="22"/>
      <c r="D49" s="22"/>
      <c r="E49" s="22"/>
      <c r="F49" s="22"/>
      <c r="G49" s="40"/>
    </row>
    <row r="50" spans="2:7" x14ac:dyDescent="0.2">
      <c r="B50" s="39"/>
      <c r="G50" s="40"/>
    </row>
    <row r="51" spans="2:7" x14ac:dyDescent="0.2">
      <c r="B51" s="44" t="s">
        <v>161</v>
      </c>
      <c r="C51" s="22"/>
      <c r="D51" s="22"/>
      <c r="E51" s="22"/>
      <c r="F51" s="22"/>
      <c r="G51" s="40"/>
    </row>
    <row r="52" spans="2:7" x14ac:dyDescent="0.2">
      <c r="B52" s="39"/>
      <c r="G52" s="40"/>
    </row>
    <row r="53" spans="2:7" x14ac:dyDescent="0.2">
      <c r="B53" s="45"/>
      <c r="C53" s="22"/>
      <c r="D53" s="22"/>
      <c r="E53" s="22"/>
      <c r="F53" s="22"/>
      <c r="G53" s="46"/>
    </row>
  </sheetData>
  <mergeCells count="12">
    <mergeCell ref="F36:G36"/>
    <mergeCell ref="F4:G4"/>
    <mergeCell ref="F5:G5"/>
    <mergeCell ref="E4:E5"/>
    <mergeCell ref="F3:G3"/>
    <mergeCell ref="F7:G7"/>
    <mergeCell ref="F8:G8"/>
    <mergeCell ref="F31:G31"/>
    <mergeCell ref="E32:E33"/>
    <mergeCell ref="F32:G32"/>
    <mergeCell ref="F33:G33"/>
    <mergeCell ref="F35:G35"/>
  </mergeCells>
  <pageMargins left="0.25" right="0.25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00B0F0"/>
  </sheetPr>
  <dimension ref="A1:AG48"/>
  <sheetViews>
    <sheetView topLeftCell="A7" workbookViewId="0">
      <selection activeCell="AD3" sqref="AD3"/>
    </sheetView>
  </sheetViews>
  <sheetFormatPr defaultRowHeight="12.75" x14ac:dyDescent="0.2"/>
  <cols>
    <col min="1" max="1" width="15" customWidth="1"/>
    <col min="2" max="2" width="14.140625" bestFit="1" customWidth="1"/>
    <col min="3" max="3" width="15.28515625" customWidth="1"/>
    <col min="4" max="4" width="15" customWidth="1"/>
    <col min="5" max="5" width="11.7109375" customWidth="1"/>
    <col min="6" max="6" width="13.42578125" customWidth="1"/>
    <col min="7" max="7" width="15" customWidth="1"/>
    <col min="8" max="8" width="12.28515625" customWidth="1"/>
    <col min="9" max="9" width="14" customWidth="1"/>
    <col min="10" max="10" width="15" customWidth="1"/>
    <col min="11" max="11" width="13.42578125" customWidth="1"/>
    <col min="14" max="14" width="17.7109375" bestFit="1" customWidth="1"/>
    <col min="15" max="15" width="9.5703125" bestFit="1" customWidth="1"/>
    <col min="16" max="17" width="9.28515625" bestFit="1" customWidth="1"/>
  </cols>
  <sheetData>
    <row r="1" spans="1:33" ht="13.5" thickBot="1" x14ac:dyDescent="0.25">
      <c r="A1" s="175">
        <v>2015</v>
      </c>
      <c r="B1" s="175"/>
      <c r="D1" s="175">
        <v>2016</v>
      </c>
      <c r="E1" s="175"/>
      <c r="G1" s="175">
        <v>2017</v>
      </c>
      <c r="H1" s="175"/>
      <c r="J1" s="175">
        <v>2018</v>
      </c>
      <c r="K1" s="175"/>
      <c r="N1" s="3" t="s">
        <v>177</v>
      </c>
      <c r="O1" s="3" t="s">
        <v>179</v>
      </c>
      <c r="P1" s="3" t="s">
        <v>180</v>
      </c>
      <c r="Q1" s="3" t="s">
        <v>181</v>
      </c>
      <c r="R1" s="3" t="s">
        <v>182</v>
      </c>
      <c r="S1" s="3" t="s">
        <v>183</v>
      </c>
      <c r="T1" s="3" t="s">
        <v>184</v>
      </c>
      <c r="U1" s="3" t="s">
        <v>185</v>
      </c>
      <c r="V1" s="3" t="s">
        <v>186</v>
      </c>
      <c r="W1" s="3" t="s">
        <v>187</v>
      </c>
      <c r="X1" s="3" t="s">
        <v>188</v>
      </c>
      <c r="Y1" s="3" t="s">
        <v>189</v>
      </c>
      <c r="Z1" s="3" t="s">
        <v>190</v>
      </c>
      <c r="AA1" s="3" t="s">
        <v>191</v>
      </c>
      <c r="AB1" s="3" t="s">
        <v>192</v>
      </c>
      <c r="AC1" s="3" t="s">
        <v>193</v>
      </c>
      <c r="AD1" s="3" t="s">
        <v>432</v>
      </c>
      <c r="AE1" s="3" t="s">
        <v>433</v>
      </c>
      <c r="AF1" s="3" t="s">
        <v>434</v>
      </c>
      <c r="AG1" s="3" t="s">
        <v>435</v>
      </c>
    </row>
    <row r="2" spans="1:33" ht="13.5" thickBot="1" x14ac:dyDescent="0.25">
      <c r="A2" s="72" t="s">
        <v>170</v>
      </c>
      <c r="B2" s="73" t="str">
        <f ca="1">IFERROR(AVERAGE(INDIRECT("'"&amp;A1&amp;"'!"&amp;"$E$2:$E$77")),"-")</f>
        <v>-</v>
      </c>
      <c r="D2" s="72" t="s">
        <v>170</v>
      </c>
      <c r="E2" s="73">
        <f ca="1">IFERROR(AVERAGE(INDIRECT("'"&amp;D1&amp;"'!"&amp;"$E$2:$E$77")),"-")</f>
        <v>8.2906250000000021</v>
      </c>
      <c r="G2" s="72" t="s">
        <v>170</v>
      </c>
      <c r="H2" s="73">
        <f ca="1">IFERROR(AVERAGE(INDIRECT("'"&amp;G1&amp;"'!"&amp;"$E$2:$E$77")),"-")</f>
        <v>5.7963636363636377</v>
      </c>
      <c r="J2" s="72" t="s">
        <v>170</v>
      </c>
      <c r="K2" s="73">
        <f ca="1">IFERROR(AVERAGE(INDIRECT("'"&amp;J1&amp;"'!"&amp;"$E$2:$E$77")),"-")</f>
        <v>3.8776315789473697</v>
      </c>
      <c r="N2" s="3" t="s">
        <v>170</v>
      </c>
      <c r="O2" s="131">
        <f t="shared" ref="O2" ca="1" si="0">IFERROR(AVERAGE(INDIRECT("'"&amp;O1&amp;"'!"&amp;"$E$2:$E$77")),"-")</f>
        <v>8.2906250000000021</v>
      </c>
      <c r="P2" s="131">
        <f t="shared" ref="P2" ca="1" si="1">IFERROR(AVERAGE(INDIRECT("'"&amp;P1&amp;"'!"&amp;"$E$2:$E$77")),"-")</f>
        <v>5.7963636363636377</v>
      </c>
      <c r="Q2" s="131">
        <f t="shared" ref="Q2" ca="1" si="2">IFERROR(AVERAGE(INDIRECT("'"&amp;Q1&amp;"'!"&amp;"$E$2:$E$77")),"-")</f>
        <v>3.8776315789473697</v>
      </c>
      <c r="R2" s="131">
        <f ca="1">IFERROR(AVERAGE(INDIRECT("'"&amp;R1&amp;"'!"&amp;"$E$2:$E$77")),"-")</f>
        <v>2.7257894736842099</v>
      </c>
      <c r="S2" s="131">
        <f t="shared" ref="S2" ca="1" si="3">IFERROR(AVERAGE(INDIRECT("'"&amp;S1&amp;"'!"&amp;"$E$2:$E$77")),"-")</f>
        <v>4.291052631578947</v>
      </c>
      <c r="T2" s="131">
        <f t="shared" ref="T2" ca="1" si="4">IFERROR(AVERAGE(INDIRECT("'"&amp;T1&amp;"'!"&amp;"$E$2:$E$77")),"-")</f>
        <v>3.4418421052631585</v>
      </c>
      <c r="U2" s="131">
        <f t="shared" ref="U2" ca="1" si="5">IFERROR(AVERAGE(INDIRECT("'"&amp;U1&amp;"'!"&amp;"$E$2:$E$77")),"-")</f>
        <v>2.9639333333333333</v>
      </c>
      <c r="V2" s="131" t="str">
        <f t="shared" ref="V2" ca="1" si="6">IFERROR(AVERAGE(INDIRECT("'"&amp;V1&amp;"'!"&amp;"$E$2:$E$77")),"-")</f>
        <v>-</v>
      </c>
      <c r="W2" s="131" t="str">
        <f t="shared" ref="W2" ca="1" si="7">IFERROR(AVERAGE(INDIRECT("'"&amp;W1&amp;"'!"&amp;"$E$2:$E$77")),"-")</f>
        <v>-</v>
      </c>
      <c r="X2" s="131" t="str">
        <f t="shared" ref="X2" ca="1" si="8">IFERROR(AVERAGE(INDIRECT("'"&amp;X1&amp;"'!"&amp;"$E$2:$E$77")),"-")</f>
        <v>-</v>
      </c>
      <c r="Y2" s="131" t="str">
        <f t="shared" ref="Y2" ca="1" si="9">IFERROR(AVERAGE(INDIRECT("'"&amp;Y1&amp;"'!"&amp;"$E$2:$E$77")),"-")</f>
        <v>-</v>
      </c>
      <c r="Z2" s="131" t="str">
        <f t="shared" ref="Z2" ca="1" si="10">IFERROR(AVERAGE(INDIRECT("'"&amp;Z1&amp;"'!"&amp;"$E$2:$E$77")),"-")</f>
        <v>-</v>
      </c>
      <c r="AA2" s="131" t="str">
        <f t="shared" ref="AA2" ca="1" si="11">IFERROR(AVERAGE(INDIRECT("'"&amp;AA1&amp;"'!"&amp;"$E$2:$E$77")),"-")</f>
        <v>-</v>
      </c>
      <c r="AB2" s="131" t="str">
        <f t="shared" ref="AB2" ca="1" si="12">IFERROR(AVERAGE(INDIRECT("'"&amp;AB1&amp;"'!"&amp;"$E$2:$E$77")),"-")</f>
        <v>-</v>
      </c>
      <c r="AC2" s="131" t="str">
        <f t="shared" ref="AC2:AG2" ca="1" si="13">IFERROR(AVERAGE(INDIRECT("'"&amp;AC1&amp;"'!"&amp;"$E$2:$E$77")),"-")</f>
        <v>-</v>
      </c>
      <c r="AD2" s="131" t="str">
        <f ca="1">IFERROR(AVERAGE(INDIRECT("'"&amp;AD1&amp;"'!"&amp;"$E$2:$E$77")),"-")</f>
        <v>-</v>
      </c>
      <c r="AE2" s="131" t="str">
        <f t="shared" ca="1" si="13"/>
        <v>-</v>
      </c>
      <c r="AF2" s="131" t="str">
        <f t="shared" ca="1" si="13"/>
        <v>-</v>
      </c>
      <c r="AG2" s="131" t="str">
        <f t="shared" ca="1" si="13"/>
        <v>-</v>
      </c>
    </row>
    <row r="3" spans="1:33" ht="13.5" thickBot="1" x14ac:dyDescent="0.25">
      <c r="A3" s="72" t="s">
        <v>171</v>
      </c>
      <c r="B3" s="73" t="str">
        <f ca="1">IFERROR(AVERAGE(INDIRECT("'"&amp;A1&amp;"'!"&amp;"$J$2:$J$77")),"-")</f>
        <v>-</v>
      </c>
      <c r="C3" s="6"/>
      <c r="D3" s="72" t="s">
        <v>171</v>
      </c>
      <c r="E3" s="73">
        <f ca="1">IFERROR(AVERAGE(INDIRECT("'"&amp;D1&amp;"'!"&amp;"$J$2:$J$77")),"-")</f>
        <v>8.5215625000000035</v>
      </c>
      <c r="G3" s="72" t="s">
        <v>171</v>
      </c>
      <c r="H3" s="73">
        <f ca="1">IFERROR(AVERAGE(INDIRECT("'"&amp;G1&amp;"'!"&amp;"$J$2:$J$77")),"-")</f>
        <v>7.5932307692307699</v>
      </c>
      <c r="J3" s="72" t="s">
        <v>171</v>
      </c>
      <c r="K3" s="73">
        <f ca="1">IFERROR(AVERAGE(INDIRECT("'"&amp;J1&amp;"'!"&amp;"$J$2:$J$77")),"-")</f>
        <v>4.9836842105263166</v>
      </c>
      <c r="N3" s="3" t="s">
        <v>194</v>
      </c>
      <c r="O3" s="131">
        <f t="shared" ref="O3:Q3" ca="1" si="14">IFERROR(_xlfn.STDEV.P(((INDIRECT("'"&amp;O1&amp;"'!"&amp;"$E$2:$E$77")))),"-")</f>
        <v>1.6258419693730839</v>
      </c>
      <c r="P3" s="131">
        <f t="shared" ca="1" si="14"/>
        <v>3.2090646406341796</v>
      </c>
      <c r="Q3" s="131">
        <f t="shared" ca="1" si="14"/>
        <v>2.2695303643688547</v>
      </c>
      <c r="R3" s="131">
        <f ca="1">IFERROR(_xlfn.STDEV.P(((INDIRECT("'"&amp;R1&amp;"'!"&amp;"$E$2:$E$77")))),"-")</f>
        <v>2.0415211454348503</v>
      </c>
      <c r="S3" s="131">
        <f t="shared" ref="S3:AC3" ca="1" si="15">IFERROR(_xlfn.STDEV.P(((INDIRECT("'"&amp;S1&amp;"'!"&amp;"$E$2:$E$77")))),"-")</f>
        <v>2.1812511975248516</v>
      </c>
      <c r="T3" s="131">
        <f t="shared" ca="1" si="15"/>
        <v>1.9689422156969099</v>
      </c>
      <c r="U3" s="131">
        <f t="shared" ca="1" si="15"/>
        <v>1.9468369720024219</v>
      </c>
      <c r="V3" s="131" t="str">
        <f t="shared" ca="1" si="15"/>
        <v>-</v>
      </c>
      <c r="W3" s="131" t="str">
        <f t="shared" ca="1" si="15"/>
        <v>-</v>
      </c>
      <c r="X3" s="131" t="str">
        <f t="shared" ca="1" si="15"/>
        <v>-</v>
      </c>
      <c r="Y3" s="131" t="str">
        <f t="shared" ca="1" si="15"/>
        <v>-</v>
      </c>
      <c r="Z3" s="131" t="str">
        <f t="shared" ca="1" si="15"/>
        <v>-</v>
      </c>
      <c r="AA3" s="131" t="str">
        <f t="shared" ca="1" si="15"/>
        <v>-</v>
      </c>
      <c r="AB3" s="131" t="str">
        <f t="shared" ca="1" si="15"/>
        <v>-</v>
      </c>
      <c r="AC3" s="131" t="str">
        <f t="shared" ca="1" si="15"/>
        <v>-</v>
      </c>
      <c r="AD3" s="131" t="str">
        <f t="shared" ref="AD3:AG3" ca="1" si="16">IFERROR(_xlfn.STDEV.P(((INDIRECT("'"&amp;AD1&amp;"'!"&amp;"$E$2:$E$77")))),"-")</f>
        <v>-</v>
      </c>
      <c r="AE3" s="131" t="str">
        <f t="shared" ca="1" si="16"/>
        <v>-</v>
      </c>
      <c r="AF3" s="131" t="str">
        <f t="shared" ca="1" si="16"/>
        <v>-</v>
      </c>
      <c r="AG3" s="131" t="str">
        <f t="shared" ca="1" si="16"/>
        <v>-</v>
      </c>
    </row>
    <row r="4" spans="1:33" ht="13.5" thickBot="1" x14ac:dyDescent="0.25">
      <c r="A4" s="72" t="s">
        <v>172</v>
      </c>
      <c r="B4" s="73" t="str">
        <f ca="1">IFERROR(MAX(INDIRECT("'"&amp;A1&amp;"'!"&amp;"$H$2:$H$77")),"-")</f>
        <v>-</v>
      </c>
      <c r="D4" s="72" t="s">
        <v>172</v>
      </c>
      <c r="E4" s="73">
        <f ca="1">IFERROR(MAX(INDIRECT("'"&amp;D1&amp;"'!"&amp;"$H$2:$H$77")),"-")</f>
        <v>3.82</v>
      </c>
      <c r="G4" s="72" t="s">
        <v>172</v>
      </c>
      <c r="H4" s="73">
        <f ca="1">IFERROR(MAX(INDIRECT("'"&amp;G1&amp;"'!"&amp;"$H$2:$H$77")),"-")</f>
        <v>3.34</v>
      </c>
      <c r="J4" s="72" t="s">
        <v>172</v>
      </c>
      <c r="K4" s="73">
        <f ca="1">IFERROR(MAX(INDIRECT("'"&amp;J1&amp;"'!"&amp;"$H$2:$H$77")),"-")</f>
        <v>3.82</v>
      </c>
      <c r="N4" s="3" t="s">
        <v>171</v>
      </c>
      <c r="O4" s="131">
        <f t="shared" ref="O4:Q4" ca="1" si="17">IFERROR(AVERAGE(INDIRECT("'"&amp;O1&amp;"'!"&amp;"$J$2:$J$77")),"-")</f>
        <v>8.5215625000000035</v>
      </c>
      <c r="P4" s="131">
        <f t="shared" ca="1" si="17"/>
        <v>7.5932307692307699</v>
      </c>
      <c r="Q4" s="131">
        <f t="shared" ca="1" si="17"/>
        <v>4.9836842105263166</v>
      </c>
      <c r="R4" s="131">
        <f ca="1">IFERROR(AVERAGE(INDIRECT("'"&amp;R1&amp;"'!"&amp;"$J$2:$J$77")),"-")</f>
        <v>2.9898666666666673</v>
      </c>
      <c r="S4" s="131">
        <f t="shared" ref="S4:AC4" ca="1" si="18">IFERROR(AVERAGE(INDIRECT("'"&amp;S1&amp;"'!"&amp;"$J$2:$J$77")),"-")</f>
        <v>3.7194736842105272</v>
      </c>
      <c r="T4" s="131">
        <f t="shared" ca="1" si="18"/>
        <v>3.0610526315789475</v>
      </c>
      <c r="U4" s="131">
        <f t="shared" ca="1" si="18"/>
        <v>3.3376000000000006</v>
      </c>
      <c r="V4" s="131" t="str">
        <f t="shared" ca="1" si="18"/>
        <v>-</v>
      </c>
      <c r="W4" s="131" t="str">
        <f t="shared" ca="1" si="18"/>
        <v>-</v>
      </c>
      <c r="X4" s="131" t="str">
        <f t="shared" ca="1" si="18"/>
        <v>-</v>
      </c>
      <c r="Y4" s="131" t="str">
        <f t="shared" ca="1" si="18"/>
        <v>-</v>
      </c>
      <c r="Z4" s="131" t="str">
        <f t="shared" ca="1" si="18"/>
        <v>-</v>
      </c>
      <c r="AA4" s="131" t="str">
        <f t="shared" ca="1" si="18"/>
        <v>-</v>
      </c>
      <c r="AB4" s="131" t="str">
        <f t="shared" ca="1" si="18"/>
        <v>-</v>
      </c>
      <c r="AC4" s="131" t="str">
        <f t="shared" ca="1" si="18"/>
        <v>-</v>
      </c>
      <c r="AD4" s="131" t="str">
        <f t="shared" ref="AD4:AG4" ca="1" si="19">IFERROR(AVERAGE(INDIRECT("'"&amp;AD1&amp;"'!"&amp;"$J$2:$J$77")),"-")</f>
        <v>-</v>
      </c>
      <c r="AE4" s="131" t="str">
        <f t="shared" ca="1" si="19"/>
        <v>-</v>
      </c>
      <c r="AF4" s="131" t="str">
        <f t="shared" ca="1" si="19"/>
        <v>-</v>
      </c>
      <c r="AG4" s="131" t="str">
        <f t="shared" ca="1" si="19"/>
        <v>-</v>
      </c>
    </row>
    <row r="5" spans="1:33" ht="13.5" thickBot="1" x14ac:dyDescent="0.25">
      <c r="A5" s="72" t="s">
        <v>173</v>
      </c>
      <c r="B5" s="73" t="str">
        <f ca="1">IFERROR(MAX(INDIRECT("'"&amp;A1&amp;"'!"&amp;"$N$2:$N$77")),"-")</f>
        <v>-</v>
      </c>
      <c r="D5" s="72" t="s">
        <v>173</v>
      </c>
      <c r="E5" s="73">
        <f ca="1">IFERROR(MAX(INDIRECT("'"&amp;D1&amp;"'!"&amp;"$N$2:$N$77")),"-")</f>
        <v>5.12</v>
      </c>
      <c r="G5" s="72" t="s">
        <v>173</v>
      </c>
      <c r="H5" s="73">
        <f ca="1">IFERROR(MAX(INDIRECT("'"&amp;G1&amp;"'!"&amp;"$N$2:$N$77")),"-")</f>
        <v>4.7</v>
      </c>
      <c r="J5" s="72" t="s">
        <v>173</v>
      </c>
      <c r="K5" s="73">
        <f ca="1">IFERROR(MAX(INDIRECT("'"&amp;J1&amp;"'!"&amp;"$N$2:$N$77")),"-")</f>
        <v>3.5</v>
      </c>
      <c r="N5" s="3" t="s">
        <v>195</v>
      </c>
      <c r="O5" s="131">
        <f t="shared" ref="O5:Q5" ca="1" si="20">IFERROR(_xlfn.STDEV.P(INDIRECT("'"&amp;O1&amp;"'!"&amp;"$J$2:$J$77")),"-")</f>
        <v>1.7769964289760543</v>
      </c>
      <c r="P5" s="131">
        <f t="shared" ca="1" si="20"/>
        <v>2.268975443262919</v>
      </c>
      <c r="Q5" s="131">
        <f t="shared" ca="1" si="20"/>
        <v>2.4639222273404395</v>
      </c>
      <c r="R5" s="131">
        <f ca="1">IFERROR(_xlfn.STDEV.P(INDIRECT("'"&amp;R1&amp;"'!"&amp;"$J$2:$J$77")),"-")</f>
        <v>2.4686933079847893</v>
      </c>
      <c r="S5" s="131">
        <f t="shared" ref="S5:AC5" ca="1" si="21">IFERROR(_xlfn.STDEV.P(INDIRECT("'"&amp;S1&amp;"'!"&amp;"$J$2:$J$77")),"-")</f>
        <v>2.0290624583372945</v>
      </c>
      <c r="T5" s="131">
        <f t="shared" ca="1" si="21"/>
        <v>2.1436065151904073</v>
      </c>
      <c r="U5" s="131">
        <f t="shared" ca="1" si="21"/>
        <v>2.2718831190593107</v>
      </c>
      <c r="V5" s="131" t="str">
        <f t="shared" ca="1" si="21"/>
        <v>-</v>
      </c>
      <c r="W5" s="131" t="str">
        <f t="shared" ca="1" si="21"/>
        <v>-</v>
      </c>
      <c r="X5" s="131" t="str">
        <f t="shared" ca="1" si="21"/>
        <v>-</v>
      </c>
      <c r="Y5" s="131" t="str">
        <f t="shared" ca="1" si="21"/>
        <v>-</v>
      </c>
      <c r="Z5" s="131" t="str">
        <f t="shared" ca="1" si="21"/>
        <v>-</v>
      </c>
      <c r="AA5" s="131" t="str">
        <f t="shared" ca="1" si="21"/>
        <v>-</v>
      </c>
      <c r="AB5" s="131" t="str">
        <f t="shared" ca="1" si="21"/>
        <v>-</v>
      </c>
      <c r="AC5" s="131" t="str">
        <f t="shared" ca="1" si="21"/>
        <v>-</v>
      </c>
      <c r="AD5" s="131" t="str">
        <f t="shared" ref="AD5:AG5" ca="1" si="22">IFERROR(_xlfn.STDEV.P(INDIRECT("'"&amp;AD1&amp;"'!"&amp;"$J$2:$J$77")),"-")</f>
        <v>-</v>
      </c>
      <c r="AE5" s="131" t="str">
        <f t="shared" ca="1" si="22"/>
        <v>-</v>
      </c>
      <c r="AF5" s="131" t="str">
        <f t="shared" ca="1" si="22"/>
        <v>-</v>
      </c>
      <c r="AG5" s="131" t="str">
        <f t="shared" ca="1" si="22"/>
        <v>-</v>
      </c>
    </row>
    <row r="6" spans="1:33" ht="13.5" thickBot="1" x14ac:dyDescent="0.25">
      <c r="A6" s="72" t="s">
        <v>174</v>
      </c>
      <c r="B6" s="73" t="str">
        <f ca="1">IFERROR(AVERAGE(INDIRECT("'"&amp;A1&amp;"'!"&amp;"$H$2:$H$77"),INDIRECT("'"&amp;A1&amp;"'!"&amp;"$N$2:$N$77")),"-")</f>
        <v>-</v>
      </c>
      <c r="D6" s="72" t="s">
        <v>174</v>
      </c>
      <c r="E6" s="73">
        <f ca="1">IFERROR(AVERAGE(INDIRECT("'"&amp;D1&amp;"'!"&amp;"$H$2:$H$77"),INDIRECT("'"&amp;D1&amp;"'!"&amp;"$N$2:$N$77")),"-")</f>
        <v>2.7424719101123589</v>
      </c>
      <c r="G6" s="72" t="s">
        <v>174</v>
      </c>
      <c r="H6" s="73">
        <f ca="1">IFERROR(AVERAGE(INDIRECT("'"&amp;G1&amp;"'!"&amp;"$H$2:$H$77"),INDIRECT("'"&amp;G1&amp;"'!"&amp;"$N$2:$N$77")),"-")</f>
        <v>2.2743999999999995</v>
      </c>
      <c r="J6" s="72" t="s">
        <v>174</v>
      </c>
      <c r="K6" s="73">
        <f ca="1">IFERROR(AVERAGE(INDIRECT("'"&amp;J1&amp;"'!"&amp;"$H$2:$H$77"),INDIRECT("'"&amp;J1&amp;"'!"&amp;"$N$2:$N$77")),"-")</f>
        <v>1.6825000000000006</v>
      </c>
      <c r="N6" s="3" t="s">
        <v>178</v>
      </c>
      <c r="O6" s="131">
        <f t="shared" ref="O6:Q6" ca="1" si="23">IFERROR(AVERAGE(INDIRECT("'"&amp;O1&amp;"'!"&amp;"$H$2:$H$77"),INDIRECT("'"&amp;O1&amp;"'!"&amp;"$N$2:$N$77")),"-")</f>
        <v>2.7424719101123589</v>
      </c>
      <c r="P6" s="131">
        <f t="shared" ca="1" si="23"/>
        <v>2.2743999999999995</v>
      </c>
      <c r="Q6" s="131">
        <f t="shared" ca="1" si="23"/>
        <v>1.6825000000000006</v>
      </c>
      <c r="R6" s="131">
        <f ca="1">IFERROR(AVERAGE(INDIRECT("'"&amp;R1&amp;"'!"&amp;"$H$2:$H$77"),INDIRECT("'"&amp;R1&amp;"'!"&amp;"$N$2:$N$77")),"-")</f>
        <v>0.80092105263157887</v>
      </c>
      <c r="S6" s="131">
        <f t="shared" ref="S6:AC6" ca="1" si="24">IFERROR(AVERAGE(INDIRECT("'"&amp;S1&amp;"'!"&amp;"$H$2:$H$77"),INDIRECT("'"&amp;S1&amp;"'!"&amp;"$N$2:$N$77")),"-")</f>
        <v>1.969736842105263</v>
      </c>
      <c r="T6" s="131">
        <f t="shared" ca="1" si="24"/>
        <v>1.687236842105263</v>
      </c>
      <c r="U6" s="131">
        <f t="shared" ca="1" si="24"/>
        <v>1.6771333333333327</v>
      </c>
      <c r="V6" s="131" t="str">
        <f t="shared" ca="1" si="24"/>
        <v>-</v>
      </c>
      <c r="W6" s="131" t="str">
        <f t="shared" ca="1" si="24"/>
        <v>-</v>
      </c>
      <c r="X6" s="131" t="str">
        <f t="shared" ca="1" si="24"/>
        <v>-</v>
      </c>
      <c r="Y6" s="131" t="str">
        <f t="shared" ca="1" si="24"/>
        <v>-</v>
      </c>
      <c r="Z6" s="131" t="str">
        <f t="shared" ca="1" si="24"/>
        <v>-</v>
      </c>
      <c r="AA6" s="131" t="str">
        <f t="shared" ca="1" si="24"/>
        <v>-</v>
      </c>
      <c r="AB6" s="131" t="str">
        <f t="shared" ca="1" si="24"/>
        <v>-</v>
      </c>
      <c r="AC6" s="131" t="str">
        <f t="shared" ca="1" si="24"/>
        <v>-</v>
      </c>
      <c r="AD6" s="131" t="str">
        <f t="shared" ref="AD6:AG6" ca="1" si="25">IFERROR(AVERAGE(INDIRECT("'"&amp;AD1&amp;"'!"&amp;"$H$2:$H$77"),INDIRECT("'"&amp;AD1&amp;"'!"&amp;"$N$2:$N$77")),"-")</f>
        <v>-</v>
      </c>
      <c r="AE6" s="131" t="str">
        <f t="shared" ca="1" si="25"/>
        <v>-</v>
      </c>
      <c r="AF6" s="131" t="str">
        <f t="shared" ca="1" si="25"/>
        <v>-</v>
      </c>
      <c r="AG6" s="131" t="str">
        <f t="shared" ca="1" si="25"/>
        <v>-</v>
      </c>
    </row>
    <row r="7" spans="1:33" ht="13.5" thickBot="1" x14ac:dyDescent="0.25">
      <c r="A7" s="72" t="s">
        <v>175</v>
      </c>
      <c r="B7" s="74" t="str">
        <f ca="1">IFERROR(SUM(INDIRECT("'"&amp;A1&amp;"'!"&amp;"$D$2:$D$77"),(INDIRECT("'"&amp;A1&amp;"'!"&amp;"$I$2:$I$77"))),"-")</f>
        <v>-</v>
      </c>
      <c r="D7" s="72" t="s">
        <v>175</v>
      </c>
      <c r="E7" s="74">
        <f ca="1">IFERROR(SUM(INDIRECT("'"&amp;D1&amp;"'!"&amp;"$D$2:$D$77"),(INDIRECT("'"&amp;D1&amp;"'!"&amp;"$I$2:$I$77"))),"-")</f>
        <v>858</v>
      </c>
      <c r="G7" s="72" t="s">
        <v>175</v>
      </c>
      <c r="H7" s="74">
        <f ca="1">IFERROR(SUM(INDIRECT("'"&amp;G1&amp;"'!"&amp;"$D$2:$D$77"),(INDIRECT("'"&amp;G1&amp;"'!"&amp;"$I$2:$I$77"))),"-")</f>
        <v>741</v>
      </c>
      <c r="J7" s="72" t="s">
        <v>175</v>
      </c>
      <c r="K7" s="74">
        <f ca="1">IFERROR(SUM(INDIRECT("'"&amp;J1&amp;"'!"&amp;"$D$2:$D$77"),(INDIRECT("'"&amp;J1&amp;"'!"&amp;"$I$2:$I$77"))),"-")</f>
        <v>521</v>
      </c>
      <c r="N7" s="3" t="s">
        <v>196</v>
      </c>
      <c r="O7" s="131">
        <f t="shared" ref="O7:Q7" ca="1" si="26">IFERROR(_xlfn.STDEV.P(INDIRECT("'"&amp;O1&amp;"'!"&amp;"$H$2:$H$77"),INDIRECT("'"&amp;O1&amp;"'!"&amp;"$N$2:$N$77")),"-")</f>
        <v>0.64857195056035222</v>
      </c>
      <c r="P7" s="131">
        <f t="shared" ca="1" si="26"/>
        <v>0.56164814608436331</v>
      </c>
      <c r="Q7" s="131">
        <f t="shared" ca="1" si="26"/>
        <v>0.89807487819340803</v>
      </c>
      <c r="R7" s="131">
        <f ca="1">IFERROR(_xlfn.STDEV.P(INDIRECT("'"&amp;R1&amp;"'!"&amp;"$H$2:$H$77"),INDIRECT("'"&amp;R1&amp;"'!"&amp;"$N$2:$N$77")),"-")</f>
        <v>1.0438027359908812</v>
      </c>
      <c r="S7" s="131">
        <f t="shared" ref="S7:AC7" ca="1" si="27">IFERROR(_xlfn.STDEV.P(INDIRECT("'"&amp;S1&amp;"'!"&amp;"$H$2:$H$77"),INDIRECT("'"&amp;S1&amp;"'!"&amp;"$N$2:$N$77")),"-")</f>
        <v>0.80017427983930167</v>
      </c>
      <c r="T7" s="131">
        <f t="shared" ca="1" si="27"/>
        <v>0.94464710576602906</v>
      </c>
      <c r="U7" s="131">
        <f t="shared" ca="1" si="27"/>
        <v>0.96794100141600858</v>
      </c>
      <c r="V7" s="131" t="str">
        <f t="shared" ca="1" si="27"/>
        <v>-</v>
      </c>
      <c r="W7" s="131" t="str">
        <f t="shared" ca="1" si="27"/>
        <v>-</v>
      </c>
      <c r="X7" s="131" t="str">
        <f t="shared" ca="1" si="27"/>
        <v>-</v>
      </c>
      <c r="Y7" s="131" t="str">
        <f t="shared" ca="1" si="27"/>
        <v>-</v>
      </c>
      <c r="Z7" s="131" t="str">
        <f t="shared" ca="1" si="27"/>
        <v>-</v>
      </c>
      <c r="AA7" s="131" t="str">
        <f t="shared" ca="1" si="27"/>
        <v>-</v>
      </c>
      <c r="AB7" s="131" t="str">
        <f t="shared" ca="1" si="27"/>
        <v>-</v>
      </c>
      <c r="AC7" s="131" t="str">
        <f t="shared" ca="1" si="27"/>
        <v>-</v>
      </c>
      <c r="AD7" s="131" t="str">
        <f t="shared" ref="AD7:AG7" ca="1" si="28">IFERROR(_xlfn.STDEV.P(INDIRECT("'"&amp;AD1&amp;"'!"&amp;"$H$2:$H$77"),INDIRECT("'"&amp;AD1&amp;"'!"&amp;"$N$2:$N$77")),"-")</f>
        <v>-</v>
      </c>
      <c r="AE7" s="131" t="str">
        <f t="shared" ca="1" si="28"/>
        <v>-</v>
      </c>
      <c r="AF7" s="131" t="str">
        <f t="shared" ca="1" si="28"/>
        <v>-</v>
      </c>
      <c r="AG7" s="131" t="str">
        <f t="shared" ca="1" si="28"/>
        <v>-</v>
      </c>
    </row>
    <row r="8" spans="1:33" ht="13.5" thickBot="1" x14ac:dyDescent="0.25">
      <c r="A8" s="72" t="s">
        <v>176</v>
      </c>
      <c r="B8" s="74" t="str">
        <f ca="1">IFERROR(SUM(INDIRECT("'"&amp;A1&amp;"'!"&amp;"$F$2:$F$77"),(INDIRECT("'"&amp;A1&amp;"'!"&amp;"$K$2:$K$77"))),"-")</f>
        <v>-</v>
      </c>
      <c r="D8" s="72" t="s">
        <v>176</v>
      </c>
      <c r="E8" s="74">
        <f ca="1">IFERROR(SUM(INDIRECT("'"&amp;D1&amp;"'!"&amp;"$F$2:$F$77"),(INDIRECT("'"&amp;D1&amp;"'!"&amp;"$K$2:$K$77"))),"-")</f>
        <v>822</v>
      </c>
      <c r="G8" s="72" t="s">
        <v>176</v>
      </c>
      <c r="H8" s="74">
        <f ca="1">IFERROR(SUM(INDIRECT("'"&amp;G1&amp;"'!"&amp;"$F$2:$F$77"),(INDIRECT("'"&amp;G1&amp;"'!"&amp;"$K$2:$K$77"))),"-")</f>
        <v>712</v>
      </c>
      <c r="J8" s="72" t="s">
        <v>176</v>
      </c>
      <c r="K8" s="74">
        <f ca="1">IFERROR(SUM(INDIRECT("'"&amp;J1&amp;"'!"&amp;"$F$2:$F$77"),(INDIRECT("'"&amp;J1&amp;"'!"&amp;"$K$2:$K$77"))),"-")</f>
        <v>508</v>
      </c>
      <c r="N8" s="3" t="s">
        <v>175</v>
      </c>
      <c r="O8" s="132">
        <f t="shared" ref="O8:Q8" ca="1" si="29">IFERROR(SUM(INDIRECT("'"&amp;O1&amp;"'!"&amp;"$D$2:$D$77"),(INDIRECT("'"&amp;O1&amp;"'!"&amp;"$I$2:$I$77"))),"-")</f>
        <v>858</v>
      </c>
      <c r="P8" s="132">
        <f t="shared" ca="1" si="29"/>
        <v>741</v>
      </c>
      <c r="Q8" s="132">
        <f t="shared" ca="1" si="29"/>
        <v>521</v>
      </c>
      <c r="R8" s="132">
        <f ca="1">IFERROR(SUM(INDIRECT("'"&amp;R1&amp;"'!"&amp;"$D$2:$D$77"),(INDIRECT("'"&amp;R1&amp;"'!"&amp;"$I$2:$I$77"))),"-")</f>
        <v>256</v>
      </c>
      <c r="S8" s="132">
        <f t="shared" ref="S8:AC8" ca="1" si="30">IFERROR(SUM(INDIRECT("'"&amp;S1&amp;"'!"&amp;"$D$2:$D$77"),(INDIRECT("'"&amp;S1&amp;"'!"&amp;"$I$2:$I$77"))),"-")</f>
        <v>355</v>
      </c>
      <c r="T8" s="132">
        <f t="shared" ca="1" si="30"/>
        <v>296</v>
      </c>
      <c r="U8" s="132">
        <f t="shared" ca="1" si="30"/>
        <v>259</v>
      </c>
      <c r="V8" s="132" t="str">
        <f t="shared" ca="1" si="30"/>
        <v>-</v>
      </c>
      <c r="W8" s="132" t="str">
        <f t="shared" ca="1" si="30"/>
        <v>-</v>
      </c>
      <c r="X8" s="132" t="str">
        <f t="shared" ca="1" si="30"/>
        <v>-</v>
      </c>
      <c r="Y8" s="132" t="str">
        <f t="shared" ca="1" si="30"/>
        <v>-</v>
      </c>
      <c r="Z8" s="132" t="str">
        <f t="shared" ca="1" si="30"/>
        <v>-</v>
      </c>
      <c r="AA8" s="132" t="str">
        <f t="shared" ca="1" si="30"/>
        <v>-</v>
      </c>
      <c r="AB8" s="132" t="str">
        <f t="shared" ca="1" si="30"/>
        <v>-</v>
      </c>
      <c r="AC8" s="132" t="str">
        <f t="shared" ca="1" si="30"/>
        <v>-</v>
      </c>
      <c r="AD8" s="132" t="str">
        <f t="shared" ref="AD8:AG8" ca="1" si="31">IFERROR(SUM(INDIRECT("'"&amp;AD1&amp;"'!"&amp;"$D$2:$D$77"),(INDIRECT("'"&amp;AD1&amp;"'!"&amp;"$I$2:$I$77"))),"-")</f>
        <v>-</v>
      </c>
      <c r="AE8" s="132" t="str">
        <f t="shared" ca="1" si="31"/>
        <v>-</v>
      </c>
      <c r="AF8" s="132" t="str">
        <f t="shared" ca="1" si="31"/>
        <v>-</v>
      </c>
      <c r="AG8" s="132" t="str">
        <f t="shared" ca="1" si="31"/>
        <v>-</v>
      </c>
    </row>
    <row r="9" spans="1:33" x14ac:dyDescent="0.2">
      <c r="N9" s="3" t="s">
        <v>176</v>
      </c>
      <c r="O9" s="132">
        <f t="shared" ref="O9:Q9" ca="1" si="32">IFERROR(SUM(INDIRECT("'"&amp;O1&amp;"'!"&amp;"$F$2:$F$77"),(INDIRECT("'"&amp;O1&amp;"'!"&amp;"$K$2:$K$77"))),"-")</f>
        <v>822</v>
      </c>
      <c r="P9" s="132">
        <f t="shared" ca="1" si="32"/>
        <v>712</v>
      </c>
      <c r="Q9" s="132">
        <f t="shared" ca="1" si="32"/>
        <v>508</v>
      </c>
      <c r="R9" s="132">
        <f ca="1">IFERROR(SUM(INDIRECT("'"&amp;R1&amp;"'!"&amp;"$F$2:$F$77"),(INDIRECT("'"&amp;R1&amp;"'!"&amp;"$K$2:$K$77"))),"-")</f>
        <v>255</v>
      </c>
      <c r="S9" s="132">
        <f t="shared" ref="S9:AC9" ca="1" si="33">IFERROR(SUM(INDIRECT("'"&amp;S1&amp;"'!"&amp;"$F$2:$F$77"),(INDIRECT("'"&amp;S1&amp;"'!"&amp;"$K$2:$K$77"))),"-")</f>
        <v>354</v>
      </c>
      <c r="T9" s="132">
        <f t="shared" ca="1" si="33"/>
        <v>292</v>
      </c>
      <c r="U9" s="132">
        <f t="shared" ca="1" si="33"/>
        <v>259</v>
      </c>
      <c r="V9" s="132" t="str">
        <f t="shared" ca="1" si="33"/>
        <v>-</v>
      </c>
      <c r="W9" s="132" t="str">
        <f t="shared" ca="1" si="33"/>
        <v>-</v>
      </c>
      <c r="X9" s="132" t="str">
        <f t="shared" ca="1" si="33"/>
        <v>-</v>
      </c>
      <c r="Y9" s="132" t="str">
        <f t="shared" ca="1" si="33"/>
        <v>-</v>
      </c>
      <c r="Z9" s="132" t="str">
        <f t="shared" ca="1" si="33"/>
        <v>-</v>
      </c>
      <c r="AA9" s="132" t="str">
        <f t="shared" ca="1" si="33"/>
        <v>-</v>
      </c>
      <c r="AB9" s="132" t="str">
        <f t="shared" ca="1" si="33"/>
        <v>-</v>
      </c>
      <c r="AC9" s="132" t="str">
        <f t="shared" ca="1" si="33"/>
        <v>-</v>
      </c>
      <c r="AD9" s="132" t="str">
        <f t="shared" ref="AD9:AG9" ca="1" si="34">IFERROR(SUM(INDIRECT("'"&amp;AD1&amp;"'!"&amp;"$F$2:$F$77"),(INDIRECT("'"&amp;AD1&amp;"'!"&amp;"$K$2:$K$77"))),"-")</f>
        <v>-</v>
      </c>
      <c r="AE9" s="132" t="str">
        <f t="shared" ca="1" si="34"/>
        <v>-</v>
      </c>
      <c r="AF9" s="132" t="str">
        <f t="shared" ca="1" si="34"/>
        <v>-</v>
      </c>
      <c r="AG9" s="132" t="str">
        <f t="shared" ca="1" si="34"/>
        <v>-</v>
      </c>
    </row>
    <row r="11" spans="1:33" ht="13.5" thickBot="1" x14ac:dyDescent="0.25">
      <c r="A11" s="175">
        <v>2019</v>
      </c>
      <c r="B11" s="175"/>
      <c r="D11" s="175">
        <v>2020</v>
      </c>
      <c r="E11" s="175"/>
      <c r="G11" s="175">
        <v>2021</v>
      </c>
      <c r="H11" s="175"/>
      <c r="J11" s="175">
        <v>2022</v>
      </c>
      <c r="K11" s="175"/>
    </row>
    <row r="12" spans="1:33" ht="13.5" thickBot="1" x14ac:dyDescent="0.25">
      <c r="A12" s="72" t="s">
        <v>170</v>
      </c>
      <c r="B12" s="73">
        <f ca="1">IFERROR(AVERAGE(INDIRECT("'"&amp;A11&amp;"'!"&amp;"$E$2:$E$77")),"-")</f>
        <v>2.7257894736842099</v>
      </c>
      <c r="D12" s="72" t="s">
        <v>170</v>
      </c>
      <c r="E12" s="73">
        <f ca="1">IFERROR(AVERAGE(INDIRECT("'"&amp;D11&amp;"'!"&amp;"$E$2:$E$77")),"-")</f>
        <v>4.291052631578947</v>
      </c>
      <c r="G12" s="72" t="s">
        <v>170</v>
      </c>
      <c r="H12" s="73">
        <f ca="1">IFERROR(AVERAGE(INDIRECT("'"&amp;G11&amp;"'!"&amp;"$E$2:$E$77")),"-")</f>
        <v>3.4418421052631585</v>
      </c>
      <c r="J12" s="72" t="s">
        <v>170</v>
      </c>
      <c r="K12" s="73">
        <f ca="1">IFERROR(AVERAGE(INDIRECT("'"&amp;J11&amp;"'!"&amp;"$E$2:$E$77")),"-")</f>
        <v>2.9639333333333333</v>
      </c>
    </row>
    <row r="13" spans="1:33" ht="13.5" thickBot="1" x14ac:dyDescent="0.25">
      <c r="A13" s="72" t="s">
        <v>171</v>
      </c>
      <c r="B13" s="73">
        <f ca="1">IFERROR(AVERAGE(INDIRECT("'"&amp;A11&amp;"'!"&amp;"$J$2:$J$77")),"-")</f>
        <v>2.9898666666666673</v>
      </c>
      <c r="C13" s="6"/>
      <c r="D13" s="72" t="s">
        <v>171</v>
      </c>
      <c r="E13" s="73">
        <f ca="1">IFERROR(AVERAGE(INDIRECT("'"&amp;D11&amp;"'!"&amp;"$J$2:$J$77")),"-")</f>
        <v>3.7194736842105272</v>
      </c>
      <c r="G13" s="72" t="s">
        <v>171</v>
      </c>
      <c r="H13" s="73">
        <f ca="1">IFERROR(AVERAGE(INDIRECT("'"&amp;G11&amp;"'!"&amp;"$J$2:$J$77")),"-")</f>
        <v>3.0610526315789475</v>
      </c>
      <c r="J13" s="72" t="s">
        <v>171</v>
      </c>
      <c r="K13" s="73">
        <f ca="1">IFERROR(AVERAGE(INDIRECT("'"&amp;J11&amp;"'!"&amp;"$J$2:$J$77")),"-")</f>
        <v>3.3376000000000006</v>
      </c>
    </row>
    <row r="14" spans="1:33" ht="13.5" thickBot="1" x14ac:dyDescent="0.25">
      <c r="A14" s="72" t="s">
        <v>172</v>
      </c>
      <c r="B14" s="73">
        <f ca="1">IFERROR(MAX(INDIRECT("'"&amp;A11&amp;"'!"&amp;"$H$2:$H$77")),"-")</f>
        <v>2.98</v>
      </c>
      <c r="D14" s="72" t="s">
        <v>172</v>
      </c>
      <c r="E14" s="73">
        <f ca="1">IFERROR(MAX(INDIRECT("'"&amp;D11&amp;"'!"&amp;"$H$2:$H$77")),"-")</f>
        <v>5.66</v>
      </c>
      <c r="G14" s="72" t="s">
        <v>172</v>
      </c>
      <c r="H14" s="73">
        <f ca="1">IFERROR(MAX(INDIRECT("'"&amp;G11&amp;"'!"&amp;"$H$2:$H$77")),"-")</f>
        <v>6.64</v>
      </c>
      <c r="J14" s="72" t="s">
        <v>172</v>
      </c>
      <c r="K14" s="73">
        <f ca="1">IFERROR(MAX(INDIRECT("'"&amp;J11&amp;"'!"&amp;"$H$2:$H$77")),"-")</f>
        <v>2.81</v>
      </c>
    </row>
    <row r="15" spans="1:33" ht="13.5" thickBot="1" x14ac:dyDescent="0.25">
      <c r="A15" s="72" t="s">
        <v>173</v>
      </c>
      <c r="B15" s="73">
        <f ca="1">IFERROR(MAX(INDIRECT("'"&amp;A11&amp;"'!"&amp;"$N$2:$N$77")),"-")</f>
        <v>2</v>
      </c>
      <c r="D15" s="72" t="s">
        <v>173</v>
      </c>
      <c r="E15" s="73">
        <f ca="1">IFERROR(MAX(INDIRECT("'"&amp;D11&amp;"'!"&amp;"$N$2:$N$77")),"-")</f>
        <v>3.26</v>
      </c>
      <c r="G15" s="72" t="s">
        <v>173</v>
      </c>
      <c r="H15" s="73">
        <f ca="1">IFERROR(MAX(INDIRECT("'"&amp;G11&amp;"'!"&amp;"$N$2:$N$77")),"-")</f>
        <v>3.04</v>
      </c>
      <c r="J15" s="72" t="s">
        <v>173</v>
      </c>
      <c r="K15" s="73">
        <f ca="1">IFERROR(MAX(INDIRECT("'"&amp;J11&amp;"'!"&amp;"$N$2:$N$77")),"-")</f>
        <v>4.5999999999999996</v>
      </c>
    </row>
    <row r="16" spans="1:33" ht="13.5" thickBot="1" x14ac:dyDescent="0.25">
      <c r="A16" s="72" t="s">
        <v>174</v>
      </c>
      <c r="B16" s="73">
        <f ca="1">IFERROR(AVERAGE(INDIRECT("'"&amp;A11&amp;"'!"&amp;"$H$2:$H$77"),INDIRECT("'"&amp;A11&amp;"'!"&amp;"$N$2:$N$77")),"-")</f>
        <v>0.80092105263157887</v>
      </c>
      <c r="D16" s="72" t="s">
        <v>174</v>
      </c>
      <c r="E16" s="73">
        <f ca="1">IFERROR(AVERAGE(INDIRECT("'"&amp;D11&amp;"'!"&amp;"$H$2:$H$77"),INDIRECT("'"&amp;D11&amp;"'!"&amp;"$N$2:$N$77")),"-")</f>
        <v>1.969736842105263</v>
      </c>
      <c r="G16" s="72" t="s">
        <v>174</v>
      </c>
      <c r="H16" s="73">
        <f ca="1">IFERROR(AVERAGE(INDIRECT("'"&amp;G11&amp;"'!"&amp;"$H$2:$H$77"),INDIRECT("'"&amp;G11&amp;"'!"&amp;"$N$2:$N$77")),"-")</f>
        <v>1.687236842105263</v>
      </c>
      <c r="J16" s="72" t="s">
        <v>174</v>
      </c>
      <c r="K16" s="73">
        <f ca="1">IFERROR(AVERAGE(INDIRECT("'"&amp;J11&amp;"'!"&amp;"$H$2:$H$77"),INDIRECT("'"&amp;J11&amp;"'!"&amp;"$N$2:$N$77")),"-")</f>
        <v>1.6771333333333327</v>
      </c>
    </row>
    <row r="17" spans="1:11" ht="13.5" thickBot="1" x14ac:dyDescent="0.25">
      <c r="A17" s="72" t="s">
        <v>175</v>
      </c>
      <c r="B17" s="74">
        <f ca="1">IFERROR(SUM(INDIRECT("'"&amp;A11&amp;"'!"&amp;"$D$2:$D$77"),(INDIRECT("'"&amp;A11&amp;"'!"&amp;"$I$2:$I$77"))),"-")</f>
        <v>256</v>
      </c>
      <c r="D17" s="72" t="s">
        <v>175</v>
      </c>
      <c r="E17" s="74">
        <f ca="1">IFERROR(SUM(INDIRECT("'"&amp;D11&amp;"'!"&amp;"$D$2:$D$77"),(INDIRECT("'"&amp;D11&amp;"'!"&amp;"$I$2:$I$77"))),"-")</f>
        <v>355</v>
      </c>
      <c r="G17" s="72" t="s">
        <v>175</v>
      </c>
      <c r="H17" s="74">
        <f ca="1">IFERROR(SUM(INDIRECT("'"&amp;G11&amp;"'!"&amp;"$D$2:$D$77"),(INDIRECT("'"&amp;G11&amp;"'!"&amp;"$I$2:$I$77"))),"-")</f>
        <v>296</v>
      </c>
      <c r="J17" s="72" t="s">
        <v>175</v>
      </c>
      <c r="K17" s="74">
        <f ca="1">IFERROR(SUM(INDIRECT("'"&amp;J11&amp;"'!"&amp;"$D$2:$D$77"),(INDIRECT("'"&amp;J11&amp;"'!"&amp;"$I$2:$I$77"))),"-")</f>
        <v>259</v>
      </c>
    </row>
    <row r="18" spans="1:11" ht="13.5" thickBot="1" x14ac:dyDescent="0.25">
      <c r="A18" s="72" t="s">
        <v>176</v>
      </c>
      <c r="B18" s="74">
        <f ca="1">IFERROR(SUM(INDIRECT("'"&amp;A11&amp;"'!"&amp;"$F$2:$F$77"),(INDIRECT("'"&amp;A11&amp;"'!"&amp;"$K$2:$K$77"))),"-")</f>
        <v>255</v>
      </c>
      <c r="D18" s="72" t="s">
        <v>176</v>
      </c>
      <c r="E18" s="74">
        <f ca="1">IFERROR(SUM(INDIRECT("'"&amp;D11&amp;"'!"&amp;"$F$2:$F$77"),(INDIRECT("'"&amp;D11&amp;"'!"&amp;"$K$2:$K$77"))),"-")</f>
        <v>354</v>
      </c>
      <c r="G18" s="72" t="s">
        <v>176</v>
      </c>
      <c r="H18" s="74">
        <f ca="1">IFERROR(SUM(INDIRECT("'"&amp;G11&amp;"'!"&amp;"$F$2:$F$77"),(INDIRECT("'"&amp;G11&amp;"'!"&amp;"$K$2:$K$77"))),"-")</f>
        <v>292</v>
      </c>
      <c r="J18" s="72" t="s">
        <v>176</v>
      </c>
      <c r="K18" s="74">
        <f ca="1">IFERROR(SUM(INDIRECT("'"&amp;J11&amp;"'!"&amp;"$F$2:$F$77"),(INDIRECT("'"&amp;J11&amp;"'!"&amp;"$K$2:$K$77"))),"-")</f>
        <v>259</v>
      </c>
    </row>
    <row r="21" spans="1:11" ht="13.5" thickBot="1" x14ac:dyDescent="0.25">
      <c r="A21" s="175">
        <v>2023</v>
      </c>
      <c r="B21" s="175"/>
      <c r="D21" s="175">
        <v>2024</v>
      </c>
      <c r="E21" s="175"/>
      <c r="G21" s="175">
        <v>2025</v>
      </c>
      <c r="H21" s="175"/>
      <c r="J21" s="175">
        <v>2026</v>
      </c>
      <c r="K21" s="175"/>
    </row>
    <row r="22" spans="1:11" ht="13.5" thickBot="1" x14ac:dyDescent="0.25">
      <c r="A22" s="72" t="s">
        <v>170</v>
      </c>
      <c r="B22" s="73" t="str">
        <f ca="1">IFERROR(AVERAGE(INDIRECT("'"&amp;A21&amp;"'!"&amp;"$E$2:$E$77")),"-")</f>
        <v>-</v>
      </c>
      <c r="D22" s="72" t="s">
        <v>170</v>
      </c>
      <c r="E22" s="73" t="str">
        <f ca="1">IFERROR(AVERAGE(INDIRECT("'"&amp;D21&amp;"'!"&amp;"$E$2:$E$77")),"-")</f>
        <v>-</v>
      </c>
      <c r="G22" s="72" t="s">
        <v>170</v>
      </c>
      <c r="H22" s="73" t="str">
        <f ca="1">IFERROR(AVERAGE(INDIRECT("'"&amp;G21&amp;"'!"&amp;"$E$2:$E$77")),"-")</f>
        <v>-</v>
      </c>
      <c r="J22" s="72" t="s">
        <v>170</v>
      </c>
      <c r="K22" s="73" t="str">
        <f ca="1">IFERROR(AVERAGE(INDIRECT("'"&amp;J21&amp;"'!"&amp;"$E$2:$E$77")),"-")</f>
        <v>-</v>
      </c>
    </row>
    <row r="23" spans="1:11" ht="13.5" thickBot="1" x14ac:dyDescent="0.25">
      <c r="A23" s="72" t="s">
        <v>171</v>
      </c>
      <c r="B23" s="73" t="str">
        <f ca="1">IFERROR(AVERAGE(INDIRECT("'"&amp;A21&amp;"'!"&amp;"$J$2:$J$77")),"-")</f>
        <v>-</v>
      </c>
      <c r="C23" s="6"/>
      <c r="D23" s="72" t="s">
        <v>171</v>
      </c>
      <c r="E23" s="73" t="str">
        <f ca="1">IFERROR(AVERAGE(INDIRECT("'"&amp;D21&amp;"'!"&amp;"$J$2:$J$77")),"-")</f>
        <v>-</v>
      </c>
      <c r="G23" s="72" t="s">
        <v>171</v>
      </c>
      <c r="H23" s="73" t="str">
        <f ca="1">IFERROR(AVERAGE(INDIRECT("'"&amp;G21&amp;"'!"&amp;"$J$2:$J$77")),"-")</f>
        <v>-</v>
      </c>
      <c r="J23" s="72" t="s">
        <v>171</v>
      </c>
      <c r="K23" s="73" t="str">
        <f ca="1">IFERROR(AVERAGE(INDIRECT("'"&amp;J21&amp;"'!"&amp;"$J$2:$J$77")),"-")</f>
        <v>-</v>
      </c>
    </row>
    <row r="24" spans="1:11" ht="13.5" thickBot="1" x14ac:dyDescent="0.25">
      <c r="A24" s="72" t="s">
        <v>172</v>
      </c>
      <c r="B24" s="73" t="str">
        <f ca="1">IFERROR(MAX(INDIRECT("'"&amp;A21&amp;"'!"&amp;"$H$2:$H$77")),"-")</f>
        <v>-</v>
      </c>
      <c r="D24" s="72" t="s">
        <v>172</v>
      </c>
      <c r="E24" s="73" t="str">
        <f ca="1">IFERROR(MAX(INDIRECT("'"&amp;D21&amp;"'!"&amp;"$H$2:$H$77")),"-")</f>
        <v>-</v>
      </c>
      <c r="G24" s="72" t="s">
        <v>172</v>
      </c>
      <c r="H24" s="73" t="str">
        <f ca="1">IFERROR(MAX(INDIRECT("'"&amp;G21&amp;"'!"&amp;"$H$2:$H$77")),"-")</f>
        <v>-</v>
      </c>
      <c r="J24" s="72" t="s">
        <v>172</v>
      </c>
      <c r="K24" s="73" t="str">
        <f ca="1">IFERROR(MAX(INDIRECT("'"&amp;J21&amp;"'!"&amp;"$H$2:$H$77")),"-")</f>
        <v>-</v>
      </c>
    </row>
    <row r="25" spans="1:11" ht="13.5" thickBot="1" x14ac:dyDescent="0.25">
      <c r="A25" s="72" t="s">
        <v>173</v>
      </c>
      <c r="B25" s="73" t="str">
        <f ca="1">IFERROR(MAX(INDIRECT("'"&amp;A21&amp;"'!"&amp;"$N$2:$N$77")),"-")</f>
        <v>-</v>
      </c>
      <c r="D25" s="72" t="s">
        <v>173</v>
      </c>
      <c r="E25" s="73" t="str">
        <f ca="1">IFERROR(MAX(INDIRECT("'"&amp;D21&amp;"'!"&amp;"$N$2:$N$77")),"-")</f>
        <v>-</v>
      </c>
      <c r="G25" s="72" t="s">
        <v>173</v>
      </c>
      <c r="H25" s="73" t="str">
        <f ca="1">IFERROR(MAX(INDIRECT("'"&amp;G21&amp;"'!"&amp;"$N$2:$N$77")),"-")</f>
        <v>-</v>
      </c>
      <c r="J25" s="72" t="s">
        <v>173</v>
      </c>
      <c r="K25" s="73" t="str">
        <f ca="1">IFERROR(MAX(INDIRECT("'"&amp;J21&amp;"'!"&amp;"$N$2:$N$77")),"-")</f>
        <v>-</v>
      </c>
    </row>
    <row r="26" spans="1:11" ht="13.5" thickBot="1" x14ac:dyDescent="0.25">
      <c r="A26" s="72" t="s">
        <v>174</v>
      </c>
      <c r="B26" s="73" t="str">
        <f ca="1">IFERROR(AVERAGE(INDIRECT("'"&amp;A21&amp;"'!"&amp;"$H$2:$H$77"),INDIRECT("'"&amp;A21&amp;"'!"&amp;"$N$2:$N$77")),"-")</f>
        <v>-</v>
      </c>
      <c r="D26" s="72" t="s">
        <v>174</v>
      </c>
      <c r="E26" s="73" t="str">
        <f ca="1">IFERROR(AVERAGE(INDIRECT("'"&amp;D21&amp;"'!"&amp;"$H$2:$H$77"),INDIRECT("'"&amp;D21&amp;"'!"&amp;"$N$2:$N$77")),"-")</f>
        <v>-</v>
      </c>
      <c r="G26" s="72" t="s">
        <v>174</v>
      </c>
      <c r="H26" s="73" t="str">
        <f ca="1">IFERROR(AVERAGE(INDIRECT("'"&amp;G21&amp;"'!"&amp;"$H$2:$H$77"),INDIRECT("'"&amp;G21&amp;"'!"&amp;"$N$2:$N$77")),"-")</f>
        <v>-</v>
      </c>
      <c r="J26" s="72" t="s">
        <v>174</v>
      </c>
      <c r="K26" s="73" t="str">
        <f ca="1">IFERROR(AVERAGE(INDIRECT("'"&amp;J21&amp;"'!"&amp;"$H$2:$H$77"),INDIRECT("'"&amp;J21&amp;"'!"&amp;"$N$2:$N$77")),"-")</f>
        <v>-</v>
      </c>
    </row>
    <row r="27" spans="1:11" ht="13.5" thickBot="1" x14ac:dyDescent="0.25">
      <c r="A27" s="72" t="s">
        <v>175</v>
      </c>
      <c r="B27" s="74" t="str">
        <f ca="1">IFERROR(SUM(INDIRECT("'"&amp;A21&amp;"'!"&amp;"$D$2:$D$77"),(INDIRECT("'"&amp;A21&amp;"'!"&amp;"$I$2:$I$77"))),"-")</f>
        <v>-</v>
      </c>
      <c r="D27" s="72" t="s">
        <v>175</v>
      </c>
      <c r="E27" s="74" t="str">
        <f ca="1">IFERROR(SUM(INDIRECT("'"&amp;D21&amp;"'!"&amp;"$D$2:$D$77"),(INDIRECT("'"&amp;D21&amp;"'!"&amp;"$I$2:$I$77"))),"-")</f>
        <v>-</v>
      </c>
      <c r="G27" s="72" t="s">
        <v>175</v>
      </c>
      <c r="H27" s="74" t="str">
        <f ca="1">IFERROR(SUM(INDIRECT("'"&amp;G21&amp;"'!"&amp;"$D$2:$D$77"),(INDIRECT("'"&amp;G21&amp;"'!"&amp;"$I$2:$I$77"))),"-")</f>
        <v>-</v>
      </c>
      <c r="J27" s="72" t="s">
        <v>175</v>
      </c>
      <c r="K27" s="74" t="str">
        <f ca="1">IFERROR(SUM(INDIRECT("'"&amp;J21&amp;"'!"&amp;"$D$2:$D$77"),(INDIRECT("'"&amp;J21&amp;"'!"&amp;"$I$2:$I$77"))),"-")</f>
        <v>-</v>
      </c>
    </row>
    <row r="28" spans="1:11" ht="13.5" thickBot="1" x14ac:dyDescent="0.25">
      <c r="A28" s="72" t="s">
        <v>176</v>
      </c>
      <c r="B28" s="74" t="str">
        <f ca="1">IFERROR(SUM(INDIRECT("'"&amp;A21&amp;"'!"&amp;"$F$2:$F$77"),(INDIRECT("'"&amp;A21&amp;"'!"&amp;"$K$2:$K$77"))),"-")</f>
        <v>-</v>
      </c>
      <c r="D28" s="72" t="s">
        <v>176</v>
      </c>
      <c r="E28" s="74" t="str">
        <f ca="1">IFERROR(SUM(INDIRECT("'"&amp;D21&amp;"'!"&amp;"$F$2:$F$77"),(INDIRECT("'"&amp;D21&amp;"'!"&amp;"$K$2:$K$77"))),"-")</f>
        <v>-</v>
      </c>
      <c r="G28" s="72" t="s">
        <v>176</v>
      </c>
      <c r="H28" s="74" t="str">
        <f ca="1">IFERROR(SUM(INDIRECT("'"&amp;G21&amp;"'!"&amp;"$F$2:$F$77"),(INDIRECT("'"&amp;G21&amp;"'!"&amp;"$K$2:$K$77"))),"-")</f>
        <v>-</v>
      </c>
      <c r="J28" s="72" t="s">
        <v>176</v>
      </c>
      <c r="K28" s="74" t="str">
        <f ca="1">IFERROR(SUM(INDIRECT("'"&amp;J21&amp;"'!"&amp;"$F$2:$F$77"),(INDIRECT("'"&amp;J21&amp;"'!"&amp;"$K$2:$K$77"))),"-")</f>
        <v>-</v>
      </c>
    </row>
    <row r="31" spans="1:11" ht="13.5" thickBot="1" x14ac:dyDescent="0.25">
      <c r="A31" s="175">
        <v>2027</v>
      </c>
      <c r="B31" s="175"/>
      <c r="D31" s="175">
        <v>2028</v>
      </c>
      <c r="E31" s="175"/>
      <c r="G31" s="175">
        <v>2029</v>
      </c>
      <c r="H31" s="175"/>
      <c r="J31" s="175">
        <v>2030</v>
      </c>
      <c r="K31" s="175"/>
    </row>
    <row r="32" spans="1:11" ht="13.5" thickBot="1" x14ac:dyDescent="0.25">
      <c r="A32" s="72" t="s">
        <v>170</v>
      </c>
      <c r="B32" s="73" t="str">
        <f ca="1">IFERROR(AVERAGE(INDIRECT("'"&amp;A31&amp;"'!"&amp;"$E$2:$E$77")),"-")</f>
        <v>-</v>
      </c>
      <c r="D32" s="72" t="s">
        <v>170</v>
      </c>
      <c r="E32" s="73" t="str">
        <f ca="1">IFERROR(AVERAGE(INDIRECT("'"&amp;D31&amp;"'!"&amp;"$E$2:$E$77")),"-")</f>
        <v>-</v>
      </c>
      <c r="G32" s="72" t="s">
        <v>170</v>
      </c>
      <c r="H32" s="73" t="str">
        <f ca="1">IFERROR(AVERAGE(INDIRECT("'"&amp;G31&amp;"'!"&amp;"$E$2:$E$77")),"-")</f>
        <v>-</v>
      </c>
      <c r="J32" s="72" t="s">
        <v>170</v>
      </c>
      <c r="K32" s="73" t="str">
        <f ca="1">IFERROR(AVERAGE(INDIRECT("'"&amp;J31&amp;"'!"&amp;"$E$2:$E$77")),"-")</f>
        <v>-</v>
      </c>
    </row>
    <row r="33" spans="1:11" ht="13.5" thickBot="1" x14ac:dyDescent="0.25">
      <c r="A33" s="72" t="s">
        <v>171</v>
      </c>
      <c r="B33" s="73" t="str">
        <f ca="1">IFERROR(AVERAGE(INDIRECT("'"&amp;A31&amp;"'!"&amp;"$J$2:$J$77")),"-")</f>
        <v>-</v>
      </c>
      <c r="C33" s="6"/>
      <c r="D33" s="72" t="s">
        <v>171</v>
      </c>
      <c r="E33" s="73" t="str">
        <f ca="1">IFERROR(AVERAGE(INDIRECT("'"&amp;D31&amp;"'!"&amp;"$J$2:$J$77")),"-")</f>
        <v>-</v>
      </c>
      <c r="G33" s="72" t="s">
        <v>171</v>
      </c>
      <c r="H33" s="73" t="str">
        <f ca="1">IFERROR(AVERAGE(INDIRECT("'"&amp;G31&amp;"'!"&amp;"$J$2:$J$77")),"-")</f>
        <v>-</v>
      </c>
      <c r="J33" s="72" t="s">
        <v>171</v>
      </c>
      <c r="K33" s="73" t="str">
        <f ca="1">IFERROR(AVERAGE(INDIRECT("'"&amp;J31&amp;"'!"&amp;"$J$2:$J$77")),"-")</f>
        <v>-</v>
      </c>
    </row>
    <row r="34" spans="1:11" ht="13.5" thickBot="1" x14ac:dyDescent="0.25">
      <c r="A34" s="72" t="s">
        <v>172</v>
      </c>
      <c r="B34" s="73" t="str">
        <f ca="1">IFERROR(MAX(INDIRECT("'"&amp;A31&amp;"'!"&amp;"$H$2:$H$77")),"-")</f>
        <v>-</v>
      </c>
      <c r="D34" s="72" t="s">
        <v>172</v>
      </c>
      <c r="E34" s="73" t="str">
        <f ca="1">IFERROR(MAX(INDIRECT("'"&amp;D31&amp;"'!"&amp;"$H$2:$H$77")),"-")</f>
        <v>-</v>
      </c>
      <c r="G34" s="72" t="s">
        <v>172</v>
      </c>
      <c r="H34" s="73" t="str">
        <f ca="1">IFERROR(MAX(INDIRECT("'"&amp;G31&amp;"'!"&amp;"$H$2:$H$77")),"-")</f>
        <v>-</v>
      </c>
      <c r="J34" s="72" t="s">
        <v>172</v>
      </c>
      <c r="K34" s="73" t="str">
        <f ca="1">IFERROR(MAX(INDIRECT("'"&amp;J31&amp;"'!"&amp;"$H$2:$H$77")),"-")</f>
        <v>-</v>
      </c>
    </row>
    <row r="35" spans="1:11" ht="13.5" thickBot="1" x14ac:dyDescent="0.25">
      <c r="A35" s="72" t="s">
        <v>173</v>
      </c>
      <c r="B35" s="73" t="str">
        <f ca="1">IFERROR(MAX(INDIRECT("'"&amp;A31&amp;"'!"&amp;"$N$2:$N$77")),"-")</f>
        <v>-</v>
      </c>
      <c r="D35" s="72" t="s">
        <v>173</v>
      </c>
      <c r="E35" s="73" t="str">
        <f ca="1">IFERROR(MAX(INDIRECT("'"&amp;D31&amp;"'!"&amp;"$N$2:$N$77")),"-")</f>
        <v>-</v>
      </c>
      <c r="G35" s="72" t="s">
        <v>173</v>
      </c>
      <c r="H35" s="73" t="str">
        <f ca="1">IFERROR(MAX(INDIRECT("'"&amp;G31&amp;"'!"&amp;"$N$2:$N$77")),"-")</f>
        <v>-</v>
      </c>
      <c r="J35" s="72" t="s">
        <v>173</v>
      </c>
      <c r="K35" s="73" t="str">
        <f ca="1">IFERROR(MAX(INDIRECT("'"&amp;J31&amp;"'!"&amp;"$N$2:$N$77")),"-")</f>
        <v>-</v>
      </c>
    </row>
    <row r="36" spans="1:11" ht="13.5" thickBot="1" x14ac:dyDescent="0.25">
      <c r="A36" s="72" t="s">
        <v>174</v>
      </c>
      <c r="B36" s="73" t="str">
        <f ca="1">IFERROR(AVERAGE(INDIRECT("'"&amp;A31&amp;"'!"&amp;"$H$2:$H$77"),INDIRECT("'"&amp;A31&amp;"'!"&amp;"$N$2:$N$77")),"-")</f>
        <v>-</v>
      </c>
      <c r="D36" s="72" t="s">
        <v>174</v>
      </c>
      <c r="E36" s="73" t="str">
        <f ca="1">IFERROR(AVERAGE(INDIRECT("'"&amp;D31&amp;"'!"&amp;"$H$2:$H$77"),INDIRECT("'"&amp;D31&amp;"'!"&amp;"$N$2:$N$77")),"-")</f>
        <v>-</v>
      </c>
      <c r="G36" s="72" t="s">
        <v>174</v>
      </c>
      <c r="H36" s="73" t="str">
        <f ca="1">IFERROR(AVERAGE(INDIRECT("'"&amp;G31&amp;"'!"&amp;"$H$2:$H$77"),INDIRECT("'"&amp;G31&amp;"'!"&amp;"$N$2:$N$77")),"-")</f>
        <v>-</v>
      </c>
      <c r="J36" s="72" t="s">
        <v>174</v>
      </c>
      <c r="K36" s="73" t="str">
        <f ca="1">IFERROR(AVERAGE(INDIRECT("'"&amp;J31&amp;"'!"&amp;"$H$2:$H$77"),INDIRECT("'"&amp;J31&amp;"'!"&amp;"$N$2:$N$77")),"-")</f>
        <v>-</v>
      </c>
    </row>
    <row r="37" spans="1:11" ht="13.5" thickBot="1" x14ac:dyDescent="0.25">
      <c r="A37" s="72" t="s">
        <v>175</v>
      </c>
      <c r="B37" s="74" t="str">
        <f ca="1">IFERROR(SUM(INDIRECT("'"&amp;A31&amp;"'!"&amp;"$D$2:$D$77"),(INDIRECT("'"&amp;A31&amp;"'!"&amp;"$I$2:$I$77"))),"-")</f>
        <v>-</v>
      </c>
      <c r="D37" s="72" t="s">
        <v>175</v>
      </c>
      <c r="E37" s="74" t="str">
        <f ca="1">IFERROR(SUM(INDIRECT("'"&amp;D31&amp;"'!"&amp;"$D$2:$D$77"),(INDIRECT("'"&amp;D31&amp;"'!"&amp;"$I$2:$I$77"))),"-")</f>
        <v>-</v>
      </c>
      <c r="G37" s="72" t="s">
        <v>175</v>
      </c>
      <c r="H37" s="74" t="str">
        <f ca="1">IFERROR(SUM(INDIRECT("'"&amp;G31&amp;"'!"&amp;"$D$2:$D$77"),(INDIRECT("'"&amp;G31&amp;"'!"&amp;"$I$2:$I$77"))),"-")</f>
        <v>-</v>
      </c>
      <c r="J37" s="72" t="s">
        <v>175</v>
      </c>
      <c r="K37" s="74" t="str">
        <f ca="1">IFERROR(SUM(INDIRECT("'"&amp;J31&amp;"'!"&amp;"$D$2:$D$77"),(INDIRECT("'"&amp;J31&amp;"'!"&amp;"$I$2:$I$77"))),"-")</f>
        <v>-</v>
      </c>
    </row>
    <row r="38" spans="1:11" ht="13.5" thickBot="1" x14ac:dyDescent="0.25">
      <c r="A38" s="72" t="s">
        <v>176</v>
      </c>
      <c r="B38" s="74" t="str">
        <f ca="1">IFERROR(SUM(INDIRECT("'"&amp;A31&amp;"'!"&amp;"$F$2:$F$77"),(INDIRECT("'"&amp;A31&amp;"'!"&amp;"$K$2:$K$77"))),"-")</f>
        <v>-</v>
      </c>
      <c r="D38" s="72" t="s">
        <v>176</v>
      </c>
      <c r="E38" s="74" t="str">
        <f ca="1">IFERROR(SUM(INDIRECT("'"&amp;D31&amp;"'!"&amp;"$F$2:$F$77"),(INDIRECT("'"&amp;D31&amp;"'!"&amp;"$K$2:$K$77"))),"-")</f>
        <v>-</v>
      </c>
      <c r="G38" s="72" t="s">
        <v>176</v>
      </c>
      <c r="H38" s="74" t="str">
        <f ca="1">IFERROR(SUM(INDIRECT("'"&amp;G31&amp;"'!"&amp;"$F$2:$F$77"),(INDIRECT("'"&amp;G31&amp;"'!"&amp;"$K$2:$K$77"))),"-")</f>
        <v>-</v>
      </c>
      <c r="J38" s="72" t="s">
        <v>176</v>
      </c>
      <c r="K38" s="74" t="str">
        <f ca="1">IFERROR(SUM(INDIRECT("'"&amp;J31&amp;"'!"&amp;"$F$2:$F$77"),(INDIRECT("'"&amp;J31&amp;"'!"&amp;"$K$2:$K$77"))),"-")</f>
        <v>-</v>
      </c>
    </row>
    <row r="41" spans="1:11" ht="13.5" thickBot="1" x14ac:dyDescent="0.25">
      <c r="A41" s="175">
        <v>2031</v>
      </c>
      <c r="B41" s="175"/>
      <c r="D41" s="175">
        <v>2032</v>
      </c>
      <c r="E41" s="175"/>
      <c r="G41" s="175">
        <v>2033</v>
      </c>
      <c r="H41" s="175"/>
      <c r="J41" s="175">
        <v>2034</v>
      </c>
      <c r="K41" s="175"/>
    </row>
    <row r="42" spans="1:11" ht="13.5" thickBot="1" x14ac:dyDescent="0.25">
      <c r="A42" s="72" t="s">
        <v>170</v>
      </c>
      <c r="B42" s="73" t="str">
        <f ca="1">IFERROR(AVERAGE(INDIRECT("'"&amp;A41&amp;"'!"&amp;"$E$2:$E$77")),"-")</f>
        <v>-</v>
      </c>
      <c r="D42" s="72" t="s">
        <v>170</v>
      </c>
      <c r="E42" s="73" t="str">
        <f ca="1">IFERROR(AVERAGE(INDIRECT("'"&amp;D41&amp;"'!"&amp;"$E$2:$E$77")),"-")</f>
        <v>-</v>
      </c>
      <c r="G42" s="72" t="s">
        <v>170</v>
      </c>
      <c r="H42" s="73" t="str">
        <f ca="1">IFERROR(AVERAGE(INDIRECT("'"&amp;G41&amp;"'!"&amp;"$E$2:$E$77")),"-")</f>
        <v>-</v>
      </c>
      <c r="J42" s="72" t="s">
        <v>170</v>
      </c>
      <c r="K42" s="73" t="str">
        <f ca="1">IFERROR(AVERAGE(INDIRECT("'"&amp;J41&amp;"'!"&amp;"$E$2:$E$77")),"-")</f>
        <v>-</v>
      </c>
    </row>
    <row r="43" spans="1:11" ht="13.5" thickBot="1" x14ac:dyDescent="0.25">
      <c r="A43" s="72" t="s">
        <v>171</v>
      </c>
      <c r="B43" s="73" t="str">
        <f ca="1">IFERROR(AVERAGE(INDIRECT("'"&amp;A41&amp;"'!"&amp;"$J$2:$J$77")),"-")</f>
        <v>-</v>
      </c>
      <c r="C43" s="6"/>
      <c r="D43" s="72" t="s">
        <v>171</v>
      </c>
      <c r="E43" s="73" t="str">
        <f ca="1">IFERROR(AVERAGE(INDIRECT("'"&amp;D41&amp;"'!"&amp;"$J$2:$J$77")),"-")</f>
        <v>-</v>
      </c>
      <c r="G43" s="72" t="s">
        <v>171</v>
      </c>
      <c r="H43" s="73" t="str">
        <f ca="1">IFERROR(AVERAGE(INDIRECT("'"&amp;G41&amp;"'!"&amp;"$J$2:$J$77")),"-")</f>
        <v>-</v>
      </c>
      <c r="J43" s="72" t="s">
        <v>171</v>
      </c>
      <c r="K43" s="73" t="str">
        <f ca="1">IFERROR(AVERAGE(INDIRECT("'"&amp;J41&amp;"'!"&amp;"$J$2:$J$77")),"-")</f>
        <v>-</v>
      </c>
    </row>
    <row r="44" spans="1:11" ht="13.5" thickBot="1" x14ac:dyDescent="0.25">
      <c r="A44" s="72" t="s">
        <v>172</v>
      </c>
      <c r="B44" s="73" t="str">
        <f ca="1">IFERROR(MAX(INDIRECT("'"&amp;A41&amp;"'!"&amp;"$H$2:$H$77")),"-")</f>
        <v>-</v>
      </c>
      <c r="D44" s="72" t="s">
        <v>172</v>
      </c>
      <c r="E44" s="73" t="str">
        <f ca="1">IFERROR(MAX(INDIRECT("'"&amp;D41&amp;"'!"&amp;"$H$2:$H$77")),"-")</f>
        <v>-</v>
      </c>
      <c r="G44" s="72" t="s">
        <v>172</v>
      </c>
      <c r="H44" s="73" t="str">
        <f ca="1">IFERROR(MAX(INDIRECT("'"&amp;G41&amp;"'!"&amp;"$H$2:$H$77")),"-")</f>
        <v>-</v>
      </c>
      <c r="J44" s="72" t="s">
        <v>172</v>
      </c>
      <c r="K44" s="73" t="str">
        <f ca="1">IFERROR(MAX(INDIRECT("'"&amp;J41&amp;"'!"&amp;"$H$2:$H$77")),"-")</f>
        <v>-</v>
      </c>
    </row>
    <row r="45" spans="1:11" ht="13.5" thickBot="1" x14ac:dyDescent="0.25">
      <c r="A45" s="72" t="s">
        <v>173</v>
      </c>
      <c r="B45" s="73" t="str">
        <f ca="1">IFERROR(MAX(INDIRECT("'"&amp;A41&amp;"'!"&amp;"$N$2:$N$77")),"-")</f>
        <v>-</v>
      </c>
      <c r="D45" s="72" t="s">
        <v>173</v>
      </c>
      <c r="E45" s="73" t="str">
        <f ca="1">IFERROR(MAX(INDIRECT("'"&amp;D41&amp;"'!"&amp;"$N$2:$N$77")),"-")</f>
        <v>-</v>
      </c>
      <c r="G45" s="72" t="s">
        <v>173</v>
      </c>
      <c r="H45" s="73" t="str">
        <f ca="1">IFERROR(MAX(INDIRECT("'"&amp;G41&amp;"'!"&amp;"$N$2:$N$77")),"-")</f>
        <v>-</v>
      </c>
      <c r="J45" s="72" t="s">
        <v>173</v>
      </c>
      <c r="K45" s="73" t="str">
        <f ca="1">IFERROR(MAX(INDIRECT("'"&amp;J41&amp;"'!"&amp;"$N$2:$N$77")),"-")</f>
        <v>-</v>
      </c>
    </row>
    <row r="46" spans="1:11" ht="13.5" thickBot="1" x14ac:dyDescent="0.25">
      <c r="A46" s="72" t="s">
        <v>174</v>
      </c>
      <c r="B46" s="73" t="str">
        <f ca="1">IFERROR(AVERAGE(INDIRECT("'"&amp;A41&amp;"'!"&amp;"$H$2:$H$77"),INDIRECT("'"&amp;A41&amp;"'!"&amp;"$N$2:$N$77")),"-")</f>
        <v>-</v>
      </c>
      <c r="D46" s="72" t="s">
        <v>174</v>
      </c>
      <c r="E46" s="73" t="str">
        <f ca="1">IFERROR(AVERAGE(INDIRECT("'"&amp;D41&amp;"'!"&amp;"$H$2:$H$77"),INDIRECT("'"&amp;D41&amp;"'!"&amp;"$N$2:$N$77")),"-")</f>
        <v>-</v>
      </c>
      <c r="G46" s="72" t="s">
        <v>174</v>
      </c>
      <c r="H46" s="73" t="str">
        <f ca="1">IFERROR(AVERAGE(INDIRECT("'"&amp;G41&amp;"'!"&amp;"$H$2:$H$77"),INDIRECT("'"&amp;G41&amp;"'!"&amp;"$N$2:$N$77")),"-")</f>
        <v>-</v>
      </c>
      <c r="J46" s="72" t="s">
        <v>174</v>
      </c>
      <c r="K46" s="73" t="str">
        <f ca="1">IFERROR(AVERAGE(INDIRECT("'"&amp;J41&amp;"'!"&amp;"$H$2:$H$77"),INDIRECT("'"&amp;J41&amp;"'!"&amp;"$N$2:$N$77")),"-")</f>
        <v>-</v>
      </c>
    </row>
    <row r="47" spans="1:11" ht="13.5" thickBot="1" x14ac:dyDescent="0.25">
      <c r="A47" s="72" t="s">
        <v>175</v>
      </c>
      <c r="B47" s="74" t="str">
        <f ca="1">IFERROR(SUM(INDIRECT("'"&amp;A41&amp;"'!"&amp;"$D$2:$D$77"),(INDIRECT("'"&amp;A41&amp;"'!"&amp;"$I$2:$I$77"))),"-")</f>
        <v>-</v>
      </c>
      <c r="D47" s="72" t="s">
        <v>175</v>
      </c>
      <c r="E47" s="74" t="str">
        <f ca="1">IFERROR(SUM(INDIRECT("'"&amp;D41&amp;"'!"&amp;"$D$2:$D$77"),(INDIRECT("'"&amp;D41&amp;"'!"&amp;"$I$2:$I$77"))),"-")</f>
        <v>-</v>
      </c>
      <c r="G47" s="72" t="s">
        <v>175</v>
      </c>
      <c r="H47" s="74" t="str">
        <f ca="1">IFERROR(SUM(INDIRECT("'"&amp;G41&amp;"'!"&amp;"$D$2:$D$77"),(INDIRECT("'"&amp;G41&amp;"'!"&amp;"$I$2:$I$77"))),"-")</f>
        <v>-</v>
      </c>
      <c r="J47" s="72" t="s">
        <v>175</v>
      </c>
      <c r="K47" s="74" t="str">
        <f ca="1">IFERROR(SUM(INDIRECT("'"&amp;J41&amp;"'!"&amp;"$D$2:$D$77"),(INDIRECT("'"&amp;J41&amp;"'!"&amp;"$I$2:$I$77"))),"-")</f>
        <v>-</v>
      </c>
    </row>
    <row r="48" spans="1:11" ht="13.5" thickBot="1" x14ac:dyDescent="0.25">
      <c r="A48" s="72" t="s">
        <v>176</v>
      </c>
      <c r="B48" s="74" t="str">
        <f ca="1">IFERROR(SUM(INDIRECT("'"&amp;A41&amp;"'!"&amp;"$F$2:$F$77"),(INDIRECT("'"&amp;A41&amp;"'!"&amp;"$K$2:$K$77"))),"-")</f>
        <v>-</v>
      </c>
      <c r="D48" s="72" t="s">
        <v>176</v>
      </c>
      <c r="E48" s="74" t="str">
        <f ca="1">IFERROR(SUM(INDIRECT("'"&amp;D41&amp;"'!"&amp;"$F$2:$F$77"),(INDIRECT("'"&amp;D41&amp;"'!"&amp;"$K$2:$K$77"))),"-")</f>
        <v>-</v>
      </c>
      <c r="G48" s="72" t="s">
        <v>176</v>
      </c>
      <c r="H48" s="74" t="str">
        <f ca="1">IFERROR(SUM(INDIRECT("'"&amp;G41&amp;"'!"&amp;"$F$2:$F$77"),(INDIRECT("'"&amp;G41&amp;"'!"&amp;"$K$2:$K$77"))),"-")</f>
        <v>-</v>
      </c>
      <c r="J48" s="72" t="s">
        <v>176</v>
      </c>
      <c r="K48" s="74" t="str">
        <f ca="1">IFERROR(SUM(INDIRECT("'"&amp;J41&amp;"'!"&amp;"$F$2:$F$77"),(INDIRECT("'"&amp;J41&amp;"'!"&amp;"$K$2:$K$77"))),"-")</f>
        <v>-</v>
      </c>
    </row>
  </sheetData>
  <mergeCells count="20">
    <mergeCell ref="A31:B31"/>
    <mergeCell ref="D31:E31"/>
    <mergeCell ref="G31:H31"/>
    <mergeCell ref="J31:K31"/>
    <mergeCell ref="A41:B41"/>
    <mergeCell ref="D41:E41"/>
    <mergeCell ref="G41:H41"/>
    <mergeCell ref="J41:K41"/>
    <mergeCell ref="J21:K21"/>
    <mergeCell ref="G21:H21"/>
    <mergeCell ref="D21:E21"/>
    <mergeCell ref="A21:B21"/>
    <mergeCell ref="G11:H11"/>
    <mergeCell ref="D11:E11"/>
    <mergeCell ref="A11:B11"/>
    <mergeCell ref="J1:K1"/>
    <mergeCell ref="G1:H1"/>
    <mergeCell ref="J11:K11"/>
    <mergeCell ref="D1:E1"/>
    <mergeCell ref="A1:B1"/>
  </mergeCells>
  <phoneticPr fontId="3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D5A03-3CE2-46D8-BF69-64E56E54896B}">
  <sheetPr codeName="Sheet19">
    <tabColor rgb="FFFF0000"/>
  </sheetPr>
  <dimension ref="A1:S651"/>
  <sheetViews>
    <sheetView zoomScale="80" zoomScaleNormal="80" workbookViewId="0">
      <selection activeCell="A2" sqref="A2:O76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10</v>
      </c>
      <c r="C2" s="134" t="s">
        <v>440</v>
      </c>
      <c r="D2" s="92">
        <v>5</v>
      </c>
      <c r="E2" s="49">
        <v>7.25</v>
      </c>
      <c r="F2" s="49">
        <v>5</v>
      </c>
      <c r="G2" s="57">
        <v>8.25</v>
      </c>
      <c r="H2" s="100">
        <v>2.36</v>
      </c>
      <c r="I2" s="104">
        <v>5</v>
      </c>
      <c r="J2" s="53">
        <v>8.75</v>
      </c>
      <c r="K2" s="53">
        <v>5</v>
      </c>
      <c r="L2" s="57">
        <v>9.75</v>
      </c>
      <c r="M2" s="53">
        <v>18</v>
      </c>
      <c r="N2" s="100">
        <v>3.03</v>
      </c>
      <c r="O2" s="109"/>
    </row>
    <row r="3" spans="1:19" ht="24.95" customHeight="1" x14ac:dyDescent="0.2">
      <c r="A3" s="114">
        <v>3</v>
      </c>
      <c r="B3" s="63">
        <v>44</v>
      </c>
      <c r="C3" s="116" t="s">
        <v>345</v>
      </c>
      <c r="D3" s="70">
        <v>5</v>
      </c>
      <c r="E3" s="61">
        <v>5.96</v>
      </c>
      <c r="F3" s="61">
        <v>5</v>
      </c>
      <c r="G3" s="64">
        <v>6.96</v>
      </c>
      <c r="H3" s="101">
        <v>2.2000000000000002</v>
      </c>
      <c r="I3" s="105">
        <v>4</v>
      </c>
      <c r="J3" s="62">
        <v>5.48</v>
      </c>
      <c r="K3" s="62">
        <v>4</v>
      </c>
      <c r="L3" s="64">
        <v>6.28</v>
      </c>
      <c r="M3" s="62">
        <v>13.24</v>
      </c>
      <c r="N3" s="101">
        <v>1.89</v>
      </c>
      <c r="O3" s="110"/>
    </row>
    <row r="4" spans="1:19" ht="24.95" customHeight="1" x14ac:dyDescent="0.2">
      <c r="A4" s="114">
        <v>11</v>
      </c>
      <c r="B4" s="63">
        <v>51</v>
      </c>
      <c r="C4" s="116" t="s">
        <v>320</v>
      </c>
      <c r="D4" s="70">
        <v>4</v>
      </c>
      <c r="E4" s="61">
        <v>5.54</v>
      </c>
      <c r="F4" s="61">
        <v>4</v>
      </c>
      <c r="G4" s="64">
        <v>6.34</v>
      </c>
      <c r="H4" s="101">
        <v>2.1800000000000002</v>
      </c>
      <c r="I4" s="105">
        <v>2</v>
      </c>
      <c r="J4" s="62">
        <v>4.28</v>
      </c>
      <c r="K4" s="62">
        <v>2</v>
      </c>
      <c r="L4" s="64">
        <v>4.68</v>
      </c>
      <c r="M4" s="62">
        <v>11.02</v>
      </c>
      <c r="N4" s="101">
        <v>2.17</v>
      </c>
      <c r="O4" s="110"/>
    </row>
    <row r="5" spans="1:19" ht="24.95" customHeight="1" x14ac:dyDescent="0.2">
      <c r="A5" s="114">
        <v>7</v>
      </c>
      <c r="B5" s="63">
        <v>63</v>
      </c>
      <c r="C5" s="116" t="s">
        <v>459</v>
      </c>
      <c r="D5" s="70">
        <v>4</v>
      </c>
      <c r="E5" s="61">
        <v>5.41</v>
      </c>
      <c r="F5" s="61">
        <v>4</v>
      </c>
      <c r="G5" s="64">
        <v>6.21</v>
      </c>
      <c r="H5" s="101">
        <v>2.11</v>
      </c>
      <c r="I5" s="105">
        <v>2</v>
      </c>
      <c r="J5" s="62">
        <v>4.92</v>
      </c>
      <c r="K5" s="62">
        <v>2</v>
      </c>
      <c r="L5" s="64">
        <v>5.32</v>
      </c>
      <c r="M5" s="62">
        <v>11.53</v>
      </c>
      <c r="N5" s="101">
        <v>2.54</v>
      </c>
      <c r="O5" s="110"/>
    </row>
    <row r="6" spans="1:19" ht="24.95" customHeight="1" x14ac:dyDescent="0.2">
      <c r="A6" s="114">
        <v>15</v>
      </c>
      <c r="B6" s="63">
        <v>15</v>
      </c>
      <c r="C6" s="116" t="s">
        <v>323</v>
      </c>
      <c r="D6" s="70">
        <v>3</v>
      </c>
      <c r="E6" s="61">
        <v>5.4</v>
      </c>
      <c r="F6" s="61">
        <v>3</v>
      </c>
      <c r="G6" s="64">
        <v>6</v>
      </c>
      <c r="H6" s="101">
        <v>2.35</v>
      </c>
      <c r="I6" s="105">
        <v>2</v>
      </c>
      <c r="J6" s="62">
        <v>4.04</v>
      </c>
      <c r="K6" s="62">
        <v>2</v>
      </c>
      <c r="L6" s="64">
        <v>4.4400000000000004</v>
      </c>
      <c r="M6" s="62">
        <v>10.44</v>
      </c>
      <c r="N6" s="101">
        <v>2.11</v>
      </c>
      <c r="O6" s="110"/>
    </row>
    <row r="7" spans="1:19" ht="24.95" customHeight="1" x14ac:dyDescent="0.2">
      <c r="A7" s="114">
        <v>30</v>
      </c>
      <c r="B7" s="63">
        <v>23</v>
      </c>
      <c r="C7" s="116" t="s">
        <v>391</v>
      </c>
      <c r="D7" s="70">
        <v>4</v>
      </c>
      <c r="E7" s="61">
        <v>5.05</v>
      </c>
      <c r="F7" s="61">
        <v>4</v>
      </c>
      <c r="G7" s="64">
        <v>5.85</v>
      </c>
      <c r="H7" s="101">
        <v>1.79</v>
      </c>
      <c r="I7" s="105">
        <v>2</v>
      </c>
      <c r="J7" s="62">
        <v>2.41</v>
      </c>
      <c r="K7" s="62">
        <v>2</v>
      </c>
      <c r="L7" s="64">
        <v>2.81</v>
      </c>
      <c r="M7" s="62">
        <v>8.66</v>
      </c>
      <c r="N7" s="101">
        <v>1.63</v>
      </c>
      <c r="O7" s="110"/>
    </row>
    <row r="8" spans="1:19" ht="24.95" customHeight="1" x14ac:dyDescent="0.2">
      <c r="A8" s="114">
        <v>8</v>
      </c>
      <c r="B8" s="63">
        <v>28</v>
      </c>
      <c r="C8" s="116" t="s">
        <v>326</v>
      </c>
      <c r="D8" s="70">
        <v>3</v>
      </c>
      <c r="E8" s="61">
        <v>5.2</v>
      </c>
      <c r="F8" s="61">
        <v>3</v>
      </c>
      <c r="G8" s="64">
        <v>5.8</v>
      </c>
      <c r="H8" s="101">
        <v>2.27</v>
      </c>
      <c r="I8" s="105">
        <v>3</v>
      </c>
      <c r="J8" s="62">
        <v>4.92</v>
      </c>
      <c r="K8" s="62">
        <v>3</v>
      </c>
      <c r="L8" s="64">
        <v>5.52</v>
      </c>
      <c r="M8" s="62">
        <v>11.32</v>
      </c>
      <c r="N8" s="101">
        <v>2.15</v>
      </c>
      <c r="O8" s="110"/>
    </row>
    <row r="9" spans="1:19" ht="24.95" customHeight="1" x14ac:dyDescent="0.2">
      <c r="A9" s="114">
        <v>18</v>
      </c>
      <c r="B9" s="63">
        <v>9</v>
      </c>
      <c r="C9" s="115" t="s">
        <v>238</v>
      </c>
      <c r="D9" s="70">
        <v>3</v>
      </c>
      <c r="E9" s="61">
        <v>4.99</v>
      </c>
      <c r="F9" s="61">
        <v>3</v>
      </c>
      <c r="G9" s="64">
        <v>5.59</v>
      </c>
      <c r="H9" s="101">
        <v>2.1</v>
      </c>
      <c r="I9" s="105">
        <v>2</v>
      </c>
      <c r="J9" s="62">
        <v>3.98</v>
      </c>
      <c r="K9" s="62">
        <v>2</v>
      </c>
      <c r="L9" s="64">
        <v>4.38</v>
      </c>
      <c r="M9" s="62">
        <v>9.9700000000000006</v>
      </c>
      <c r="N9" s="101">
        <v>2.0699999999999998</v>
      </c>
      <c r="O9" s="110"/>
      <c r="Q9" t="s">
        <v>372</v>
      </c>
    </row>
    <row r="10" spans="1:19" ht="24.95" customHeight="1" x14ac:dyDescent="0.2">
      <c r="A10" s="114">
        <v>9</v>
      </c>
      <c r="B10" s="63">
        <v>18</v>
      </c>
      <c r="C10" s="116" t="s">
        <v>363</v>
      </c>
      <c r="D10" s="70">
        <v>2</v>
      </c>
      <c r="E10" s="61">
        <v>5.16</v>
      </c>
      <c r="F10" s="61">
        <v>2</v>
      </c>
      <c r="G10" s="64">
        <v>5.56</v>
      </c>
      <c r="H10" s="101">
        <v>2.81</v>
      </c>
      <c r="I10" s="105">
        <v>3</v>
      </c>
      <c r="J10" s="62">
        <v>5.15</v>
      </c>
      <c r="K10" s="62">
        <v>3</v>
      </c>
      <c r="L10" s="64">
        <v>5.75</v>
      </c>
      <c r="M10" s="62">
        <v>11.31</v>
      </c>
      <c r="N10" s="101">
        <v>2.3199999999999998</v>
      </c>
      <c r="O10" s="110"/>
    </row>
    <row r="11" spans="1:19" ht="24.95" customHeight="1" x14ac:dyDescent="0.2">
      <c r="A11" s="114">
        <v>14</v>
      </c>
      <c r="B11" s="63">
        <v>45</v>
      </c>
      <c r="C11" s="116" t="s">
        <v>253</v>
      </c>
      <c r="D11" s="70">
        <v>3</v>
      </c>
      <c r="E11" s="61">
        <v>4.93</v>
      </c>
      <c r="F11" s="61">
        <v>3</v>
      </c>
      <c r="G11" s="64">
        <v>5.53</v>
      </c>
      <c r="H11" s="101">
        <v>2.0499999999999998</v>
      </c>
      <c r="I11" s="105">
        <v>3</v>
      </c>
      <c r="J11" s="62">
        <v>4.4000000000000004</v>
      </c>
      <c r="K11" s="62">
        <v>3</v>
      </c>
      <c r="L11" s="64">
        <v>5</v>
      </c>
      <c r="M11" s="62">
        <v>10.53</v>
      </c>
      <c r="N11" s="101">
        <v>1.79</v>
      </c>
      <c r="O11" s="110"/>
    </row>
    <row r="12" spans="1:19" ht="24.95" customHeight="1" x14ac:dyDescent="0.2">
      <c r="A12" s="114">
        <v>22</v>
      </c>
      <c r="B12" s="63">
        <v>31</v>
      </c>
      <c r="C12" s="116" t="s">
        <v>297</v>
      </c>
      <c r="D12" s="70">
        <v>2</v>
      </c>
      <c r="E12" s="61">
        <v>4.8600000000000003</v>
      </c>
      <c r="F12" s="61">
        <v>2</v>
      </c>
      <c r="G12" s="64">
        <v>5.26</v>
      </c>
      <c r="H12" s="101">
        <v>2.67</v>
      </c>
      <c r="I12" s="105">
        <v>2</v>
      </c>
      <c r="J12" s="62">
        <v>3.72</v>
      </c>
      <c r="K12" s="62">
        <v>2</v>
      </c>
      <c r="L12" s="64">
        <v>4.12</v>
      </c>
      <c r="M12" s="62">
        <v>9.3800000000000008</v>
      </c>
      <c r="N12" s="101">
        <v>2.02</v>
      </c>
      <c r="O12" s="110"/>
    </row>
    <row r="13" spans="1:19" ht="24.95" customHeight="1" x14ac:dyDescent="0.2">
      <c r="A13" s="114">
        <v>19</v>
      </c>
      <c r="B13" s="63">
        <v>46</v>
      </c>
      <c r="C13" s="116" t="s">
        <v>448</v>
      </c>
      <c r="D13" s="70">
        <v>2</v>
      </c>
      <c r="E13" s="61">
        <v>4.7</v>
      </c>
      <c r="F13" s="61">
        <v>2</v>
      </c>
      <c r="G13" s="64">
        <v>5.0999999999999996</v>
      </c>
      <c r="H13" s="101">
        <v>2.5299999999999998</v>
      </c>
      <c r="I13" s="105">
        <v>2</v>
      </c>
      <c r="J13" s="62">
        <v>4.45</v>
      </c>
      <c r="K13" s="62">
        <v>2</v>
      </c>
      <c r="L13" s="64">
        <v>4.8499999999999996</v>
      </c>
      <c r="M13" s="62">
        <v>9.9499999999999993</v>
      </c>
      <c r="N13" s="101">
        <v>2.38</v>
      </c>
      <c r="O13" s="110"/>
    </row>
    <row r="14" spans="1:19" ht="24.95" customHeight="1" x14ac:dyDescent="0.2">
      <c r="A14" s="114">
        <v>6</v>
      </c>
      <c r="B14" s="63">
        <v>55</v>
      </c>
      <c r="C14" s="116" t="s">
        <v>352</v>
      </c>
      <c r="D14" s="70">
        <v>3</v>
      </c>
      <c r="E14" s="61">
        <v>4.49</v>
      </c>
      <c r="F14" s="61">
        <v>3</v>
      </c>
      <c r="G14" s="64">
        <v>5.09</v>
      </c>
      <c r="H14" s="101">
        <v>2.0499999999999998</v>
      </c>
      <c r="I14" s="105">
        <v>5</v>
      </c>
      <c r="J14" s="62">
        <v>5.65</v>
      </c>
      <c r="K14" s="62">
        <v>5</v>
      </c>
      <c r="L14" s="64">
        <v>6.65</v>
      </c>
      <c r="M14" s="62">
        <v>11.74</v>
      </c>
      <c r="N14" s="101">
        <v>2.11</v>
      </c>
      <c r="O14" s="110"/>
      <c r="Q14" t="s">
        <v>372</v>
      </c>
    </row>
    <row r="15" spans="1:19" ht="24.95" customHeight="1" x14ac:dyDescent="0.2">
      <c r="A15" s="114">
        <v>21</v>
      </c>
      <c r="B15" s="63">
        <v>52</v>
      </c>
      <c r="C15" s="116" t="s">
        <v>211</v>
      </c>
      <c r="D15" s="70">
        <v>2</v>
      </c>
      <c r="E15" s="61">
        <v>4.5599999999999996</v>
      </c>
      <c r="F15" s="61">
        <v>2</v>
      </c>
      <c r="G15" s="64">
        <v>4.96</v>
      </c>
      <c r="H15" s="101">
        <v>2.42</v>
      </c>
      <c r="I15" s="105">
        <v>2</v>
      </c>
      <c r="J15" s="62">
        <v>4.1399999999999997</v>
      </c>
      <c r="K15" s="62">
        <v>2</v>
      </c>
      <c r="L15" s="64">
        <v>4.54</v>
      </c>
      <c r="M15" s="62">
        <v>9.5</v>
      </c>
      <c r="N15" s="101">
        <v>2.33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12</v>
      </c>
      <c r="B16" s="63">
        <v>39</v>
      </c>
      <c r="C16" s="116" t="s">
        <v>307</v>
      </c>
      <c r="D16" s="70">
        <v>2</v>
      </c>
      <c r="E16" s="61">
        <v>4.5199999999999996</v>
      </c>
      <c r="F16" s="61">
        <v>2</v>
      </c>
      <c r="G16" s="64">
        <v>4.92</v>
      </c>
      <c r="H16" s="101">
        <v>2.35</v>
      </c>
      <c r="I16" s="105">
        <v>2</v>
      </c>
      <c r="J16" s="62">
        <v>5.52</v>
      </c>
      <c r="K16" s="62">
        <v>2</v>
      </c>
      <c r="L16" s="64">
        <v>5.92</v>
      </c>
      <c r="M16" s="62">
        <v>10.84</v>
      </c>
      <c r="N16" s="101">
        <v>2.38</v>
      </c>
      <c r="O16" s="110"/>
      <c r="Q16" t="s">
        <v>372</v>
      </c>
    </row>
    <row r="17" spans="1:18" ht="24.95" customHeight="1" x14ac:dyDescent="0.2">
      <c r="A17" s="114">
        <v>34</v>
      </c>
      <c r="B17" s="63">
        <v>24</v>
      </c>
      <c r="C17" s="116" t="s">
        <v>310</v>
      </c>
      <c r="D17" s="70">
        <v>2</v>
      </c>
      <c r="E17" s="61">
        <v>4.45</v>
      </c>
      <c r="F17" s="61">
        <v>2</v>
      </c>
      <c r="G17" s="64">
        <v>4.8499999999999996</v>
      </c>
      <c r="H17" s="101">
        <v>2.2400000000000002</v>
      </c>
      <c r="I17" s="105">
        <v>2</v>
      </c>
      <c r="J17" s="62">
        <v>2.7</v>
      </c>
      <c r="K17" s="62">
        <v>2</v>
      </c>
      <c r="L17" s="64">
        <v>3.1</v>
      </c>
      <c r="M17" s="62">
        <v>7.95</v>
      </c>
      <c r="N17" s="101">
        <v>2.0699999999999998</v>
      </c>
      <c r="O17" s="110"/>
      <c r="Q17" t="s">
        <v>372</v>
      </c>
    </row>
    <row r="18" spans="1:18" ht="24.95" customHeight="1" x14ac:dyDescent="0.2">
      <c r="A18" s="114">
        <v>4</v>
      </c>
      <c r="B18" s="63">
        <v>22</v>
      </c>
      <c r="C18" s="116" t="s">
        <v>287</v>
      </c>
      <c r="D18" s="70">
        <v>2</v>
      </c>
      <c r="E18" s="61">
        <v>4.3899999999999997</v>
      </c>
      <c r="F18" s="61">
        <v>2</v>
      </c>
      <c r="G18" s="64">
        <v>4.79</v>
      </c>
      <c r="H18" s="101">
        <v>2.2999999999999998</v>
      </c>
      <c r="I18" s="105">
        <v>5</v>
      </c>
      <c r="J18" s="62">
        <v>7.22</v>
      </c>
      <c r="K18" s="62">
        <v>5</v>
      </c>
      <c r="L18" s="64">
        <v>8.2200000000000006</v>
      </c>
      <c r="M18" s="62">
        <v>13.01</v>
      </c>
      <c r="N18" s="101">
        <v>2.46</v>
      </c>
      <c r="O18" s="110"/>
    </row>
    <row r="19" spans="1:18" ht="24.95" customHeight="1" x14ac:dyDescent="0.2">
      <c r="A19" s="114">
        <v>5</v>
      </c>
      <c r="B19" s="63">
        <v>34</v>
      </c>
      <c r="C19" s="116" t="s">
        <v>258</v>
      </c>
      <c r="D19" s="70">
        <v>2</v>
      </c>
      <c r="E19" s="61">
        <v>4.3899999999999997</v>
      </c>
      <c r="F19" s="61">
        <v>2</v>
      </c>
      <c r="G19" s="64">
        <v>4.79</v>
      </c>
      <c r="H19" s="101">
        <v>2.23</v>
      </c>
      <c r="I19" s="105">
        <v>2</v>
      </c>
      <c r="J19" s="62">
        <v>6.93</v>
      </c>
      <c r="K19" s="62">
        <v>2</v>
      </c>
      <c r="L19" s="64">
        <v>7.33</v>
      </c>
      <c r="M19" s="62">
        <v>12.12</v>
      </c>
      <c r="N19" s="101">
        <v>4.5999999999999996</v>
      </c>
      <c r="O19" s="110"/>
      <c r="Q19" t="s">
        <v>372</v>
      </c>
    </row>
    <row r="20" spans="1:18" ht="24.95" customHeight="1" x14ac:dyDescent="0.2">
      <c r="A20" s="114">
        <v>31</v>
      </c>
      <c r="B20" s="63">
        <v>21</v>
      </c>
      <c r="C20" s="116" t="s">
        <v>210</v>
      </c>
      <c r="D20" s="70">
        <v>2</v>
      </c>
      <c r="E20" s="61">
        <v>4.3899999999999997</v>
      </c>
      <c r="F20" s="61">
        <v>2</v>
      </c>
      <c r="G20" s="64">
        <v>4.79</v>
      </c>
      <c r="H20" s="101">
        <v>2.2599999999999998</v>
      </c>
      <c r="I20" s="105">
        <v>3</v>
      </c>
      <c r="J20" s="62">
        <v>3.24</v>
      </c>
      <c r="K20" s="62">
        <v>3</v>
      </c>
      <c r="L20" s="64">
        <v>3.84</v>
      </c>
      <c r="M20" s="62">
        <v>8.6300000000000008</v>
      </c>
      <c r="N20" s="101">
        <v>2.08</v>
      </c>
      <c r="O20" s="110"/>
      <c r="Q20" t="s">
        <v>372</v>
      </c>
    </row>
    <row r="21" spans="1:18" ht="24.95" customHeight="1" x14ac:dyDescent="0.2">
      <c r="A21" s="114">
        <v>41</v>
      </c>
      <c r="B21" s="63">
        <v>25</v>
      </c>
      <c r="C21" s="116" t="s">
        <v>284</v>
      </c>
      <c r="D21" s="70">
        <v>2</v>
      </c>
      <c r="E21" s="61">
        <v>4.3099999999999996</v>
      </c>
      <c r="F21" s="61">
        <v>2</v>
      </c>
      <c r="G21" s="64">
        <v>4.71</v>
      </c>
      <c r="H21" s="101">
        <v>2.1</v>
      </c>
      <c r="I21" s="105">
        <v>1</v>
      </c>
      <c r="J21" s="62">
        <v>2.1800000000000002</v>
      </c>
      <c r="K21" s="62">
        <v>1</v>
      </c>
      <c r="L21" s="64">
        <v>2.38</v>
      </c>
      <c r="M21" s="62">
        <v>7.09</v>
      </c>
      <c r="N21" s="101">
        <v>2.1800000000000002</v>
      </c>
      <c r="O21" s="110" t="s">
        <v>473</v>
      </c>
      <c r="Q21" t="s">
        <v>372</v>
      </c>
    </row>
    <row r="22" spans="1:18" ht="24.95" customHeight="1" x14ac:dyDescent="0.2">
      <c r="A22" s="114">
        <v>2</v>
      </c>
      <c r="B22" s="63">
        <v>8</v>
      </c>
      <c r="C22" s="115" t="s">
        <v>197</v>
      </c>
      <c r="D22" s="70">
        <v>2</v>
      </c>
      <c r="E22" s="61">
        <v>4.3</v>
      </c>
      <c r="F22" s="61">
        <v>2</v>
      </c>
      <c r="G22" s="64">
        <v>4.7</v>
      </c>
      <c r="H22" s="101">
        <v>2.2200000000000002</v>
      </c>
      <c r="I22" s="105">
        <v>7</v>
      </c>
      <c r="J22" s="62">
        <v>9.5299999999999994</v>
      </c>
      <c r="K22" s="62">
        <v>7</v>
      </c>
      <c r="L22" s="64">
        <v>10.93</v>
      </c>
      <c r="M22" s="62">
        <v>15.63</v>
      </c>
      <c r="N22" s="101">
        <v>2.72</v>
      </c>
      <c r="O22" s="110"/>
      <c r="Q22" t="s">
        <v>372</v>
      </c>
      <c r="R22" t="s">
        <v>372</v>
      </c>
    </row>
    <row r="23" spans="1:18" ht="24.95" customHeight="1" x14ac:dyDescent="0.2">
      <c r="A23" s="114">
        <v>27</v>
      </c>
      <c r="B23" s="63">
        <v>5</v>
      </c>
      <c r="C23" s="116" t="s">
        <v>438</v>
      </c>
      <c r="D23" s="70">
        <v>2</v>
      </c>
      <c r="E23" s="61">
        <v>4.29</v>
      </c>
      <c r="F23" s="61">
        <v>2</v>
      </c>
      <c r="G23" s="64">
        <v>4.6900000000000004</v>
      </c>
      <c r="H23" s="101">
        <v>2.3199999999999998</v>
      </c>
      <c r="I23" s="105">
        <v>2</v>
      </c>
      <c r="J23" s="62">
        <v>3.6</v>
      </c>
      <c r="K23" s="62">
        <v>2</v>
      </c>
      <c r="L23" s="64">
        <v>4</v>
      </c>
      <c r="M23" s="62">
        <v>8.69</v>
      </c>
      <c r="N23" s="101">
        <v>1.81</v>
      </c>
      <c r="O23" s="110"/>
      <c r="Q23" t="s">
        <v>372</v>
      </c>
    </row>
    <row r="24" spans="1:18" ht="24.95" customHeight="1" x14ac:dyDescent="0.2">
      <c r="A24" s="114">
        <v>24</v>
      </c>
      <c r="B24" s="63">
        <v>26</v>
      </c>
      <c r="C24" s="116" t="s">
        <v>444</v>
      </c>
      <c r="D24" s="70">
        <v>2</v>
      </c>
      <c r="E24" s="61">
        <v>4.24</v>
      </c>
      <c r="F24" s="61">
        <v>2</v>
      </c>
      <c r="G24" s="64">
        <v>4.6399999999999997</v>
      </c>
      <c r="H24" s="101">
        <v>2.2400000000000002</v>
      </c>
      <c r="I24" s="105">
        <v>2</v>
      </c>
      <c r="J24" s="62">
        <v>4.24</v>
      </c>
      <c r="K24" s="62">
        <v>2</v>
      </c>
      <c r="L24" s="64">
        <v>4.6399999999999997</v>
      </c>
      <c r="M24" s="62">
        <v>9.2799999999999994</v>
      </c>
      <c r="N24" s="101">
        <v>2.14</v>
      </c>
      <c r="O24" s="110"/>
    </row>
    <row r="25" spans="1:18" ht="24.95" customHeight="1" x14ac:dyDescent="0.2">
      <c r="A25" s="114">
        <v>36</v>
      </c>
      <c r="B25" s="63">
        <v>30</v>
      </c>
      <c r="C25" s="116" t="s">
        <v>219</v>
      </c>
      <c r="D25" s="70">
        <v>2</v>
      </c>
      <c r="E25" s="61">
        <v>4.1900000000000004</v>
      </c>
      <c r="F25" s="61">
        <v>2</v>
      </c>
      <c r="G25" s="64">
        <v>4.59</v>
      </c>
      <c r="H25" s="101">
        <v>2.37</v>
      </c>
      <c r="I25" s="105">
        <v>2</v>
      </c>
      <c r="J25" s="62">
        <v>2.4300000000000002</v>
      </c>
      <c r="K25" s="62">
        <v>2</v>
      </c>
      <c r="L25" s="64">
        <v>2.83</v>
      </c>
      <c r="M25" s="62">
        <v>7.42</v>
      </c>
      <c r="N25" s="101">
        <v>1.92</v>
      </c>
      <c r="O25" s="110"/>
    </row>
    <row r="26" spans="1:18" ht="24.95" customHeight="1" x14ac:dyDescent="0.2">
      <c r="A26" s="114">
        <v>39</v>
      </c>
      <c r="B26" s="63">
        <v>3</v>
      </c>
      <c r="C26" s="116" t="s">
        <v>471</v>
      </c>
      <c r="D26" s="70">
        <v>2</v>
      </c>
      <c r="E26" s="61">
        <v>4.1399999999999997</v>
      </c>
      <c r="F26" s="61">
        <v>2</v>
      </c>
      <c r="G26" s="64">
        <v>4.54</v>
      </c>
      <c r="H26" s="101">
        <v>2.2799999999999998</v>
      </c>
      <c r="I26" s="105">
        <v>1</v>
      </c>
      <c r="J26" s="62">
        <v>2.4300000000000002</v>
      </c>
      <c r="K26" s="62">
        <v>1</v>
      </c>
      <c r="L26" s="64">
        <v>2.63</v>
      </c>
      <c r="M26" s="62">
        <v>7.17</v>
      </c>
      <c r="N26" s="101">
        <v>2.4300000000000002</v>
      </c>
      <c r="O26" s="110"/>
      <c r="Q26" t="s">
        <v>372</v>
      </c>
    </row>
    <row r="27" spans="1:18" ht="24.95" customHeight="1" x14ac:dyDescent="0.2">
      <c r="A27" s="114">
        <v>13</v>
      </c>
      <c r="B27" s="63">
        <v>2</v>
      </c>
      <c r="C27" s="116" t="s">
        <v>397</v>
      </c>
      <c r="D27" s="70">
        <v>2</v>
      </c>
      <c r="E27" s="61">
        <v>4.12</v>
      </c>
      <c r="F27" s="61">
        <v>2</v>
      </c>
      <c r="G27" s="64">
        <v>4.5199999999999996</v>
      </c>
      <c r="H27" s="101">
        <v>2.12</v>
      </c>
      <c r="I27" s="105">
        <v>3</v>
      </c>
      <c r="J27" s="62">
        <v>5.58</v>
      </c>
      <c r="K27" s="62">
        <v>3</v>
      </c>
      <c r="L27" s="64">
        <v>6.18</v>
      </c>
      <c r="M27" s="62">
        <v>10.7</v>
      </c>
      <c r="N27" s="101">
        <v>2.4500000000000002</v>
      </c>
      <c r="O27" s="110"/>
    </row>
    <row r="28" spans="1:18" ht="24.95" customHeight="1" x14ac:dyDescent="0.2">
      <c r="A28" s="114">
        <v>52</v>
      </c>
      <c r="B28" s="63">
        <v>36</v>
      </c>
      <c r="C28" s="116" t="s">
        <v>386</v>
      </c>
      <c r="D28" s="70">
        <v>2</v>
      </c>
      <c r="E28" s="61">
        <v>4.1100000000000003</v>
      </c>
      <c r="F28" s="61">
        <v>2</v>
      </c>
      <c r="G28" s="64">
        <v>4.51</v>
      </c>
      <c r="H28" s="101">
        <v>2.23</v>
      </c>
      <c r="I28" s="105">
        <v>0</v>
      </c>
      <c r="J28" s="62">
        <v>0</v>
      </c>
      <c r="K28" s="62">
        <v>0</v>
      </c>
      <c r="L28" s="64">
        <v>0</v>
      </c>
      <c r="M28" s="62">
        <v>4.51</v>
      </c>
      <c r="N28" s="101">
        <v>0</v>
      </c>
      <c r="O28" s="110"/>
      <c r="Q28" t="s">
        <v>372</v>
      </c>
    </row>
    <row r="29" spans="1:18" ht="24.95" customHeight="1" x14ac:dyDescent="0.2">
      <c r="A29" s="114">
        <v>29</v>
      </c>
      <c r="B29" s="63">
        <v>17</v>
      </c>
      <c r="C29" s="116" t="s">
        <v>226</v>
      </c>
      <c r="D29" s="70">
        <v>2</v>
      </c>
      <c r="E29" s="61">
        <v>4.0999999999999996</v>
      </c>
      <c r="F29" s="61">
        <v>2</v>
      </c>
      <c r="G29" s="64">
        <v>4.5</v>
      </c>
      <c r="H29" s="101">
        <v>2.29</v>
      </c>
      <c r="I29" s="105">
        <v>2</v>
      </c>
      <c r="J29" s="62">
        <v>3.77</v>
      </c>
      <c r="K29" s="62">
        <v>2</v>
      </c>
      <c r="L29" s="64">
        <v>4.17</v>
      </c>
      <c r="M29" s="62">
        <v>8.67</v>
      </c>
      <c r="N29" s="101">
        <v>2.0299999999999998</v>
      </c>
      <c r="O29" s="110"/>
      <c r="Q29" t="s">
        <v>372</v>
      </c>
    </row>
    <row r="30" spans="1:18" ht="24.95" customHeight="1" x14ac:dyDescent="0.2">
      <c r="A30" s="114">
        <v>44</v>
      </c>
      <c r="B30" s="63">
        <v>62</v>
      </c>
      <c r="C30" s="116" t="s">
        <v>458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2.1</v>
      </c>
      <c r="I30" s="105">
        <v>1</v>
      </c>
      <c r="J30" s="62">
        <v>2.04</v>
      </c>
      <c r="K30" s="62">
        <v>1</v>
      </c>
      <c r="L30" s="64">
        <v>2.2400000000000002</v>
      </c>
      <c r="M30" s="62">
        <v>6.74</v>
      </c>
      <c r="N30" s="101">
        <v>2.04</v>
      </c>
      <c r="O30" s="110"/>
    </row>
    <row r="31" spans="1:18" ht="24.95" customHeight="1" x14ac:dyDescent="0.2">
      <c r="A31" s="114">
        <v>45</v>
      </c>
      <c r="B31" s="63">
        <v>66</v>
      </c>
      <c r="C31" s="116" t="s">
        <v>461</v>
      </c>
      <c r="D31" s="70">
        <v>2</v>
      </c>
      <c r="E31" s="61">
        <v>4.0599999999999996</v>
      </c>
      <c r="F31" s="61">
        <v>2</v>
      </c>
      <c r="G31" s="64">
        <v>4.46</v>
      </c>
      <c r="H31" s="101">
        <v>2.13</v>
      </c>
      <c r="I31" s="105">
        <v>1</v>
      </c>
      <c r="J31" s="62">
        <v>2</v>
      </c>
      <c r="K31" s="62">
        <v>1</v>
      </c>
      <c r="L31" s="64">
        <v>2.2000000000000002</v>
      </c>
      <c r="M31" s="62">
        <v>6.66</v>
      </c>
      <c r="N31" s="101">
        <v>2</v>
      </c>
      <c r="O31" s="110"/>
      <c r="Q31" t="s">
        <v>372</v>
      </c>
    </row>
    <row r="32" spans="1:18" ht="24.95" customHeight="1" x14ac:dyDescent="0.2">
      <c r="A32" s="114">
        <v>53</v>
      </c>
      <c r="B32" s="63">
        <v>59</v>
      </c>
      <c r="C32" s="116" t="s">
        <v>404</v>
      </c>
      <c r="D32" s="70">
        <v>2</v>
      </c>
      <c r="E32" s="61">
        <v>4.0149999999999997</v>
      </c>
      <c r="F32" s="61">
        <v>2</v>
      </c>
      <c r="G32" s="64">
        <v>4.41</v>
      </c>
      <c r="H32" s="101">
        <v>2.2000000000000002</v>
      </c>
      <c r="I32" s="105">
        <v>0</v>
      </c>
      <c r="J32" s="62">
        <v>0</v>
      </c>
      <c r="K32" s="62">
        <v>0</v>
      </c>
      <c r="L32" s="64">
        <v>0</v>
      </c>
      <c r="M32" s="62">
        <v>4.41</v>
      </c>
      <c r="N32" s="101">
        <v>0</v>
      </c>
      <c r="O32" s="110"/>
    </row>
    <row r="33" spans="1:18" ht="24.95" customHeight="1" x14ac:dyDescent="0.2">
      <c r="A33" s="114">
        <v>54</v>
      </c>
      <c r="B33" s="63">
        <v>42</v>
      </c>
      <c r="C33" s="116" t="s">
        <v>411</v>
      </c>
      <c r="D33" s="70">
        <v>2</v>
      </c>
      <c r="E33" s="61">
        <v>4.01</v>
      </c>
      <c r="F33" s="61">
        <v>2</v>
      </c>
      <c r="G33" s="64">
        <v>4.41</v>
      </c>
      <c r="H33" s="101">
        <v>2.11</v>
      </c>
      <c r="I33" s="105">
        <v>0</v>
      </c>
      <c r="J33" s="62">
        <v>0</v>
      </c>
      <c r="K33" s="62">
        <v>0</v>
      </c>
      <c r="L33" s="64">
        <v>0</v>
      </c>
      <c r="M33" s="62">
        <v>4.41</v>
      </c>
      <c r="N33" s="101">
        <v>0</v>
      </c>
      <c r="O33" s="110"/>
      <c r="Q33" t="s">
        <v>372</v>
      </c>
      <c r="R33" t="s">
        <v>372</v>
      </c>
    </row>
    <row r="34" spans="1:18" ht="24.95" customHeight="1" x14ac:dyDescent="0.2">
      <c r="A34" s="114">
        <v>10</v>
      </c>
      <c r="B34" s="63">
        <v>14</v>
      </c>
      <c r="C34" s="116" t="s">
        <v>379</v>
      </c>
      <c r="D34" s="70">
        <v>2</v>
      </c>
      <c r="E34" s="61">
        <v>3.87</v>
      </c>
      <c r="F34" s="61">
        <v>2</v>
      </c>
      <c r="G34" s="64">
        <v>4.2699999999999996</v>
      </c>
      <c r="H34" s="101">
        <v>1.96</v>
      </c>
      <c r="I34" s="105">
        <v>4</v>
      </c>
      <c r="J34" s="62">
        <v>6.02</v>
      </c>
      <c r="K34" s="62">
        <v>4</v>
      </c>
      <c r="L34" s="64">
        <v>6.82</v>
      </c>
      <c r="M34" s="62">
        <v>11.09</v>
      </c>
      <c r="N34" s="101">
        <v>2.31</v>
      </c>
      <c r="O34" s="110"/>
      <c r="Q34" t="s">
        <v>372</v>
      </c>
      <c r="R34" t="s">
        <v>372</v>
      </c>
    </row>
    <row r="35" spans="1:18" ht="24.95" customHeight="1" x14ac:dyDescent="0.2">
      <c r="A35" s="114">
        <v>20</v>
      </c>
      <c r="B35" s="63">
        <v>12</v>
      </c>
      <c r="C35" s="116" t="s">
        <v>393</v>
      </c>
      <c r="D35" s="70">
        <v>2</v>
      </c>
      <c r="E35" s="61">
        <v>3.8</v>
      </c>
      <c r="F35" s="61">
        <v>2</v>
      </c>
      <c r="G35" s="64">
        <v>4.2</v>
      </c>
      <c r="H35" s="101">
        <v>1.86</v>
      </c>
      <c r="I35" s="105">
        <v>3</v>
      </c>
      <c r="J35" s="62">
        <v>4.88</v>
      </c>
      <c r="K35" s="62">
        <v>3</v>
      </c>
      <c r="L35" s="64">
        <v>5.48</v>
      </c>
      <c r="M35" s="62">
        <v>9.68</v>
      </c>
      <c r="N35" s="101">
        <v>2.1</v>
      </c>
      <c r="O35" s="110"/>
      <c r="Q35" t="s">
        <v>372</v>
      </c>
    </row>
    <row r="36" spans="1:18" ht="24.95" customHeight="1" x14ac:dyDescent="0.2">
      <c r="A36" s="114">
        <v>23</v>
      </c>
      <c r="B36" s="63">
        <v>72</v>
      </c>
      <c r="C36" s="116" t="s">
        <v>466</v>
      </c>
      <c r="D36" s="70">
        <v>2</v>
      </c>
      <c r="E36" s="61">
        <v>3.77</v>
      </c>
      <c r="F36" s="61">
        <v>2</v>
      </c>
      <c r="G36" s="64">
        <v>4.17</v>
      </c>
      <c r="H36" s="101">
        <v>2.0299999999999998</v>
      </c>
      <c r="I36" s="105">
        <v>3</v>
      </c>
      <c r="J36" s="62">
        <v>4.58</v>
      </c>
      <c r="K36" s="62">
        <v>3</v>
      </c>
      <c r="L36" s="64">
        <v>5.18</v>
      </c>
      <c r="M36" s="62">
        <v>9.35</v>
      </c>
      <c r="N36" s="101">
        <v>1.93</v>
      </c>
      <c r="O36" s="110"/>
      <c r="Q36" t="s">
        <v>372</v>
      </c>
    </row>
    <row r="37" spans="1:18" ht="24.95" customHeight="1" x14ac:dyDescent="0.2">
      <c r="A37" s="114">
        <v>26</v>
      </c>
      <c r="B37" s="63">
        <v>38</v>
      </c>
      <c r="C37" s="116" t="s">
        <v>225</v>
      </c>
      <c r="D37" s="70">
        <v>2</v>
      </c>
      <c r="E37" s="61">
        <v>3.77</v>
      </c>
      <c r="F37" s="61">
        <v>2</v>
      </c>
      <c r="G37" s="64">
        <v>4.17</v>
      </c>
      <c r="H37" s="101">
        <v>2.0099999999999998</v>
      </c>
      <c r="I37" s="105">
        <v>2</v>
      </c>
      <c r="J37" s="62">
        <v>4.41</v>
      </c>
      <c r="K37" s="62">
        <v>2</v>
      </c>
      <c r="L37" s="64">
        <v>4.8099999999999996</v>
      </c>
      <c r="M37" s="62">
        <v>8.98</v>
      </c>
      <c r="N37" s="101">
        <v>2.5</v>
      </c>
      <c r="O37" s="110"/>
    </row>
    <row r="38" spans="1:18" ht="24.95" customHeight="1" x14ac:dyDescent="0.2">
      <c r="A38" s="114">
        <v>57</v>
      </c>
      <c r="B38" s="63">
        <v>49</v>
      </c>
      <c r="C38" s="116" t="s">
        <v>451</v>
      </c>
      <c r="D38" s="70">
        <v>2</v>
      </c>
      <c r="E38" s="61">
        <v>3.72</v>
      </c>
      <c r="F38" s="61">
        <v>2</v>
      </c>
      <c r="G38" s="64">
        <v>4.12</v>
      </c>
      <c r="H38" s="101">
        <v>2</v>
      </c>
      <c r="I38" s="105">
        <v>0</v>
      </c>
      <c r="J38" s="62">
        <v>0</v>
      </c>
      <c r="K38" s="62">
        <v>0</v>
      </c>
      <c r="L38" s="64">
        <v>0</v>
      </c>
      <c r="M38" s="62">
        <v>4.12</v>
      </c>
      <c r="N38" s="101">
        <v>0</v>
      </c>
      <c r="O38" s="110"/>
      <c r="Q38" t="s">
        <v>372</v>
      </c>
      <c r="R38" t="s">
        <v>372</v>
      </c>
    </row>
    <row r="39" spans="1:18" ht="24.95" customHeight="1" x14ac:dyDescent="0.2">
      <c r="A39" s="114">
        <v>58</v>
      </c>
      <c r="B39" s="63">
        <v>70</v>
      </c>
      <c r="C39" s="116" t="s">
        <v>464</v>
      </c>
      <c r="D39" s="70">
        <v>2</v>
      </c>
      <c r="E39" s="61">
        <v>3.7</v>
      </c>
      <c r="F39" s="61">
        <v>2</v>
      </c>
      <c r="G39" s="64">
        <v>4.0999999999999996</v>
      </c>
      <c r="H39" s="101">
        <v>2.04</v>
      </c>
      <c r="I39" s="105">
        <v>0</v>
      </c>
      <c r="J39" s="62">
        <v>0</v>
      </c>
      <c r="K39" s="62">
        <v>0</v>
      </c>
      <c r="L39" s="64">
        <v>0</v>
      </c>
      <c r="M39" s="62">
        <v>4.0999999999999996</v>
      </c>
      <c r="N39" s="101">
        <v>0</v>
      </c>
      <c r="O39" s="110"/>
      <c r="Q39" t="s">
        <v>372</v>
      </c>
      <c r="R39" t="s">
        <v>372</v>
      </c>
    </row>
    <row r="40" spans="1:18" ht="24.95" customHeight="1" x14ac:dyDescent="0.2">
      <c r="A40" s="114">
        <v>17</v>
      </c>
      <c r="B40" s="63">
        <v>4</v>
      </c>
      <c r="C40" s="115" t="s">
        <v>387</v>
      </c>
      <c r="D40" s="70">
        <v>2</v>
      </c>
      <c r="E40" s="61">
        <v>3.68</v>
      </c>
      <c r="F40" s="61">
        <v>2</v>
      </c>
      <c r="G40" s="64">
        <v>4.08</v>
      </c>
      <c r="H40" s="101">
        <v>1.96</v>
      </c>
      <c r="I40" s="105">
        <v>3</v>
      </c>
      <c r="J40" s="62">
        <v>5.47</v>
      </c>
      <c r="K40" s="62">
        <v>3</v>
      </c>
      <c r="L40" s="64">
        <v>6.07</v>
      </c>
      <c r="M40" s="62">
        <v>10.15</v>
      </c>
      <c r="N40" s="101">
        <v>2.3199999999999998</v>
      </c>
      <c r="O40" s="110"/>
      <c r="Q40" t="s">
        <v>372</v>
      </c>
      <c r="R40" t="s">
        <v>372</v>
      </c>
    </row>
    <row r="41" spans="1:18" ht="24.95" customHeight="1" x14ac:dyDescent="0.2">
      <c r="A41" s="114">
        <v>25</v>
      </c>
      <c r="B41" s="63">
        <v>16</v>
      </c>
      <c r="C41" s="116" t="s">
        <v>442</v>
      </c>
      <c r="D41" s="70">
        <v>2</v>
      </c>
      <c r="E41" s="61">
        <v>3.67</v>
      </c>
      <c r="F41" s="61">
        <v>2</v>
      </c>
      <c r="G41" s="64">
        <v>4.07</v>
      </c>
      <c r="H41" s="101">
        <v>1.89</v>
      </c>
      <c r="I41" s="105">
        <v>2</v>
      </c>
      <c r="J41" s="62">
        <v>4.5599999999999996</v>
      </c>
      <c r="K41" s="62">
        <v>2</v>
      </c>
      <c r="L41" s="64">
        <v>4.96</v>
      </c>
      <c r="M41" s="62">
        <v>9.0299999999999994</v>
      </c>
      <c r="N41" s="101">
        <v>2.4900000000000002</v>
      </c>
      <c r="O41" s="110"/>
      <c r="Q41" t="s">
        <v>372</v>
      </c>
      <c r="R41" t="s">
        <v>372</v>
      </c>
    </row>
    <row r="42" spans="1:18" ht="24.95" customHeight="1" x14ac:dyDescent="0.2">
      <c r="A42" s="114">
        <v>28</v>
      </c>
      <c r="B42" s="63">
        <v>60</v>
      </c>
      <c r="C42" s="116" t="s">
        <v>456</v>
      </c>
      <c r="D42" s="70">
        <v>2</v>
      </c>
      <c r="E42" s="61">
        <v>3.66</v>
      </c>
      <c r="F42" s="61">
        <v>2</v>
      </c>
      <c r="G42" s="64">
        <v>4.0599999999999996</v>
      </c>
      <c r="H42" s="101">
        <v>1.99</v>
      </c>
      <c r="I42" s="105">
        <v>2</v>
      </c>
      <c r="J42" s="62">
        <v>4.22</v>
      </c>
      <c r="K42" s="62">
        <v>2</v>
      </c>
      <c r="L42" s="64">
        <v>4.62</v>
      </c>
      <c r="M42" s="62">
        <v>8.68</v>
      </c>
      <c r="N42" s="101">
        <v>2.2599999999999998</v>
      </c>
      <c r="O42" s="110"/>
      <c r="Q42" t="s">
        <v>372</v>
      </c>
      <c r="R42" t="s">
        <v>372</v>
      </c>
    </row>
    <row r="43" spans="1:18" ht="24.95" customHeight="1" x14ac:dyDescent="0.2">
      <c r="A43" s="114">
        <v>16</v>
      </c>
      <c r="B43" s="63">
        <v>6</v>
      </c>
      <c r="C43" s="115" t="s">
        <v>439</v>
      </c>
      <c r="D43" s="70">
        <v>2</v>
      </c>
      <c r="E43" s="61">
        <v>3.62</v>
      </c>
      <c r="F43" s="61">
        <v>2</v>
      </c>
      <c r="G43" s="64">
        <v>4.0199999999999996</v>
      </c>
      <c r="H43" s="101">
        <v>2.46</v>
      </c>
      <c r="I43" s="105">
        <v>3</v>
      </c>
      <c r="J43" s="62">
        <v>5.56</v>
      </c>
      <c r="K43" s="62">
        <v>3</v>
      </c>
      <c r="L43" s="64">
        <v>6.16</v>
      </c>
      <c r="M43" s="62">
        <v>10.18</v>
      </c>
      <c r="N43" s="101">
        <v>2.2599999999999998</v>
      </c>
      <c r="O43" s="110"/>
      <c r="Q43" t="s">
        <v>372</v>
      </c>
      <c r="R43" t="s">
        <v>372</v>
      </c>
    </row>
    <row r="44" spans="1:18" ht="24.95" customHeight="1" x14ac:dyDescent="0.2">
      <c r="A44" s="114">
        <v>33</v>
      </c>
      <c r="B44" s="63">
        <v>7</v>
      </c>
      <c r="C44" s="116" t="s">
        <v>246</v>
      </c>
      <c r="D44" s="70">
        <v>2</v>
      </c>
      <c r="E44" s="61">
        <v>3.58</v>
      </c>
      <c r="F44" s="61">
        <v>2</v>
      </c>
      <c r="G44" s="64">
        <v>3.98</v>
      </c>
      <c r="H44" s="101">
        <v>1.92</v>
      </c>
      <c r="I44" s="105">
        <v>2</v>
      </c>
      <c r="J44" s="62">
        <v>3.8</v>
      </c>
      <c r="K44" s="62">
        <v>2</v>
      </c>
      <c r="L44" s="64">
        <v>4.2</v>
      </c>
      <c r="M44" s="62">
        <v>8.18</v>
      </c>
      <c r="N44" s="101">
        <v>1.9</v>
      </c>
      <c r="O44" s="110"/>
      <c r="Q44" t="s">
        <v>372</v>
      </c>
      <c r="R44" t="s">
        <v>372</v>
      </c>
    </row>
    <row r="45" spans="1:18" ht="24.95" customHeight="1" x14ac:dyDescent="0.2">
      <c r="A45" s="114">
        <v>32</v>
      </c>
      <c r="B45" s="63">
        <v>19</v>
      </c>
      <c r="C45" s="116" t="s">
        <v>443</v>
      </c>
      <c r="D45" s="70">
        <v>2</v>
      </c>
      <c r="E45" s="61">
        <v>3.5</v>
      </c>
      <c r="F45" s="61">
        <v>2</v>
      </c>
      <c r="G45" s="64">
        <v>3.9</v>
      </c>
      <c r="H45" s="101">
        <v>1.79</v>
      </c>
      <c r="I45" s="105">
        <v>2</v>
      </c>
      <c r="J45" s="62">
        <v>4.3</v>
      </c>
      <c r="K45" s="62">
        <v>2</v>
      </c>
      <c r="L45" s="64">
        <v>4.7</v>
      </c>
      <c r="M45" s="62">
        <v>8.6</v>
      </c>
      <c r="N45" s="101">
        <v>2.37</v>
      </c>
      <c r="O45" s="110"/>
      <c r="Q45" t="s">
        <v>372</v>
      </c>
      <c r="R45" t="s">
        <v>372</v>
      </c>
    </row>
    <row r="46" spans="1:18" ht="24.95" customHeight="1" x14ac:dyDescent="0.2">
      <c r="A46" s="114">
        <v>35</v>
      </c>
      <c r="B46" s="63">
        <v>68</v>
      </c>
      <c r="C46" s="116" t="s">
        <v>462</v>
      </c>
      <c r="D46" s="70">
        <v>2</v>
      </c>
      <c r="E46" s="61">
        <v>3.48</v>
      </c>
      <c r="F46" s="61">
        <v>2</v>
      </c>
      <c r="G46" s="64">
        <v>3.88</v>
      </c>
      <c r="H46" s="101">
        <v>1.89</v>
      </c>
      <c r="I46" s="105">
        <v>2</v>
      </c>
      <c r="J46" s="62">
        <v>3.58</v>
      </c>
      <c r="K46" s="62">
        <v>2</v>
      </c>
      <c r="L46" s="64">
        <v>3.98</v>
      </c>
      <c r="M46" s="62">
        <v>7.86</v>
      </c>
      <c r="N46" s="101">
        <v>1.89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47</v>
      </c>
      <c r="B47" s="63">
        <v>74</v>
      </c>
      <c r="C47" s="116" t="s">
        <v>468</v>
      </c>
      <c r="D47" s="70">
        <v>2</v>
      </c>
      <c r="E47" s="61">
        <v>3.46</v>
      </c>
      <c r="F47" s="61">
        <v>2</v>
      </c>
      <c r="G47" s="64">
        <v>3.86</v>
      </c>
      <c r="H47" s="101">
        <v>1.8</v>
      </c>
      <c r="I47" s="105">
        <v>1</v>
      </c>
      <c r="J47" s="62">
        <v>2.25</v>
      </c>
      <c r="K47" s="62">
        <v>1</v>
      </c>
      <c r="L47" s="64">
        <v>2.4500000000000002</v>
      </c>
      <c r="M47" s="62">
        <v>6.31</v>
      </c>
      <c r="N47" s="101">
        <v>2.25</v>
      </c>
      <c r="O47" s="110"/>
      <c r="Q47" t="s">
        <v>372</v>
      </c>
      <c r="R47" t="s">
        <v>372</v>
      </c>
    </row>
    <row r="48" spans="1:18" ht="24.95" customHeight="1" x14ac:dyDescent="0.2">
      <c r="A48" s="114">
        <v>63</v>
      </c>
      <c r="B48" s="63">
        <v>73</v>
      </c>
      <c r="C48" s="116" t="s">
        <v>467</v>
      </c>
      <c r="D48" s="70">
        <v>1</v>
      </c>
      <c r="E48" s="61">
        <v>2.46</v>
      </c>
      <c r="F48" s="61">
        <v>1</v>
      </c>
      <c r="G48" s="64">
        <v>2.66</v>
      </c>
      <c r="H48" s="101">
        <v>2.46</v>
      </c>
      <c r="I48" s="105">
        <v>0</v>
      </c>
      <c r="J48" s="62">
        <v>0</v>
      </c>
      <c r="K48" s="62">
        <v>0</v>
      </c>
      <c r="L48" s="64">
        <v>0</v>
      </c>
      <c r="M48" s="62">
        <v>2.66</v>
      </c>
      <c r="N48" s="101">
        <v>0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43</v>
      </c>
      <c r="B49" s="63">
        <v>53</v>
      </c>
      <c r="C49" s="116" t="s">
        <v>367</v>
      </c>
      <c r="D49" s="70">
        <v>1</v>
      </c>
      <c r="E49" s="61">
        <v>2.2999999999999998</v>
      </c>
      <c r="F49" s="61">
        <v>1</v>
      </c>
      <c r="G49" s="64">
        <v>2.5</v>
      </c>
      <c r="H49" s="101">
        <v>2.2999999999999998</v>
      </c>
      <c r="I49" s="105">
        <v>2</v>
      </c>
      <c r="J49" s="62">
        <v>3.86</v>
      </c>
      <c r="K49" s="62">
        <v>2</v>
      </c>
      <c r="L49" s="64">
        <v>4.26</v>
      </c>
      <c r="M49" s="62">
        <v>6.76</v>
      </c>
      <c r="N49" s="101">
        <v>1.97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40</v>
      </c>
      <c r="B50" s="63">
        <v>33</v>
      </c>
      <c r="C50" s="116" t="s">
        <v>445</v>
      </c>
      <c r="D50" s="70">
        <v>1</v>
      </c>
      <c r="E50" s="61">
        <v>2.0099999999999998</v>
      </c>
      <c r="F50" s="61">
        <v>1</v>
      </c>
      <c r="G50" s="64">
        <v>2.21</v>
      </c>
      <c r="H50" s="101">
        <v>2.0099999999999998</v>
      </c>
      <c r="I50" s="105">
        <v>2</v>
      </c>
      <c r="J50" s="62">
        <v>4.54</v>
      </c>
      <c r="K50" s="62">
        <v>2</v>
      </c>
      <c r="L50" s="64">
        <v>4.9400000000000004</v>
      </c>
      <c r="M50" s="62">
        <v>7.15</v>
      </c>
      <c r="N50" s="101">
        <v>2.56</v>
      </c>
      <c r="O50" s="110"/>
      <c r="Q50" t="s">
        <v>372</v>
      </c>
      <c r="R50" t="s">
        <v>372</v>
      </c>
    </row>
    <row r="51" spans="1:18" ht="24.95" customHeight="1" x14ac:dyDescent="0.2">
      <c r="A51" s="114">
        <v>46</v>
      </c>
      <c r="B51" s="63">
        <v>41</v>
      </c>
      <c r="C51" s="116" t="s">
        <v>447</v>
      </c>
      <c r="D51" s="70">
        <v>1</v>
      </c>
      <c r="E51" s="61">
        <v>1.95</v>
      </c>
      <c r="F51" s="61">
        <v>1</v>
      </c>
      <c r="G51" s="64">
        <v>2.15</v>
      </c>
      <c r="H51" s="101">
        <v>1.95</v>
      </c>
      <c r="I51" s="105">
        <v>2</v>
      </c>
      <c r="J51" s="62">
        <v>4.01</v>
      </c>
      <c r="K51" s="62">
        <v>2</v>
      </c>
      <c r="L51" s="64">
        <v>4.41</v>
      </c>
      <c r="M51" s="62">
        <v>6.56</v>
      </c>
      <c r="N51" s="101">
        <v>2.14</v>
      </c>
      <c r="O51" s="110"/>
      <c r="Q51" t="s">
        <v>372</v>
      </c>
      <c r="R51" t="s">
        <v>372</v>
      </c>
    </row>
    <row r="52" spans="1:18" ht="24.95" customHeight="1" x14ac:dyDescent="0.2">
      <c r="A52" s="114">
        <v>38</v>
      </c>
      <c r="B52" s="63">
        <v>32</v>
      </c>
      <c r="C52" s="116" t="s">
        <v>245</v>
      </c>
      <c r="D52" s="70">
        <v>1</v>
      </c>
      <c r="E52" s="61">
        <v>1.85</v>
      </c>
      <c r="F52" s="61">
        <v>1</v>
      </c>
      <c r="G52" s="64">
        <v>2.0499999999999998</v>
      </c>
      <c r="H52" s="101">
        <v>1.85</v>
      </c>
      <c r="I52" s="105">
        <v>2</v>
      </c>
      <c r="J52" s="62">
        <v>4.79</v>
      </c>
      <c r="K52" s="62">
        <v>2</v>
      </c>
      <c r="L52" s="64">
        <v>5.19</v>
      </c>
      <c r="M52" s="62">
        <v>7.24</v>
      </c>
      <c r="N52" s="101">
        <v>2.5299999999999998</v>
      </c>
      <c r="O52" s="110"/>
      <c r="Q52" t="s">
        <v>372</v>
      </c>
    </row>
    <row r="53" spans="1:18" ht="24.95" customHeight="1" x14ac:dyDescent="0.2">
      <c r="A53" s="114">
        <v>65</v>
      </c>
      <c r="B53" s="63">
        <v>48</v>
      </c>
      <c r="C53" s="116" t="s">
        <v>450</v>
      </c>
      <c r="D53" s="70">
        <v>1</v>
      </c>
      <c r="E53" s="61">
        <v>1.83</v>
      </c>
      <c r="F53" s="61">
        <v>1</v>
      </c>
      <c r="G53" s="64">
        <v>2.0299999999999998</v>
      </c>
      <c r="H53" s="101">
        <v>1.83</v>
      </c>
      <c r="I53" s="105">
        <v>0</v>
      </c>
      <c r="J53" s="62">
        <v>0</v>
      </c>
      <c r="K53" s="62">
        <v>0</v>
      </c>
      <c r="L53" s="64">
        <v>0</v>
      </c>
      <c r="M53" s="62">
        <v>2.0299999999999998</v>
      </c>
      <c r="N53" s="101">
        <v>0</v>
      </c>
      <c r="O53" s="110"/>
      <c r="Q53" t="s">
        <v>372</v>
      </c>
      <c r="R53" t="s">
        <v>372</v>
      </c>
    </row>
    <row r="54" spans="1:18" ht="24.95" customHeight="1" x14ac:dyDescent="0.2">
      <c r="A54" s="114">
        <v>66</v>
      </c>
      <c r="B54" s="63">
        <v>1</v>
      </c>
      <c r="C54" s="115" t="s">
        <v>470</v>
      </c>
      <c r="D54" s="70">
        <v>1</v>
      </c>
      <c r="E54" s="61">
        <v>1.78</v>
      </c>
      <c r="F54" s="61">
        <v>1</v>
      </c>
      <c r="G54" s="64">
        <v>1.98</v>
      </c>
      <c r="H54" s="101">
        <v>1.78</v>
      </c>
      <c r="I54" s="105">
        <v>0</v>
      </c>
      <c r="J54" s="62">
        <v>0</v>
      </c>
      <c r="K54" s="62">
        <v>0</v>
      </c>
      <c r="L54" s="64">
        <v>0</v>
      </c>
      <c r="M54" s="62">
        <v>1.98</v>
      </c>
      <c r="N54" s="101">
        <v>0</v>
      </c>
      <c r="O54" s="110" t="s">
        <v>473</v>
      </c>
      <c r="Q54" t="s">
        <v>372</v>
      </c>
    </row>
    <row r="55" spans="1:18" ht="24.95" customHeight="1" x14ac:dyDescent="0.2">
      <c r="A55" s="114">
        <v>61</v>
      </c>
      <c r="B55" s="63">
        <v>40</v>
      </c>
      <c r="C55" s="116" t="s">
        <v>370</v>
      </c>
      <c r="D55" s="70">
        <v>1</v>
      </c>
      <c r="E55" s="61">
        <v>1.71</v>
      </c>
      <c r="F55" s="61">
        <v>1</v>
      </c>
      <c r="G55" s="64">
        <v>1.91</v>
      </c>
      <c r="H55" s="101">
        <v>1.71</v>
      </c>
      <c r="I55" s="105">
        <v>1</v>
      </c>
      <c r="J55" s="62">
        <v>1.91</v>
      </c>
      <c r="K55" s="62">
        <v>1</v>
      </c>
      <c r="L55" s="64">
        <v>2.11</v>
      </c>
      <c r="M55" s="62">
        <v>4.0199999999999996</v>
      </c>
      <c r="N55" s="101">
        <v>1.91</v>
      </c>
      <c r="O55" s="110"/>
    </row>
    <row r="56" spans="1:18" ht="24.95" customHeight="1" x14ac:dyDescent="0.2">
      <c r="A56" s="114">
        <v>62</v>
      </c>
      <c r="B56" s="63">
        <v>67</v>
      </c>
      <c r="C56" s="116" t="s">
        <v>410</v>
      </c>
      <c r="D56" s="70">
        <v>1</v>
      </c>
      <c r="E56" s="61">
        <v>1.66</v>
      </c>
      <c r="F56" s="61">
        <v>1</v>
      </c>
      <c r="G56" s="64">
        <v>1.86</v>
      </c>
      <c r="H56" s="101">
        <v>1.66</v>
      </c>
      <c r="I56" s="105">
        <v>1</v>
      </c>
      <c r="J56" s="62">
        <v>1.69</v>
      </c>
      <c r="K56" s="62">
        <v>1</v>
      </c>
      <c r="L56" s="64">
        <v>1.89</v>
      </c>
      <c r="M56" s="62">
        <v>3.75</v>
      </c>
      <c r="N56" s="101">
        <v>1.69</v>
      </c>
      <c r="O56" s="110"/>
      <c r="Q56" t="s">
        <v>372</v>
      </c>
    </row>
    <row r="57" spans="1:18" ht="24.95" customHeight="1" x14ac:dyDescent="0.2">
      <c r="A57" s="114">
        <v>50</v>
      </c>
      <c r="B57" s="63">
        <v>75</v>
      </c>
      <c r="C57" s="116" t="s">
        <v>472</v>
      </c>
      <c r="D57" s="70">
        <v>1</v>
      </c>
      <c r="E57" s="61">
        <v>1.64</v>
      </c>
      <c r="F57" s="61">
        <v>1</v>
      </c>
      <c r="G57" s="64">
        <v>1.84</v>
      </c>
      <c r="H57" s="101">
        <v>1.64</v>
      </c>
      <c r="I57" s="105">
        <v>1</v>
      </c>
      <c r="J57" s="62">
        <v>2.71</v>
      </c>
      <c r="K57" s="62">
        <v>1</v>
      </c>
      <c r="L57" s="64">
        <v>2.91</v>
      </c>
      <c r="M57" s="62">
        <v>4.75</v>
      </c>
      <c r="N57" s="101">
        <v>2.71</v>
      </c>
      <c r="O57" s="110"/>
    </row>
    <row r="58" spans="1:18" ht="24.95" customHeight="1" x14ac:dyDescent="0.2">
      <c r="A58" s="114">
        <v>67</v>
      </c>
      <c r="B58" s="63">
        <v>50</v>
      </c>
      <c r="C58" s="116" t="s">
        <v>308</v>
      </c>
      <c r="D58" s="70">
        <v>1</v>
      </c>
      <c r="E58" s="61">
        <v>1.64</v>
      </c>
      <c r="F58" s="61">
        <v>1</v>
      </c>
      <c r="G58" s="64">
        <v>1.84</v>
      </c>
      <c r="H58" s="101">
        <v>1.64</v>
      </c>
      <c r="I58" s="105">
        <v>0</v>
      </c>
      <c r="J58" s="62">
        <v>0</v>
      </c>
      <c r="K58" s="62">
        <v>0</v>
      </c>
      <c r="L58" s="64">
        <v>0</v>
      </c>
      <c r="M58" s="62">
        <v>1.84</v>
      </c>
      <c r="N58" s="101">
        <v>0</v>
      </c>
      <c r="O58" s="110"/>
      <c r="Q58" t="s">
        <v>372</v>
      </c>
      <c r="R58" t="s">
        <v>372</v>
      </c>
    </row>
    <row r="59" spans="1:18" ht="24.95" customHeight="1" x14ac:dyDescent="0.2">
      <c r="A59" s="114">
        <v>48</v>
      </c>
      <c r="B59" s="63">
        <v>27</v>
      </c>
      <c r="C59" s="116" t="s">
        <v>384</v>
      </c>
      <c r="D59" s="70">
        <v>1</v>
      </c>
      <c r="E59" s="61">
        <v>0.56000000000000005</v>
      </c>
      <c r="F59" s="61">
        <v>1</v>
      </c>
      <c r="G59" s="64">
        <v>0.76</v>
      </c>
      <c r="H59" s="101">
        <v>0.56000000000000005</v>
      </c>
      <c r="I59" s="105">
        <v>2</v>
      </c>
      <c r="J59" s="62">
        <v>4.41</v>
      </c>
      <c r="K59" s="62">
        <v>2</v>
      </c>
      <c r="L59" s="64">
        <v>4.8099999999999996</v>
      </c>
      <c r="M59" s="62">
        <v>5.57</v>
      </c>
      <c r="N59" s="101">
        <v>2.4300000000000002</v>
      </c>
      <c r="O59" s="110"/>
      <c r="Q59" t="s">
        <v>372</v>
      </c>
      <c r="R59" t="s">
        <v>372</v>
      </c>
    </row>
    <row r="60" spans="1:18" ht="24.95" customHeight="1" x14ac:dyDescent="0.2">
      <c r="A60" s="114">
        <v>37</v>
      </c>
      <c r="B60" s="63">
        <v>69</v>
      </c>
      <c r="C60" s="116" t="s">
        <v>463</v>
      </c>
      <c r="D60" s="70">
        <v>0</v>
      </c>
      <c r="E60" s="61">
        <v>0</v>
      </c>
      <c r="F60" s="61">
        <v>0</v>
      </c>
      <c r="G60" s="64">
        <v>0</v>
      </c>
      <c r="H60" s="101">
        <v>0</v>
      </c>
      <c r="I60" s="105">
        <v>4</v>
      </c>
      <c r="J60" s="62">
        <v>6.49</v>
      </c>
      <c r="K60" s="62">
        <v>4</v>
      </c>
      <c r="L60" s="64">
        <v>7.29</v>
      </c>
      <c r="M60" s="62">
        <v>7.29</v>
      </c>
      <c r="N60" s="101">
        <v>2.2999999999999998</v>
      </c>
      <c r="O60" s="110"/>
      <c r="Q60" t="s">
        <v>372</v>
      </c>
    </row>
    <row r="61" spans="1:18" ht="24.95" customHeight="1" x14ac:dyDescent="0.2">
      <c r="A61" s="114">
        <v>42</v>
      </c>
      <c r="B61" s="63">
        <v>35</v>
      </c>
      <c r="C61" s="116" t="s">
        <v>263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4</v>
      </c>
      <c r="J61" s="62">
        <v>6.15</v>
      </c>
      <c r="K61" s="62">
        <v>4</v>
      </c>
      <c r="L61" s="64">
        <v>6.95</v>
      </c>
      <c r="M61" s="62">
        <v>6.95</v>
      </c>
      <c r="N61" s="101">
        <v>2.39</v>
      </c>
      <c r="O61" s="110"/>
      <c r="Q61" t="s">
        <v>372</v>
      </c>
      <c r="R61" t="s">
        <v>372</v>
      </c>
    </row>
    <row r="62" spans="1:18" ht="24.95" customHeight="1" x14ac:dyDescent="0.2">
      <c r="A62" s="114">
        <v>49</v>
      </c>
      <c r="B62" s="63">
        <v>13</v>
      </c>
      <c r="C62" s="116" t="s">
        <v>441</v>
      </c>
      <c r="D62" s="70">
        <v>0</v>
      </c>
      <c r="E62" s="61">
        <v>0</v>
      </c>
      <c r="F62" s="61">
        <v>0</v>
      </c>
      <c r="G62" s="64">
        <v>0</v>
      </c>
      <c r="H62" s="101">
        <v>0</v>
      </c>
      <c r="I62" s="105">
        <v>2</v>
      </c>
      <c r="J62" s="62">
        <v>5.0599999999999996</v>
      </c>
      <c r="K62" s="62">
        <v>2</v>
      </c>
      <c r="L62" s="64">
        <v>5.46</v>
      </c>
      <c r="M62" s="62">
        <v>5.46</v>
      </c>
      <c r="N62" s="101">
        <v>2.67</v>
      </c>
      <c r="O62" s="110"/>
      <c r="Q62" t="s">
        <v>372</v>
      </c>
    </row>
    <row r="63" spans="1:18" ht="24.95" customHeight="1" x14ac:dyDescent="0.2">
      <c r="A63" s="114">
        <v>51</v>
      </c>
      <c r="B63" s="63">
        <v>29</v>
      </c>
      <c r="C63" s="116" t="s">
        <v>234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2</v>
      </c>
      <c r="J63" s="62">
        <v>4.17</v>
      </c>
      <c r="K63" s="62">
        <v>2</v>
      </c>
      <c r="L63" s="64">
        <v>4.57</v>
      </c>
      <c r="M63" s="62">
        <v>4.57</v>
      </c>
      <c r="N63" s="101">
        <v>2.09</v>
      </c>
      <c r="O63" s="110"/>
      <c r="Q63" t="s">
        <v>372</v>
      </c>
      <c r="R63" t="s">
        <v>372</v>
      </c>
    </row>
    <row r="64" spans="1:18" ht="24.95" customHeight="1" x14ac:dyDescent="0.2">
      <c r="A64" s="114">
        <v>55</v>
      </c>
      <c r="B64" s="63">
        <v>61</v>
      </c>
      <c r="C64" s="116" t="s">
        <v>457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3.83</v>
      </c>
      <c r="K64" s="62">
        <v>2</v>
      </c>
      <c r="L64" s="64">
        <v>4.2300000000000004</v>
      </c>
      <c r="M64" s="62">
        <v>4.2300000000000004</v>
      </c>
      <c r="N64" s="101">
        <v>1.98</v>
      </c>
      <c r="O64" s="110"/>
    </row>
    <row r="65" spans="1:18" ht="24.95" customHeight="1" x14ac:dyDescent="0.2">
      <c r="A65" s="114">
        <v>56</v>
      </c>
      <c r="B65" s="63">
        <v>43</v>
      </c>
      <c r="C65" s="116" t="s">
        <v>388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3.8</v>
      </c>
      <c r="K65" s="62">
        <v>2</v>
      </c>
      <c r="L65" s="64">
        <v>4.2</v>
      </c>
      <c r="M65" s="62">
        <v>4.2</v>
      </c>
      <c r="N65" s="101">
        <v>1.95</v>
      </c>
      <c r="O65" s="110"/>
      <c r="Q65" t="s">
        <v>372</v>
      </c>
      <c r="R65" t="s">
        <v>372</v>
      </c>
    </row>
    <row r="66" spans="1:18" ht="24.95" customHeight="1" x14ac:dyDescent="0.2">
      <c r="A66" s="114">
        <v>59</v>
      </c>
      <c r="B66" s="63">
        <v>20</v>
      </c>
      <c r="C66" s="116" t="s">
        <v>330</v>
      </c>
      <c r="D66" s="70">
        <v>0</v>
      </c>
      <c r="E66" s="61">
        <v>0</v>
      </c>
      <c r="F66" s="61">
        <v>0</v>
      </c>
      <c r="G66" s="64">
        <v>0</v>
      </c>
      <c r="H66" s="101">
        <v>0</v>
      </c>
      <c r="I66" s="105">
        <v>2</v>
      </c>
      <c r="J66" s="62">
        <v>3.67</v>
      </c>
      <c r="K66" s="62">
        <v>2</v>
      </c>
      <c r="L66" s="64">
        <v>4.07</v>
      </c>
      <c r="M66" s="62">
        <v>4.07</v>
      </c>
      <c r="N66" s="101">
        <v>2.67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60</v>
      </c>
      <c r="B67" s="63">
        <v>56</v>
      </c>
      <c r="C67" s="116" t="s">
        <v>453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2</v>
      </c>
      <c r="J67" s="62">
        <v>3.65</v>
      </c>
      <c r="K67" s="62">
        <v>2</v>
      </c>
      <c r="L67" s="64">
        <v>4.05</v>
      </c>
      <c r="M67" s="62">
        <v>4.05</v>
      </c>
      <c r="N67" s="101">
        <v>1.93</v>
      </c>
      <c r="O67" s="110"/>
      <c r="Q67" t="s">
        <v>372</v>
      </c>
    </row>
    <row r="68" spans="1:18" ht="24.95" customHeight="1" x14ac:dyDescent="0.2">
      <c r="A68" s="114">
        <v>64</v>
      </c>
      <c r="B68" s="63">
        <v>57</v>
      </c>
      <c r="C68" s="116" t="s">
        <v>454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2.25</v>
      </c>
      <c r="K68" s="62">
        <v>1</v>
      </c>
      <c r="L68" s="64">
        <v>2.4500000000000002</v>
      </c>
      <c r="M68" s="62">
        <v>2.4500000000000002</v>
      </c>
      <c r="N68" s="101">
        <v>2.25</v>
      </c>
      <c r="O68" s="110"/>
      <c r="Q68" t="s">
        <v>372</v>
      </c>
      <c r="R68" t="s">
        <v>372</v>
      </c>
    </row>
    <row r="69" spans="1:18" ht="24.95" customHeight="1" x14ac:dyDescent="0.2">
      <c r="A69" s="114">
        <v>68</v>
      </c>
      <c r="B69" s="63">
        <v>71</v>
      </c>
      <c r="C69" s="116" t="s">
        <v>465</v>
      </c>
      <c r="D69" s="70">
        <v>0</v>
      </c>
      <c r="E69" s="61">
        <v>0</v>
      </c>
      <c r="F69" s="61">
        <v>0</v>
      </c>
      <c r="G69" s="64">
        <v>0</v>
      </c>
      <c r="H69" s="101">
        <v>0</v>
      </c>
      <c r="I69" s="105">
        <v>0</v>
      </c>
      <c r="J69" s="62">
        <v>0</v>
      </c>
      <c r="K69" s="62">
        <v>0</v>
      </c>
      <c r="L69" s="64">
        <v>0</v>
      </c>
      <c r="M69" s="62">
        <v>0</v>
      </c>
      <c r="N69" s="101">
        <v>0</v>
      </c>
      <c r="O69" s="110"/>
      <c r="Q69" t="s">
        <v>372</v>
      </c>
    </row>
    <row r="70" spans="1:18" ht="24.95" customHeight="1" x14ac:dyDescent="0.2">
      <c r="A70" s="114">
        <v>68</v>
      </c>
      <c r="B70" s="63">
        <v>65</v>
      </c>
      <c r="C70" s="116" t="s">
        <v>469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0</v>
      </c>
      <c r="J70" s="62">
        <v>0</v>
      </c>
      <c r="K70" s="62">
        <v>0</v>
      </c>
      <c r="L70" s="64">
        <v>0</v>
      </c>
      <c r="M70" s="62">
        <v>0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68</v>
      </c>
      <c r="B71" s="63">
        <v>64</v>
      </c>
      <c r="C71" s="116" t="s">
        <v>460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  <c r="Q71" t="s">
        <v>372</v>
      </c>
    </row>
    <row r="72" spans="1:18" ht="24.95" customHeight="1" x14ac:dyDescent="0.2">
      <c r="A72" s="114">
        <v>68</v>
      </c>
      <c r="B72" s="63">
        <v>58</v>
      </c>
      <c r="C72" s="116" t="s">
        <v>455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68</v>
      </c>
      <c r="B73" s="63">
        <v>54</v>
      </c>
      <c r="C73" s="116" t="s">
        <v>452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68</v>
      </c>
      <c r="B74" s="63">
        <v>47</v>
      </c>
      <c r="C74" s="116" t="s">
        <v>449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  <c r="Q74" t="s">
        <v>372</v>
      </c>
    </row>
    <row r="75" spans="1:18" ht="24.95" customHeight="1" x14ac:dyDescent="0.2">
      <c r="A75" s="114">
        <v>68</v>
      </c>
      <c r="B75" s="63">
        <v>37</v>
      </c>
      <c r="C75" s="116" t="s">
        <v>446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  <c r="Q75" t="s">
        <v>372</v>
      </c>
    </row>
    <row r="76" spans="1:18" ht="24.95" customHeight="1" x14ac:dyDescent="0.2">
      <c r="A76" s="114">
        <v>68</v>
      </c>
      <c r="B76" s="63">
        <v>11</v>
      </c>
      <c r="C76" s="116" t="s">
        <v>392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/>
      <c r="B77" s="119"/>
      <c r="C77" s="145"/>
      <c r="D77" s="71"/>
      <c r="E77" s="69"/>
      <c r="F77" s="69"/>
      <c r="G77" s="102"/>
      <c r="H77" s="103"/>
      <c r="I77" s="106"/>
      <c r="J77" s="107"/>
      <c r="K77" s="107"/>
      <c r="L77" s="102"/>
      <c r="M77" s="92"/>
      <c r="N77" s="103"/>
      <c r="O77" s="111"/>
    </row>
    <row r="78" spans="1:18" ht="24.95" customHeight="1" x14ac:dyDescent="0.2">
      <c r="A78" s="49"/>
      <c r="B78" s="50"/>
      <c r="C78" s="53"/>
      <c r="D78" s="49"/>
      <c r="E78" s="49"/>
      <c r="F78" s="49"/>
      <c r="G78" s="57"/>
      <c r="H78" s="58"/>
      <c r="I78" s="53"/>
      <c r="J78" s="53"/>
      <c r="K78" s="53"/>
      <c r="L78" s="57"/>
      <c r="M78" s="92"/>
      <c r="N78" s="58"/>
      <c r="O78" s="31"/>
    </row>
    <row r="79" spans="1:18" ht="24.95" customHeight="1" x14ac:dyDescent="0.2">
      <c r="A79" s="61"/>
      <c r="B79" s="63"/>
      <c r="C79" s="62"/>
      <c r="D79" s="61"/>
      <c r="E79" s="61"/>
      <c r="F79" s="61"/>
      <c r="G79" s="64"/>
      <c r="H79" s="65"/>
      <c r="I79" s="62"/>
      <c r="J79" s="62"/>
      <c r="K79" s="62"/>
      <c r="L79" s="64"/>
      <c r="M79" s="92"/>
      <c r="N79" s="65"/>
      <c r="O79" s="27"/>
    </row>
    <row r="80" spans="1:18" ht="24.95" customHeight="1" x14ac:dyDescent="0.2">
      <c r="A80" s="61"/>
      <c r="B80" s="63"/>
      <c r="C80" s="62"/>
      <c r="D80" s="61"/>
      <c r="E80" s="61"/>
      <c r="F80" s="61"/>
      <c r="G80" s="64"/>
      <c r="H80" s="65"/>
      <c r="I80" s="62"/>
      <c r="J80" s="62"/>
      <c r="K80" s="62"/>
      <c r="L80" s="64"/>
      <c r="M80" s="92"/>
      <c r="N80" s="65"/>
      <c r="O80" s="27"/>
    </row>
    <row r="81" spans="1:15" ht="24.95" customHeight="1" x14ac:dyDescent="0.2">
      <c r="A81" s="61"/>
      <c r="B81" s="63"/>
      <c r="C81" s="62"/>
      <c r="D81" s="61"/>
      <c r="E81" s="61"/>
      <c r="F81" s="61"/>
      <c r="G81" s="64"/>
      <c r="H81" s="65"/>
      <c r="I81" s="62"/>
      <c r="J81" s="62"/>
      <c r="K81" s="62"/>
      <c r="L81" s="64"/>
      <c r="M81" s="9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9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9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9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9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9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9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9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9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9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9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9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9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9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9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9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9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6">
    <sortCondition descending="1" ref="G1:G76"/>
  </sortState>
  <pageMargins left="0.7" right="0.7" top="0.75" bottom="0.75" header="0.3" footer="0.3"/>
  <pageSetup scale="6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B0C1-F28A-4D86-996E-4B058C4223B8}">
  <sheetPr codeName="Sheet17">
    <tabColor rgb="FFFF0000"/>
  </sheetPr>
  <dimension ref="A1:S651"/>
  <sheetViews>
    <sheetView zoomScaleNormal="100" workbookViewId="0">
      <selection activeCell="I11" sqref="I11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13</v>
      </c>
      <c r="B2" s="50">
        <v>1</v>
      </c>
      <c r="C2" s="133" t="s">
        <v>344</v>
      </c>
      <c r="D2" s="92">
        <v>3</v>
      </c>
      <c r="E2" s="49">
        <v>4.8899999999999997</v>
      </c>
      <c r="F2" s="49">
        <v>3</v>
      </c>
      <c r="G2" s="57">
        <v>5.49</v>
      </c>
      <c r="H2" s="100">
        <v>2.71</v>
      </c>
      <c r="I2" s="104">
        <v>3</v>
      </c>
      <c r="J2" s="53">
        <v>4.88</v>
      </c>
      <c r="K2" s="53">
        <v>3</v>
      </c>
      <c r="L2" s="57">
        <v>5.48</v>
      </c>
      <c r="M2" s="53">
        <v>10.97</v>
      </c>
      <c r="N2" s="100">
        <v>2.38</v>
      </c>
      <c r="O2" s="109"/>
      <c r="Q2" t="s">
        <v>372</v>
      </c>
    </row>
    <row r="3" spans="1:19" ht="24.95" customHeight="1" x14ac:dyDescent="0.2">
      <c r="A3" s="70">
        <v>75</v>
      </c>
      <c r="B3" s="63">
        <v>1</v>
      </c>
      <c r="C3" s="116" t="s">
        <v>436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0</v>
      </c>
      <c r="J3" s="62">
        <v>0</v>
      </c>
      <c r="K3" s="62">
        <v>0</v>
      </c>
      <c r="L3" s="64">
        <v>0</v>
      </c>
      <c r="M3" s="62">
        <v>0</v>
      </c>
      <c r="N3" s="101">
        <v>0</v>
      </c>
      <c r="O3" s="110"/>
    </row>
    <row r="4" spans="1:19" ht="24.95" customHeight="1" x14ac:dyDescent="0.2">
      <c r="A4" s="70">
        <v>83</v>
      </c>
      <c r="B4" s="63">
        <v>1</v>
      </c>
      <c r="C4" s="116" t="s">
        <v>437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Q4" t="s">
        <v>372</v>
      </c>
    </row>
    <row r="5" spans="1:19" ht="24.95" customHeight="1" x14ac:dyDescent="0.2">
      <c r="A5" s="114">
        <v>16</v>
      </c>
      <c r="B5" s="63">
        <v>2</v>
      </c>
      <c r="C5" s="116" t="s">
        <v>379</v>
      </c>
      <c r="D5" s="70">
        <v>2</v>
      </c>
      <c r="E5" s="61">
        <v>4.1399999999999997</v>
      </c>
      <c r="F5" s="61">
        <v>2</v>
      </c>
      <c r="G5" s="64">
        <v>4.54</v>
      </c>
      <c r="H5" s="101">
        <v>2.09</v>
      </c>
      <c r="I5" s="105">
        <v>3</v>
      </c>
      <c r="J5" s="62">
        <v>5.19</v>
      </c>
      <c r="K5" s="62">
        <v>3</v>
      </c>
      <c r="L5" s="64">
        <v>5.79</v>
      </c>
      <c r="M5" s="62">
        <v>10.33</v>
      </c>
      <c r="N5" s="101">
        <v>2.25</v>
      </c>
      <c r="O5" s="110"/>
    </row>
    <row r="6" spans="1:19" ht="24.95" customHeight="1" x14ac:dyDescent="0.2">
      <c r="A6" s="70">
        <v>76</v>
      </c>
      <c r="B6" s="63">
        <v>2</v>
      </c>
      <c r="C6" s="116" t="s">
        <v>397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Q6" t="s">
        <v>372</v>
      </c>
    </row>
    <row r="7" spans="1:19" ht="24.95" customHeight="1" x14ac:dyDescent="0.2">
      <c r="A7" s="114">
        <v>58</v>
      </c>
      <c r="B7" s="63">
        <v>3</v>
      </c>
      <c r="C7" s="116" t="s">
        <v>380</v>
      </c>
      <c r="D7" s="70">
        <v>0</v>
      </c>
      <c r="E7" s="61">
        <v>0</v>
      </c>
      <c r="F7" s="61">
        <v>0</v>
      </c>
      <c r="G7" s="64">
        <v>0</v>
      </c>
      <c r="H7" s="101">
        <v>0</v>
      </c>
      <c r="I7" s="105">
        <v>3</v>
      </c>
      <c r="J7" s="62">
        <v>4.49</v>
      </c>
      <c r="K7" s="62">
        <v>3</v>
      </c>
      <c r="L7" s="64">
        <v>5.09</v>
      </c>
      <c r="M7" s="62">
        <v>5.09</v>
      </c>
      <c r="N7" s="101">
        <v>2</v>
      </c>
      <c r="O7" s="110"/>
    </row>
    <row r="8" spans="1:19" ht="24.95" customHeight="1" x14ac:dyDescent="0.2">
      <c r="A8" s="114">
        <v>15</v>
      </c>
      <c r="B8" s="63">
        <v>4</v>
      </c>
      <c r="C8" s="115" t="s">
        <v>365</v>
      </c>
      <c r="D8" s="70">
        <v>2</v>
      </c>
      <c r="E8" s="61">
        <v>5.2</v>
      </c>
      <c r="F8" s="61">
        <v>2</v>
      </c>
      <c r="G8" s="64">
        <v>5.6</v>
      </c>
      <c r="H8" s="101">
        <v>2.63</v>
      </c>
      <c r="I8" s="105">
        <v>2</v>
      </c>
      <c r="J8" s="62">
        <v>4.66</v>
      </c>
      <c r="K8" s="62">
        <v>2</v>
      </c>
      <c r="L8" s="64">
        <v>5.0599999999999996</v>
      </c>
      <c r="M8" s="62">
        <v>10.66</v>
      </c>
      <c r="N8" s="101">
        <v>2.42</v>
      </c>
      <c r="O8" s="110"/>
    </row>
    <row r="9" spans="1:19" ht="24.95" customHeight="1" x14ac:dyDescent="0.2">
      <c r="A9" s="114">
        <v>10</v>
      </c>
      <c r="B9" s="63">
        <v>5</v>
      </c>
      <c r="C9" s="116" t="s">
        <v>197</v>
      </c>
      <c r="D9" s="70">
        <v>2</v>
      </c>
      <c r="E9" s="61">
        <v>3.41</v>
      </c>
      <c r="F9" s="61">
        <v>2</v>
      </c>
      <c r="G9" s="64">
        <v>3.81</v>
      </c>
      <c r="H9" s="101">
        <v>1.78</v>
      </c>
      <c r="I9" s="105">
        <v>5</v>
      </c>
      <c r="J9" s="62">
        <v>6.7</v>
      </c>
      <c r="K9" s="62">
        <v>5</v>
      </c>
      <c r="L9" s="64">
        <v>7.7</v>
      </c>
      <c r="M9" s="62">
        <v>11.51</v>
      </c>
      <c r="N9" s="101">
        <v>2.02</v>
      </c>
      <c r="O9" s="110"/>
    </row>
    <row r="10" spans="1:19" ht="24.95" customHeight="1" x14ac:dyDescent="0.2">
      <c r="A10" s="114">
        <v>26</v>
      </c>
      <c r="B10" s="63">
        <v>6</v>
      </c>
      <c r="C10" s="115" t="s">
        <v>330</v>
      </c>
      <c r="D10" s="70">
        <v>2</v>
      </c>
      <c r="E10" s="61">
        <v>4.12</v>
      </c>
      <c r="F10" s="61">
        <v>2</v>
      </c>
      <c r="G10" s="64">
        <v>4.5199999999999996</v>
      </c>
      <c r="H10" s="101">
        <v>2.92</v>
      </c>
      <c r="I10" s="105">
        <v>2</v>
      </c>
      <c r="J10" s="62">
        <v>4.41</v>
      </c>
      <c r="K10" s="62">
        <v>2</v>
      </c>
      <c r="L10" s="64">
        <v>4.8099999999999996</v>
      </c>
      <c r="M10" s="62">
        <v>9.33</v>
      </c>
      <c r="N10" s="101">
        <v>2.37</v>
      </c>
      <c r="O10" s="110"/>
      <c r="Q10" t="s">
        <v>372</v>
      </c>
    </row>
    <row r="11" spans="1:19" ht="24.95" customHeight="1" x14ac:dyDescent="0.2">
      <c r="A11" s="114">
        <v>4</v>
      </c>
      <c r="B11" s="63">
        <v>7</v>
      </c>
      <c r="C11" s="116" t="s">
        <v>201</v>
      </c>
      <c r="D11" s="70">
        <v>5</v>
      </c>
      <c r="E11" s="61">
        <v>6.49</v>
      </c>
      <c r="F11" s="61">
        <v>5</v>
      </c>
      <c r="G11" s="64">
        <v>7.49</v>
      </c>
      <c r="H11" s="101">
        <v>2.04</v>
      </c>
      <c r="I11" s="105">
        <v>3</v>
      </c>
      <c r="J11" s="62">
        <v>4.68</v>
      </c>
      <c r="K11" s="62">
        <v>3</v>
      </c>
      <c r="L11" s="64">
        <v>5.28</v>
      </c>
      <c r="M11" s="62">
        <v>12.77</v>
      </c>
      <c r="N11" s="101">
        <v>2.02</v>
      </c>
      <c r="O11" s="110"/>
    </row>
    <row r="12" spans="1:19" ht="24.95" customHeight="1" x14ac:dyDescent="0.2">
      <c r="A12" s="114">
        <v>11</v>
      </c>
      <c r="B12" s="63">
        <v>8</v>
      </c>
      <c r="C12" s="115" t="s">
        <v>238</v>
      </c>
      <c r="D12" s="70">
        <v>4</v>
      </c>
      <c r="E12" s="61">
        <v>6.26</v>
      </c>
      <c r="F12" s="61">
        <v>4</v>
      </c>
      <c r="G12" s="64">
        <v>7.06</v>
      </c>
      <c r="H12" s="101">
        <v>2.36</v>
      </c>
      <c r="I12" s="105">
        <v>2</v>
      </c>
      <c r="J12" s="62">
        <v>3.87</v>
      </c>
      <c r="K12" s="62">
        <v>2</v>
      </c>
      <c r="L12" s="64">
        <v>4.2699999999999996</v>
      </c>
      <c r="M12" s="62">
        <v>11.33</v>
      </c>
      <c r="N12" s="101">
        <v>2.0099999999999998</v>
      </c>
      <c r="O12" s="110"/>
      <c r="Q12" t="s">
        <v>372</v>
      </c>
    </row>
    <row r="13" spans="1:19" ht="24.95" customHeight="1" x14ac:dyDescent="0.2">
      <c r="A13" s="114">
        <v>74</v>
      </c>
      <c r="B13" s="63">
        <v>9</v>
      </c>
      <c r="C13" s="115" t="s">
        <v>381</v>
      </c>
      <c r="D13" s="70">
        <v>1</v>
      </c>
      <c r="E13" s="61">
        <v>0.96</v>
      </c>
      <c r="F13" s="61">
        <v>1</v>
      </c>
      <c r="G13" s="64">
        <v>1.1599999999999999</v>
      </c>
      <c r="H13" s="101">
        <v>0.96</v>
      </c>
      <c r="I13" s="105">
        <v>0</v>
      </c>
      <c r="J13" s="62">
        <v>0</v>
      </c>
      <c r="K13" s="62">
        <v>0</v>
      </c>
      <c r="L13" s="64">
        <v>0</v>
      </c>
      <c r="M13" s="62">
        <v>1.1599999999999999</v>
      </c>
      <c r="N13" s="101">
        <v>0</v>
      </c>
      <c r="O13" s="110"/>
    </row>
    <row r="14" spans="1:19" ht="24.95" customHeight="1" x14ac:dyDescent="0.2">
      <c r="A14" s="114">
        <v>53</v>
      </c>
      <c r="B14" s="63">
        <v>10</v>
      </c>
      <c r="C14" s="116" t="s">
        <v>382</v>
      </c>
      <c r="D14" s="70">
        <v>2</v>
      </c>
      <c r="E14" s="61">
        <v>3.57</v>
      </c>
      <c r="F14" s="61">
        <v>2</v>
      </c>
      <c r="G14" s="64">
        <v>3.97</v>
      </c>
      <c r="H14" s="101">
        <v>1.83</v>
      </c>
      <c r="I14" s="105">
        <v>2</v>
      </c>
      <c r="J14" s="62">
        <v>1.46</v>
      </c>
      <c r="K14" s="62">
        <v>2</v>
      </c>
      <c r="L14" s="64">
        <v>1.86</v>
      </c>
      <c r="M14" s="62">
        <v>5.83</v>
      </c>
      <c r="N14" s="101">
        <v>0.74</v>
      </c>
      <c r="O14" s="110"/>
    </row>
    <row r="15" spans="1:19" ht="24.95" customHeight="1" x14ac:dyDescent="0.2">
      <c r="A15" s="114">
        <v>25</v>
      </c>
      <c r="B15" s="63">
        <v>11</v>
      </c>
      <c r="C15" s="116" t="s">
        <v>298</v>
      </c>
      <c r="D15" s="70">
        <v>2</v>
      </c>
      <c r="E15" s="61">
        <v>1.9</v>
      </c>
      <c r="F15" s="61">
        <v>2</v>
      </c>
      <c r="G15" s="64">
        <v>2.2999999999999998</v>
      </c>
      <c r="H15" s="101">
        <v>0.99</v>
      </c>
      <c r="I15" s="105">
        <v>5</v>
      </c>
      <c r="J15" s="62">
        <v>6.1</v>
      </c>
      <c r="K15" s="62">
        <v>5</v>
      </c>
      <c r="L15" s="64">
        <v>7.1</v>
      </c>
      <c r="M15" s="62">
        <v>9.4</v>
      </c>
      <c r="N15" s="101">
        <v>1.76</v>
      </c>
      <c r="O15" s="110"/>
    </row>
    <row r="16" spans="1:19" ht="24.95" customHeight="1" x14ac:dyDescent="0.2">
      <c r="A16" s="114">
        <v>5</v>
      </c>
      <c r="B16" s="63">
        <v>12</v>
      </c>
      <c r="C16" s="116" t="s">
        <v>341</v>
      </c>
      <c r="D16" s="70">
        <v>5</v>
      </c>
      <c r="E16" s="61">
        <v>7.12</v>
      </c>
      <c r="F16" s="61">
        <v>5</v>
      </c>
      <c r="G16" s="64">
        <v>8.1199999999999992</v>
      </c>
      <c r="H16" s="101">
        <v>2.4300000000000002</v>
      </c>
      <c r="I16" s="105">
        <v>2</v>
      </c>
      <c r="J16" s="62">
        <v>3.95</v>
      </c>
      <c r="K16" s="62">
        <v>2</v>
      </c>
      <c r="L16" s="64">
        <v>4.3499999999999996</v>
      </c>
      <c r="M16" s="62">
        <v>12.47</v>
      </c>
      <c r="N16" s="101">
        <v>2.04</v>
      </c>
      <c r="O16" s="110"/>
    </row>
    <row r="17" spans="1:18" ht="24.95" customHeight="1" x14ac:dyDescent="0.2">
      <c r="A17" s="114">
        <v>77</v>
      </c>
      <c r="B17" s="63">
        <v>13</v>
      </c>
      <c r="C17" s="116" t="s">
        <v>383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0</v>
      </c>
      <c r="J17" s="62">
        <v>0</v>
      </c>
      <c r="K17" s="62">
        <v>0</v>
      </c>
      <c r="L17" s="64">
        <v>0</v>
      </c>
      <c r="M17" s="62">
        <v>0</v>
      </c>
      <c r="N17" s="101">
        <v>0</v>
      </c>
      <c r="O17" s="110"/>
    </row>
    <row r="18" spans="1:18" ht="24.95" customHeight="1" x14ac:dyDescent="0.2">
      <c r="A18" s="114">
        <v>37</v>
      </c>
      <c r="B18" s="63">
        <v>14</v>
      </c>
      <c r="C18" s="116" t="s">
        <v>326</v>
      </c>
      <c r="D18" s="70">
        <v>2</v>
      </c>
      <c r="E18" s="61">
        <v>3.88</v>
      </c>
      <c r="F18" s="61">
        <v>2</v>
      </c>
      <c r="G18" s="64">
        <v>4.28</v>
      </c>
      <c r="H18" s="101">
        <v>2.02</v>
      </c>
      <c r="I18" s="105">
        <v>2</v>
      </c>
      <c r="J18" s="62">
        <v>3.6</v>
      </c>
      <c r="K18" s="62">
        <v>2</v>
      </c>
      <c r="L18" s="64">
        <v>4</v>
      </c>
      <c r="M18" s="62">
        <v>8.2799999999999994</v>
      </c>
      <c r="N18" s="101">
        <v>1.87</v>
      </c>
      <c r="O18" s="110"/>
      <c r="Q18" t="s">
        <v>372</v>
      </c>
    </row>
    <row r="19" spans="1:18" ht="24.95" customHeight="1" x14ac:dyDescent="0.2">
      <c r="A19" s="114">
        <v>2</v>
      </c>
      <c r="B19" s="63">
        <v>15</v>
      </c>
      <c r="C19" s="116" t="s">
        <v>212</v>
      </c>
      <c r="D19" s="70">
        <v>2</v>
      </c>
      <c r="E19" s="61">
        <v>4.32</v>
      </c>
      <c r="F19" s="61">
        <v>2</v>
      </c>
      <c r="G19" s="64">
        <v>4.72</v>
      </c>
      <c r="H19" s="101">
        <v>2.35</v>
      </c>
      <c r="I19" s="105">
        <v>7</v>
      </c>
      <c r="J19" s="62">
        <v>8.18</v>
      </c>
      <c r="K19" s="62">
        <v>7</v>
      </c>
      <c r="L19" s="64">
        <v>9.58</v>
      </c>
      <c r="M19" s="62">
        <v>14.3</v>
      </c>
      <c r="N19" s="101">
        <v>2.14</v>
      </c>
      <c r="O19" s="110"/>
    </row>
    <row r="20" spans="1:18" ht="24.95" customHeight="1" x14ac:dyDescent="0.2">
      <c r="A20" s="114">
        <v>78</v>
      </c>
      <c r="B20" s="63">
        <v>16</v>
      </c>
      <c r="C20" s="116" t="s">
        <v>346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0</v>
      </c>
      <c r="J20" s="62">
        <v>0</v>
      </c>
      <c r="K20" s="62">
        <v>0</v>
      </c>
      <c r="L20" s="64">
        <v>0</v>
      </c>
      <c r="M20" s="62">
        <v>0</v>
      </c>
      <c r="N20" s="101">
        <v>0</v>
      </c>
      <c r="O20" s="110"/>
      <c r="Q20" t="s">
        <v>372</v>
      </c>
    </row>
    <row r="21" spans="1:18" ht="24.95" customHeight="1" x14ac:dyDescent="0.2">
      <c r="A21" s="114">
        <v>36</v>
      </c>
      <c r="B21" s="63">
        <v>17</v>
      </c>
      <c r="C21" s="116" t="s">
        <v>384</v>
      </c>
      <c r="D21" s="70">
        <v>2</v>
      </c>
      <c r="E21" s="61">
        <v>4.18</v>
      </c>
      <c r="F21" s="61">
        <v>2</v>
      </c>
      <c r="G21" s="64">
        <v>4.58</v>
      </c>
      <c r="H21" s="101">
        <v>2.2400000000000002</v>
      </c>
      <c r="I21" s="105">
        <v>2</v>
      </c>
      <c r="J21" s="62">
        <v>3.39</v>
      </c>
      <c r="K21" s="62">
        <v>2</v>
      </c>
      <c r="L21" s="64">
        <v>3.79</v>
      </c>
      <c r="M21" s="62">
        <v>8.3699999999999992</v>
      </c>
      <c r="N21" s="101">
        <v>2.4900000000000002</v>
      </c>
      <c r="O21" s="110"/>
      <c r="Q21" t="s">
        <v>372</v>
      </c>
    </row>
    <row r="22" spans="1:18" ht="24.95" customHeight="1" x14ac:dyDescent="0.2">
      <c r="A22" s="114">
        <v>50</v>
      </c>
      <c r="B22" s="63">
        <v>18</v>
      </c>
      <c r="C22" s="116" t="s">
        <v>385</v>
      </c>
      <c r="D22" s="70">
        <v>1</v>
      </c>
      <c r="E22" s="61">
        <v>1.68</v>
      </c>
      <c r="F22" s="61">
        <v>1</v>
      </c>
      <c r="G22" s="64">
        <v>1.88</v>
      </c>
      <c r="H22" s="101">
        <v>1.68</v>
      </c>
      <c r="I22" s="105">
        <v>2</v>
      </c>
      <c r="J22" s="62">
        <v>3.88</v>
      </c>
      <c r="K22" s="62">
        <v>2</v>
      </c>
      <c r="L22" s="64">
        <v>4.28</v>
      </c>
      <c r="M22" s="62">
        <v>6.16</v>
      </c>
      <c r="N22" s="101">
        <v>2</v>
      </c>
      <c r="O22" s="110"/>
      <c r="Q22" t="s">
        <v>372</v>
      </c>
    </row>
    <row r="23" spans="1:18" ht="24.95" customHeight="1" x14ac:dyDescent="0.2">
      <c r="A23" s="114">
        <v>8</v>
      </c>
      <c r="B23" s="63">
        <v>19</v>
      </c>
      <c r="C23" s="116" t="s">
        <v>347</v>
      </c>
      <c r="D23" s="70">
        <v>5</v>
      </c>
      <c r="E23" s="61">
        <v>6.47</v>
      </c>
      <c r="F23" s="61">
        <v>5</v>
      </c>
      <c r="G23" s="64">
        <v>7.47</v>
      </c>
      <c r="H23" s="101">
        <v>1.93</v>
      </c>
      <c r="I23" s="105">
        <v>2</v>
      </c>
      <c r="J23" s="62">
        <v>3.85</v>
      </c>
      <c r="K23" s="62">
        <v>2</v>
      </c>
      <c r="L23" s="64">
        <v>4.25</v>
      </c>
      <c r="M23" s="62">
        <v>11.72</v>
      </c>
      <c r="N23" s="101">
        <v>2.0299999999999998</v>
      </c>
      <c r="O23" s="110"/>
      <c r="Q23" t="s">
        <v>372</v>
      </c>
      <c r="R23" t="s">
        <v>372</v>
      </c>
    </row>
    <row r="24" spans="1:18" ht="24.95" customHeight="1" x14ac:dyDescent="0.2">
      <c r="A24" s="114">
        <v>51</v>
      </c>
      <c r="B24" s="63">
        <v>20</v>
      </c>
      <c r="C24" s="116" t="s">
        <v>386</v>
      </c>
      <c r="D24" s="70">
        <v>2</v>
      </c>
      <c r="E24" s="61">
        <v>3.45</v>
      </c>
      <c r="F24" s="61">
        <v>2</v>
      </c>
      <c r="G24" s="64">
        <v>3.85</v>
      </c>
      <c r="H24" s="101">
        <v>1.84</v>
      </c>
      <c r="I24" s="105">
        <v>1</v>
      </c>
      <c r="J24" s="62">
        <v>1.93</v>
      </c>
      <c r="K24" s="62">
        <v>1</v>
      </c>
      <c r="L24" s="64">
        <v>2.13</v>
      </c>
      <c r="M24" s="62">
        <v>5.98</v>
      </c>
      <c r="N24" s="101">
        <v>1.93</v>
      </c>
      <c r="O24" s="110"/>
      <c r="Q24" t="s">
        <v>372</v>
      </c>
    </row>
    <row r="25" spans="1:18" ht="24.95" customHeight="1" x14ac:dyDescent="0.2">
      <c r="A25" s="114">
        <v>29</v>
      </c>
      <c r="B25" s="63">
        <v>21</v>
      </c>
      <c r="C25" s="116" t="s">
        <v>210</v>
      </c>
      <c r="D25" s="70">
        <v>3</v>
      </c>
      <c r="E25" s="61">
        <v>4.5199999999999996</v>
      </c>
      <c r="F25" s="61">
        <v>3</v>
      </c>
      <c r="G25" s="64">
        <v>5.12</v>
      </c>
      <c r="H25" s="101">
        <v>2.36</v>
      </c>
      <c r="I25" s="105">
        <v>2</v>
      </c>
      <c r="J25" s="62">
        <v>3.52</v>
      </c>
      <c r="K25" s="62">
        <v>2</v>
      </c>
      <c r="L25" s="64">
        <v>3.92</v>
      </c>
      <c r="M25" s="62">
        <v>9.0399999999999991</v>
      </c>
      <c r="N25" s="101">
        <v>1.87</v>
      </c>
      <c r="O25" s="110"/>
    </row>
    <row r="26" spans="1:18" ht="24.95" customHeight="1" x14ac:dyDescent="0.2">
      <c r="A26" s="114">
        <v>55</v>
      </c>
      <c r="B26" s="63">
        <v>22</v>
      </c>
      <c r="C26" s="116" t="s">
        <v>370</v>
      </c>
      <c r="D26" s="70">
        <v>3</v>
      </c>
      <c r="E26" s="61">
        <v>4.79</v>
      </c>
      <c r="F26" s="61">
        <v>3</v>
      </c>
      <c r="G26" s="64">
        <v>5.39</v>
      </c>
      <c r="H26" s="101">
        <v>1.84</v>
      </c>
      <c r="I26" s="105">
        <v>0</v>
      </c>
      <c r="J26" s="62">
        <v>0</v>
      </c>
      <c r="K26" s="62">
        <v>0</v>
      </c>
      <c r="L26" s="64">
        <v>0</v>
      </c>
      <c r="M26" s="62">
        <v>5.39</v>
      </c>
      <c r="N26" s="101">
        <v>0</v>
      </c>
      <c r="O26" s="110"/>
    </row>
    <row r="27" spans="1:18" ht="24.95" customHeight="1" x14ac:dyDescent="0.2">
      <c r="A27" s="114">
        <v>6</v>
      </c>
      <c r="B27" s="63">
        <v>23</v>
      </c>
      <c r="C27" s="116" t="s">
        <v>387</v>
      </c>
      <c r="D27" s="70">
        <v>3</v>
      </c>
      <c r="E27" s="61">
        <v>5.04</v>
      </c>
      <c r="F27" s="61">
        <v>3</v>
      </c>
      <c r="G27" s="64">
        <v>5.64</v>
      </c>
      <c r="H27" s="101">
        <v>2.14</v>
      </c>
      <c r="I27" s="105">
        <v>4</v>
      </c>
      <c r="J27" s="62">
        <v>5.65</v>
      </c>
      <c r="K27" s="62">
        <v>4</v>
      </c>
      <c r="L27" s="64">
        <v>6.45</v>
      </c>
      <c r="M27" s="62">
        <v>12.09</v>
      </c>
      <c r="N27" s="101">
        <v>2.04</v>
      </c>
      <c r="O27" s="110"/>
    </row>
    <row r="28" spans="1:18" ht="24.95" customHeight="1" x14ac:dyDescent="0.2">
      <c r="A28" s="114">
        <v>59</v>
      </c>
      <c r="B28" s="63">
        <v>24</v>
      </c>
      <c r="C28" s="116" t="s">
        <v>253</v>
      </c>
      <c r="D28" s="70">
        <v>3</v>
      </c>
      <c r="E28" s="61">
        <v>4.34</v>
      </c>
      <c r="F28" s="61">
        <v>3</v>
      </c>
      <c r="G28" s="64">
        <v>4.9400000000000004</v>
      </c>
      <c r="H28" s="101">
        <v>1.8</v>
      </c>
      <c r="I28" s="105">
        <v>0</v>
      </c>
      <c r="J28" s="62">
        <v>0</v>
      </c>
      <c r="K28" s="62">
        <v>0</v>
      </c>
      <c r="L28" s="64">
        <v>0</v>
      </c>
      <c r="M28" s="62">
        <v>4.9400000000000004</v>
      </c>
      <c r="N28" s="101">
        <v>0</v>
      </c>
      <c r="O28" s="110"/>
      <c r="Q28" t="s">
        <v>372</v>
      </c>
      <c r="R28" t="s">
        <v>372</v>
      </c>
    </row>
    <row r="29" spans="1:18" ht="24.95" customHeight="1" x14ac:dyDescent="0.2">
      <c r="A29" s="114">
        <v>38</v>
      </c>
      <c r="B29" s="63">
        <v>25</v>
      </c>
      <c r="C29" s="116" t="s">
        <v>234</v>
      </c>
      <c r="D29" s="70">
        <v>2</v>
      </c>
      <c r="E29" s="61">
        <v>3.54</v>
      </c>
      <c r="F29" s="61">
        <v>2</v>
      </c>
      <c r="G29" s="64">
        <v>3.94</v>
      </c>
      <c r="H29" s="101">
        <v>1.8</v>
      </c>
      <c r="I29" s="105">
        <v>2</v>
      </c>
      <c r="J29" s="62">
        <v>3.76</v>
      </c>
      <c r="K29" s="62">
        <v>2</v>
      </c>
      <c r="L29" s="64">
        <v>4.16</v>
      </c>
      <c r="M29" s="62">
        <v>8.1</v>
      </c>
      <c r="N29" s="101">
        <v>1.93</v>
      </c>
      <c r="O29" s="110"/>
      <c r="Q29" t="s">
        <v>372</v>
      </c>
      <c r="R29" t="s">
        <v>372</v>
      </c>
    </row>
    <row r="30" spans="1:18" ht="24.95" customHeight="1" x14ac:dyDescent="0.2">
      <c r="A30" s="114">
        <v>67</v>
      </c>
      <c r="B30" s="63">
        <v>26</v>
      </c>
      <c r="C30" s="116" t="s">
        <v>419</v>
      </c>
      <c r="D30" s="70">
        <v>2</v>
      </c>
      <c r="E30" s="61">
        <v>2.69</v>
      </c>
      <c r="F30" s="61">
        <v>2</v>
      </c>
      <c r="G30" s="64">
        <v>3.09</v>
      </c>
      <c r="H30" s="101">
        <v>1.63</v>
      </c>
      <c r="I30" s="105">
        <v>0</v>
      </c>
      <c r="J30" s="62">
        <v>0</v>
      </c>
      <c r="K30" s="62">
        <v>0</v>
      </c>
      <c r="L30" s="64">
        <v>0</v>
      </c>
      <c r="M30" s="62">
        <v>3.09</v>
      </c>
      <c r="N30" s="101">
        <v>0</v>
      </c>
      <c r="O30" s="110"/>
      <c r="Q30" t="s">
        <v>372</v>
      </c>
      <c r="R30" t="s">
        <v>372</v>
      </c>
    </row>
    <row r="31" spans="1:18" ht="24.95" customHeight="1" x14ac:dyDescent="0.2">
      <c r="A31" s="114">
        <v>57</v>
      </c>
      <c r="B31" s="63">
        <v>27</v>
      </c>
      <c r="C31" s="116" t="s">
        <v>388</v>
      </c>
      <c r="D31" s="70">
        <v>2</v>
      </c>
      <c r="E31" s="61">
        <v>3.84</v>
      </c>
      <c r="F31" s="61">
        <v>2</v>
      </c>
      <c r="G31" s="64">
        <v>4.24</v>
      </c>
      <c r="H31" s="101">
        <v>1.95</v>
      </c>
      <c r="I31" s="105">
        <v>1</v>
      </c>
      <c r="J31" s="62">
        <v>0.72</v>
      </c>
      <c r="K31" s="62">
        <v>1</v>
      </c>
      <c r="L31" s="64">
        <v>0.92</v>
      </c>
      <c r="M31" s="62">
        <v>5.16</v>
      </c>
      <c r="N31" s="101">
        <v>0.72</v>
      </c>
      <c r="O31" s="110"/>
      <c r="Q31" t="s">
        <v>372</v>
      </c>
      <c r="R31" t="s">
        <v>372</v>
      </c>
    </row>
    <row r="32" spans="1:18" ht="24.95" customHeight="1" x14ac:dyDescent="0.2">
      <c r="A32" s="114">
        <v>33</v>
      </c>
      <c r="B32" s="63">
        <v>28</v>
      </c>
      <c r="C32" s="116" t="s">
        <v>310</v>
      </c>
      <c r="D32" s="70">
        <v>2</v>
      </c>
      <c r="E32" s="61">
        <v>4.46</v>
      </c>
      <c r="F32" s="61">
        <v>2</v>
      </c>
      <c r="G32" s="64">
        <v>4.8600000000000003</v>
      </c>
      <c r="H32" s="101">
        <v>2.31</v>
      </c>
      <c r="I32" s="105">
        <v>2</v>
      </c>
      <c r="J32" s="62">
        <v>3.79</v>
      </c>
      <c r="K32" s="62">
        <v>0</v>
      </c>
      <c r="L32" s="64">
        <v>3.79</v>
      </c>
      <c r="M32" s="62">
        <v>8.65</v>
      </c>
      <c r="N32" s="101">
        <v>2.04</v>
      </c>
      <c r="O32" s="110"/>
      <c r="Q32" t="s">
        <v>372</v>
      </c>
      <c r="R32" t="s">
        <v>372</v>
      </c>
    </row>
    <row r="33" spans="1:18" ht="24.95" customHeight="1" x14ac:dyDescent="0.2">
      <c r="A33" s="114">
        <v>45</v>
      </c>
      <c r="B33" s="63">
        <v>29</v>
      </c>
      <c r="C33" s="116" t="s">
        <v>366</v>
      </c>
      <c r="D33" s="70">
        <v>1</v>
      </c>
      <c r="E33" s="61">
        <v>1.52</v>
      </c>
      <c r="F33" s="61">
        <v>1</v>
      </c>
      <c r="G33" s="64">
        <v>1.72</v>
      </c>
      <c r="H33" s="101">
        <v>1.52</v>
      </c>
      <c r="I33" s="105">
        <v>3</v>
      </c>
      <c r="J33" s="62">
        <v>4.55</v>
      </c>
      <c r="K33" s="62">
        <v>3</v>
      </c>
      <c r="L33" s="64">
        <v>5.15</v>
      </c>
      <c r="M33" s="62">
        <v>6.87</v>
      </c>
      <c r="N33" s="101">
        <v>1.88</v>
      </c>
      <c r="O33" s="110"/>
      <c r="Q33" t="s">
        <v>372</v>
      </c>
    </row>
    <row r="34" spans="1:18" ht="24.95" customHeight="1" x14ac:dyDescent="0.2">
      <c r="A34" s="114">
        <v>34</v>
      </c>
      <c r="B34" s="63">
        <v>30</v>
      </c>
      <c r="C34" s="116" t="s">
        <v>284</v>
      </c>
      <c r="D34" s="70">
        <v>2</v>
      </c>
      <c r="E34" s="61">
        <v>4.0599999999999996</v>
      </c>
      <c r="F34" s="61">
        <v>2</v>
      </c>
      <c r="G34" s="64">
        <v>4.46</v>
      </c>
      <c r="H34" s="101">
        <v>2.13</v>
      </c>
      <c r="I34" s="105">
        <v>2</v>
      </c>
      <c r="J34" s="62">
        <v>3.77</v>
      </c>
      <c r="K34" s="62">
        <v>2</v>
      </c>
      <c r="L34" s="64">
        <v>4.17</v>
      </c>
      <c r="M34" s="62">
        <v>8.6300000000000008</v>
      </c>
      <c r="N34" s="101">
        <v>2.33</v>
      </c>
      <c r="O34" s="110"/>
    </row>
    <row r="35" spans="1:18" ht="24.95" customHeight="1" x14ac:dyDescent="0.2">
      <c r="A35" s="114">
        <v>31</v>
      </c>
      <c r="B35" s="63">
        <v>31</v>
      </c>
      <c r="C35" s="116" t="s">
        <v>302</v>
      </c>
      <c r="D35" s="70">
        <v>2</v>
      </c>
      <c r="E35" s="61">
        <v>3.87</v>
      </c>
      <c r="F35" s="61">
        <v>2</v>
      </c>
      <c r="G35" s="64">
        <v>4.2699999999999996</v>
      </c>
      <c r="H35" s="101">
        <v>2.13</v>
      </c>
      <c r="I35" s="105">
        <v>2</v>
      </c>
      <c r="J35" s="62">
        <v>4.18</v>
      </c>
      <c r="K35" s="62">
        <v>2</v>
      </c>
      <c r="L35" s="64">
        <v>4.58</v>
      </c>
      <c r="M35" s="62">
        <v>8.85</v>
      </c>
      <c r="N35" s="101">
        <v>2.1</v>
      </c>
      <c r="O35" s="110"/>
      <c r="Q35" t="s">
        <v>372</v>
      </c>
    </row>
    <row r="36" spans="1:18" ht="24.95" customHeight="1" x14ac:dyDescent="0.2">
      <c r="A36" s="114">
        <v>24</v>
      </c>
      <c r="B36" s="63">
        <v>32</v>
      </c>
      <c r="C36" s="116" t="s">
        <v>363</v>
      </c>
      <c r="D36" s="70">
        <v>3</v>
      </c>
      <c r="E36" s="61">
        <v>4.71</v>
      </c>
      <c r="F36" s="61">
        <v>3</v>
      </c>
      <c r="G36" s="64">
        <v>5.31</v>
      </c>
      <c r="H36" s="101">
        <v>1.9</v>
      </c>
      <c r="I36" s="105">
        <v>2</v>
      </c>
      <c r="J36" s="62">
        <v>3.87</v>
      </c>
      <c r="K36" s="62">
        <v>2</v>
      </c>
      <c r="L36" s="64">
        <v>4.2699999999999996</v>
      </c>
      <c r="M36" s="62">
        <v>9.58</v>
      </c>
      <c r="N36" s="101">
        <v>2.04</v>
      </c>
      <c r="O36" s="110"/>
      <c r="Q36" t="s">
        <v>372</v>
      </c>
      <c r="R36" t="s">
        <v>372</v>
      </c>
    </row>
    <row r="37" spans="1:18" ht="24.95" customHeight="1" x14ac:dyDescent="0.2">
      <c r="A37" s="114">
        <v>48</v>
      </c>
      <c r="B37" s="63">
        <v>33</v>
      </c>
      <c r="C37" s="116" t="s">
        <v>263</v>
      </c>
      <c r="D37" s="70">
        <v>2</v>
      </c>
      <c r="E37" s="61">
        <v>4.13</v>
      </c>
      <c r="F37" s="61">
        <v>2</v>
      </c>
      <c r="G37" s="64">
        <v>4.53</v>
      </c>
      <c r="H37" s="101">
        <v>2.0699999999999998</v>
      </c>
      <c r="I37" s="105">
        <v>1</v>
      </c>
      <c r="J37" s="62">
        <v>1.9</v>
      </c>
      <c r="K37" s="62">
        <v>1</v>
      </c>
      <c r="L37" s="64">
        <v>2.1</v>
      </c>
      <c r="M37" s="62">
        <v>6.63</v>
      </c>
      <c r="N37" s="101">
        <v>1.9</v>
      </c>
      <c r="O37" s="110"/>
      <c r="Q37" t="s">
        <v>372</v>
      </c>
      <c r="R37" t="s">
        <v>372</v>
      </c>
    </row>
    <row r="38" spans="1:18" ht="24.95" customHeight="1" x14ac:dyDescent="0.2">
      <c r="A38" s="114">
        <v>42</v>
      </c>
      <c r="B38" s="63">
        <v>34</v>
      </c>
      <c r="C38" s="116" t="s">
        <v>389</v>
      </c>
      <c r="D38" s="70">
        <v>1</v>
      </c>
      <c r="E38" s="61">
        <v>2.56</v>
      </c>
      <c r="F38" s="61">
        <v>1</v>
      </c>
      <c r="G38" s="64">
        <v>2.76</v>
      </c>
      <c r="H38" s="101">
        <v>2.56</v>
      </c>
      <c r="I38" s="105">
        <v>2</v>
      </c>
      <c r="J38" s="62">
        <v>3.98</v>
      </c>
      <c r="K38" s="62">
        <v>2</v>
      </c>
      <c r="L38" s="64">
        <v>4.38</v>
      </c>
      <c r="M38" s="62">
        <v>7.14</v>
      </c>
      <c r="N38" s="101">
        <v>2.35</v>
      </c>
      <c r="O38" s="110"/>
      <c r="Q38" t="s">
        <v>372</v>
      </c>
      <c r="R38" t="s">
        <v>372</v>
      </c>
    </row>
    <row r="39" spans="1:18" ht="24.95" customHeight="1" x14ac:dyDescent="0.2">
      <c r="A39" s="114">
        <v>46</v>
      </c>
      <c r="B39" s="63">
        <v>35</v>
      </c>
      <c r="C39" s="116" t="s">
        <v>390</v>
      </c>
      <c r="D39" s="70">
        <v>1</v>
      </c>
      <c r="E39" s="61">
        <v>2.16</v>
      </c>
      <c r="F39" s="61">
        <v>1</v>
      </c>
      <c r="G39" s="64">
        <v>2.36</v>
      </c>
      <c r="H39" s="101">
        <v>2.16</v>
      </c>
      <c r="I39" s="105">
        <v>2</v>
      </c>
      <c r="J39" s="62">
        <v>3.94</v>
      </c>
      <c r="K39" s="62">
        <v>2</v>
      </c>
      <c r="L39" s="64">
        <v>4.34</v>
      </c>
      <c r="M39" s="62">
        <v>6.7</v>
      </c>
      <c r="N39" s="101">
        <v>2.3199999999999998</v>
      </c>
      <c r="O39" s="110"/>
      <c r="Q39" t="s">
        <v>372</v>
      </c>
    </row>
    <row r="40" spans="1:18" ht="24.95" customHeight="1" x14ac:dyDescent="0.2">
      <c r="A40" s="114">
        <v>18</v>
      </c>
      <c r="B40" s="63">
        <v>36</v>
      </c>
      <c r="C40" s="116" t="s">
        <v>313</v>
      </c>
      <c r="D40" s="70">
        <v>4</v>
      </c>
      <c r="E40" s="61">
        <v>5.03</v>
      </c>
      <c r="F40" s="61">
        <v>4</v>
      </c>
      <c r="G40" s="64">
        <v>5.83</v>
      </c>
      <c r="H40" s="101">
        <v>1.58</v>
      </c>
      <c r="I40" s="105">
        <v>2</v>
      </c>
      <c r="J40" s="62">
        <v>3.95</v>
      </c>
      <c r="K40" s="62">
        <v>2</v>
      </c>
      <c r="L40" s="64">
        <v>4.3499999999999996</v>
      </c>
      <c r="M40" s="62">
        <v>10.18</v>
      </c>
      <c r="N40" s="101">
        <v>2.04</v>
      </c>
      <c r="O40" s="110"/>
      <c r="Q40" t="s">
        <v>372</v>
      </c>
      <c r="R40" t="s">
        <v>372</v>
      </c>
    </row>
    <row r="41" spans="1:18" ht="24.95" customHeight="1" x14ac:dyDescent="0.2">
      <c r="A41" s="114">
        <v>32</v>
      </c>
      <c r="B41" s="63">
        <v>37</v>
      </c>
      <c r="C41" s="116" t="s">
        <v>391</v>
      </c>
      <c r="D41" s="70">
        <v>2</v>
      </c>
      <c r="E41" s="61">
        <v>3.96</v>
      </c>
      <c r="F41" s="61">
        <v>2</v>
      </c>
      <c r="G41" s="64">
        <v>4.3600000000000003</v>
      </c>
      <c r="H41" s="101">
        <v>2.2000000000000002</v>
      </c>
      <c r="I41" s="105">
        <v>3</v>
      </c>
      <c r="J41" s="62">
        <v>3.72</v>
      </c>
      <c r="K41" s="62">
        <v>3</v>
      </c>
      <c r="L41" s="64">
        <v>4.32</v>
      </c>
      <c r="M41" s="62">
        <v>8.68</v>
      </c>
      <c r="N41" s="101">
        <v>2.1</v>
      </c>
      <c r="O41" s="110"/>
      <c r="Q41" t="s">
        <v>372</v>
      </c>
      <c r="R41" t="s">
        <v>372</v>
      </c>
    </row>
    <row r="42" spans="1:18" ht="24.95" customHeight="1" x14ac:dyDescent="0.2">
      <c r="A42" s="114">
        <v>12</v>
      </c>
      <c r="B42" s="63">
        <v>38</v>
      </c>
      <c r="C42" s="116" t="s">
        <v>392</v>
      </c>
      <c r="D42" s="70">
        <v>4</v>
      </c>
      <c r="E42" s="61">
        <v>5.55</v>
      </c>
      <c r="F42" s="61">
        <v>4</v>
      </c>
      <c r="G42" s="64">
        <v>6.35</v>
      </c>
      <c r="H42" s="101">
        <v>1.97</v>
      </c>
      <c r="I42" s="105">
        <v>2</v>
      </c>
      <c r="J42" s="62">
        <v>4.38</v>
      </c>
      <c r="K42" s="62">
        <v>2</v>
      </c>
      <c r="L42" s="64">
        <v>4.78</v>
      </c>
      <c r="M42" s="62">
        <v>11.13</v>
      </c>
      <c r="N42" s="101">
        <v>2.31</v>
      </c>
      <c r="O42" s="110"/>
    </row>
    <row r="43" spans="1:18" ht="24.95" customHeight="1" x14ac:dyDescent="0.2">
      <c r="A43" s="114">
        <v>39</v>
      </c>
      <c r="B43" s="63">
        <v>39</v>
      </c>
      <c r="C43" s="116" t="s">
        <v>219</v>
      </c>
      <c r="D43" s="70">
        <v>2</v>
      </c>
      <c r="E43" s="61">
        <v>3.45</v>
      </c>
      <c r="F43" s="61">
        <v>2</v>
      </c>
      <c r="G43" s="64">
        <v>3.85</v>
      </c>
      <c r="H43" s="101">
        <v>1.75</v>
      </c>
      <c r="I43" s="105">
        <v>2</v>
      </c>
      <c r="J43" s="62">
        <v>3.8</v>
      </c>
      <c r="K43" s="62">
        <v>2</v>
      </c>
      <c r="L43" s="64">
        <v>4.2</v>
      </c>
      <c r="M43" s="62">
        <v>8.0500000000000007</v>
      </c>
      <c r="N43" s="101">
        <v>2.09</v>
      </c>
      <c r="O43" s="110"/>
      <c r="Q43" t="s">
        <v>372</v>
      </c>
      <c r="R43" t="s">
        <v>372</v>
      </c>
    </row>
    <row r="44" spans="1:18" ht="24.95" customHeight="1" x14ac:dyDescent="0.2">
      <c r="A44" s="114">
        <v>14</v>
      </c>
      <c r="B44" s="63">
        <v>40</v>
      </c>
      <c r="C44" s="116" t="s">
        <v>393</v>
      </c>
      <c r="D44" s="70">
        <v>2</v>
      </c>
      <c r="E44" s="61">
        <v>3.59</v>
      </c>
      <c r="F44" s="61">
        <v>2</v>
      </c>
      <c r="G44" s="64">
        <v>3.99</v>
      </c>
      <c r="H44" s="101">
        <v>1.84</v>
      </c>
      <c r="I44" s="105">
        <v>4</v>
      </c>
      <c r="J44" s="62">
        <v>6.07</v>
      </c>
      <c r="K44" s="62">
        <v>4</v>
      </c>
      <c r="L44" s="64">
        <v>6.87</v>
      </c>
      <c r="M44" s="62">
        <v>10.86</v>
      </c>
      <c r="N44" s="101">
        <v>2.38</v>
      </c>
      <c r="O44" s="110"/>
      <c r="Q44" t="s">
        <v>372</v>
      </c>
      <c r="R44" t="s">
        <v>372</v>
      </c>
    </row>
    <row r="45" spans="1:18" ht="24.95" customHeight="1" x14ac:dyDescent="0.2">
      <c r="A45" s="114">
        <v>19</v>
      </c>
      <c r="B45" s="63">
        <v>41</v>
      </c>
      <c r="C45" s="116" t="s">
        <v>349</v>
      </c>
      <c r="D45" s="70">
        <v>2</v>
      </c>
      <c r="E45" s="61">
        <v>3.56</v>
      </c>
      <c r="F45" s="61">
        <v>1</v>
      </c>
      <c r="G45" s="64">
        <v>3.76</v>
      </c>
      <c r="H45" s="101">
        <v>1.8</v>
      </c>
      <c r="I45" s="105">
        <v>3</v>
      </c>
      <c r="J45" s="62">
        <v>5.73</v>
      </c>
      <c r="K45" s="62">
        <v>3</v>
      </c>
      <c r="L45" s="64">
        <v>6.33</v>
      </c>
      <c r="M45" s="62">
        <v>10.09</v>
      </c>
      <c r="N45" s="101">
        <v>3.04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17</v>
      </c>
      <c r="B46" s="63">
        <v>42</v>
      </c>
      <c r="C46" s="116" t="s">
        <v>323</v>
      </c>
      <c r="D46" s="70">
        <v>4</v>
      </c>
      <c r="E46" s="61">
        <v>5.23</v>
      </c>
      <c r="F46" s="61">
        <v>4</v>
      </c>
      <c r="G46" s="64">
        <v>6.03</v>
      </c>
      <c r="H46" s="101">
        <v>1.84</v>
      </c>
      <c r="I46" s="105">
        <v>3</v>
      </c>
      <c r="J46" s="62">
        <v>3.58</v>
      </c>
      <c r="K46" s="62">
        <v>3</v>
      </c>
      <c r="L46" s="64">
        <v>4.18</v>
      </c>
      <c r="M46" s="62">
        <v>10.210000000000001</v>
      </c>
      <c r="N46" s="101">
        <v>1.82</v>
      </c>
      <c r="O46" s="110"/>
      <c r="Q46" t="s">
        <v>372</v>
      </c>
      <c r="R46" t="s">
        <v>372</v>
      </c>
    </row>
    <row r="47" spans="1:18" ht="24.95" customHeight="1" x14ac:dyDescent="0.2">
      <c r="A47" s="114">
        <v>35</v>
      </c>
      <c r="B47" s="63">
        <v>43</v>
      </c>
      <c r="C47" s="116" t="s">
        <v>394</v>
      </c>
      <c r="D47" s="70">
        <v>2</v>
      </c>
      <c r="E47" s="61">
        <v>3.87</v>
      </c>
      <c r="F47" s="61">
        <v>2</v>
      </c>
      <c r="G47" s="64">
        <v>4.2699999999999996</v>
      </c>
      <c r="H47" s="101">
        <v>2.02</v>
      </c>
      <c r="I47" s="105">
        <v>2</v>
      </c>
      <c r="J47" s="62">
        <v>3.72</v>
      </c>
      <c r="K47" s="62">
        <v>2</v>
      </c>
      <c r="L47" s="64">
        <v>4.12</v>
      </c>
      <c r="M47" s="62">
        <v>8.39</v>
      </c>
      <c r="N47" s="101">
        <v>2.0099999999999998</v>
      </c>
      <c r="O47" s="110"/>
      <c r="Q47" t="s">
        <v>372</v>
      </c>
      <c r="R47" t="s">
        <v>372</v>
      </c>
    </row>
    <row r="48" spans="1:18" ht="24.95" customHeight="1" x14ac:dyDescent="0.2">
      <c r="A48" s="114">
        <v>30</v>
      </c>
      <c r="B48" s="63">
        <v>44</v>
      </c>
      <c r="C48" s="116" t="s">
        <v>287</v>
      </c>
      <c r="D48" s="70">
        <v>2</v>
      </c>
      <c r="E48" s="61">
        <v>3.54</v>
      </c>
      <c r="F48" s="61">
        <v>2</v>
      </c>
      <c r="G48" s="64">
        <v>3.94</v>
      </c>
      <c r="H48" s="101">
        <v>1.8</v>
      </c>
      <c r="I48" s="105">
        <v>3</v>
      </c>
      <c r="J48" s="62">
        <v>4.32</v>
      </c>
      <c r="K48" s="62">
        <v>3</v>
      </c>
      <c r="L48" s="64">
        <v>4.92</v>
      </c>
      <c r="M48" s="62">
        <v>8.86</v>
      </c>
      <c r="N48" s="101">
        <v>1.75</v>
      </c>
      <c r="O48" s="110"/>
      <c r="Q48" t="s">
        <v>372</v>
      </c>
      <c r="R48" t="s">
        <v>372</v>
      </c>
    </row>
    <row r="49" spans="1:18" ht="24.95" customHeight="1" x14ac:dyDescent="0.2">
      <c r="A49" s="114">
        <v>65</v>
      </c>
      <c r="B49" s="63">
        <v>45</v>
      </c>
      <c r="C49" s="116" t="s">
        <v>395</v>
      </c>
      <c r="D49" s="70">
        <v>2</v>
      </c>
      <c r="E49" s="61">
        <v>2.59</v>
      </c>
      <c r="F49" s="61">
        <v>2</v>
      </c>
      <c r="G49" s="64">
        <v>2.99</v>
      </c>
      <c r="H49" s="101">
        <v>2</v>
      </c>
      <c r="I49" s="105">
        <v>1</v>
      </c>
      <c r="J49" s="62">
        <v>0.65</v>
      </c>
      <c r="K49" s="62">
        <v>1</v>
      </c>
      <c r="L49" s="64">
        <v>0.85</v>
      </c>
      <c r="M49" s="62">
        <v>3.84</v>
      </c>
      <c r="N49" s="101">
        <v>0.65</v>
      </c>
      <c r="O49" s="110"/>
      <c r="Q49" t="s">
        <v>372</v>
      </c>
      <c r="R49" t="s">
        <v>372</v>
      </c>
    </row>
    <row r="50" spans="1:18" ht="24.95" customHeight="1" x14ac:dyDescent="0.2">
      <c r="A50" s="114">
        <v>1</v>
      </c>
      <c r="B50" s="63">
        <v>46</v>
      </c>
      <c r="C50" s="116" t="s">
        <v>396</v>
      </c>
      <c r="D50" s="70">
        <v>7</v>
      </c>
      <c r="E50" s="61">
        <v>8.4600000000000009</v>
      </c>
      <c r="F50" s="61">
        <v>7</v>
      </c>
      <c r="G50" s="64">
        <v>9.86</v>
      </c>
      <c r="H50" s="101">
        <v>2.35</v>
      </c>
      <c r="I50" s="105">
        <v>7</v>
      </c>
      <c r="J50" s="62">
        <v>8.9</v>
      </c>
      <c r="K50" s="62">
        <v>7</v>
      </c>
      <c r="L50" s="64">
        <v>10.3</v>
      </c>
      <c r="M50" s="62">
        <v>20.16</v>
      </c>
      <c r="N50" s="101">
        <v>2.52</v>
      </c>
      <c r="O50" s="110"/>
      <c r="Q50" t="s">
        <v>372</v>
      </c>
    </row>
    <row r="51" spans="1:18" ht="24.95" customHeight="1" x14ac:dyDescent="0.2">
      <c r="A51" s="114">
        <v>79</v>
      </c>
      <c r="B51" s="63">
        <v>47</v>
      </c>
      <c r="C51" s="116" t="s">
        <v>418</v>
      </c>
      <c r="D51" s="70">
        <v>0</v>
      </c>
      <c r="E51" s="61">
        <v>0</v>
      </c>
      <c r="F51" s="61">
        <v>0</v>
      </c>
      <c r="G51" s="64">
        <v>0</v>
      </c>
      <c r="H51" s="101">
        <v>0</v>
      </c>
      <c r="I51" s="105">
        <v>0</v>
      </c>
      <c r="J51" s="62">
        <v>0</v>
      </c>
      <c r="K51" s="62">
        <v>0</v>
      </c>
      <c r="L51" s="64">
        <v>0</v>
      </c>
      <c r="M51" s="62">
        <v>0</v>
      </c>
      <c r="N51" s="101">
        <v>0</v>
      </c>
      <c r="O51" s="110"/>
    </row>
    <row r="52" spans="1:18" ht="24.95" customHeight="1" x14ac:dyDescent="0.2">
      <c r="A52" s="114">
        <v>49</v>
      </c>
      <c r="B52" s="63">
        <v>48</v>
      </c>
      <c r="C52" s="116" t="s">
        <v>296</v>
      </c>
      <c r="D52" s="70">
        <v>1</v>
      </c>
      <c r="E52" s="61">
        <v>1.98</v>
      </c>
      <c r="F52" s="61">
        <v>1</v>
      </c>
      <c r="G52" s="64">
        <v>2.1800000000000002</v>
      </c>
      <c r="H52" s="101">
        <v>1.98</v>
      </c>
      <c r="I52" s="105">
        <v>2</v>
      </c>
      <c r="J52" s="62">
        <v>3.65</v>
      </c>
      <c r="K52" s="62">
        <v>2</v>
      </c>
      <c r="L52" s="64">
        <v>4.05</v>
      </c>
      <c r="M52" s="62">
        <v>6.23</v>
      </c>
      <c r="N52" s="101">
        <v>1.89</v>
      </c>
      <c r="O52" s="110"/>
      <c r="Q52" t="s">
        <v>372</v>
      </c>
    </row>
    <row r="53" spans="1:18" ht="24.95" customHeight="1" x14ac:dyDescent="0.2">
      <c r="A53" s="114">
        <v>21</v>
      </c>
      <c r="B53" s="63">
        <v>49</v>
      </c>
      <c r="C53" s="116" t="s">
        <v>226</v>
      </c>
      <c r="D53" s="70">
        <v>2</v>
      </c>
      <c r="E53" s="61">
        <v>3.78</v>
      </c>
      <c r="F53" s="61">
        <v>2</v>
      </c>
      <c r="G53" s="64">
        <v>4.18</v>
      </c>
      <c r="H53" s="101">
        <v>1.91</v>
      </c>
      <c r="I53" s="105">
        <v>3</v>
      </c>
      <c r="J53" s="62">
        <v>5.07</v>
      </c>
      <c r="K53" s="62">
        <v>3</v>
      </c>
      <c r="L53" s="64">
        <v>5.67</v>
      </c>
      <c r="M53" s="62">
        <v>9.85</v>
      </c>
      <c r="N53" s="101">
        <v>2.15</v>
      </c>
      <c r="O53" s="110"/>
      <c r="Q53" t="s">
        <v>372</v>
      </c>
      <c r="R53" t="s">
        <v>372</v>
      </c>
    </row>
    <row r="54" spans="1:18" ht="24.95" customHeight="1" x14ac:dyDescent="0.2">
      <c r="A54" s="114">
        <v>40</v>
      </c>
      <c r="B54" s="63">
        <v>50</v>
      </c>
      <c r="C54" s="116" t="s">
        <v>342</v>
      </c>
      <c r="D54" s="70">
        <v>2</v>
      </c>
      <c r="E54" s="61">
        <v>3.49</v>
      </c>
      <c r="F54" s="61">
        <v>2</v>
      </c>
      <c r="G54" s="64">
        <v>3.89</v>
      </c>
      <c r="H54" s="101">
        <v>1.89</v>
      </c>
      <c r="I54" s="105">
        <v>2</v>
      </c>
      <c r="J54" s="62">
        <v>3.64</v>
      </c>
      <c r="K54" s="62">
        <v>2</v>
      </c>
      <c r="L54" s="64">
        <v>4.04</v>
      </c>
      <c r="M54" s="62">
        <v>7.93</v>
      </c>
      <c r="N54" s="101">
        <v>1.86</v>
      </c>
      <c r="O54" s="110"/>
      <c r="Q54" t="s">
        <v>372</v>
      </c>
      <c r="R54" t="s">
        <v>372</v>
      </c>
    </row>
    <row r="55" spans="1:18" ht="24.95" customHeight="1" x14ac:dyDescent="0.2">
      <c r="A55" s="114">
        <v>60</v>
      </c>
      <c r="B55" s="63">
        <v>51</v>
      </c>
      <c r="C55" s="116" t="s">
        <v>354</v>
      </c>
      <c r="D55" s="70">
        <v>1</v>
      </c>
      <c r="E55" s="61">
        <v>2.38</v>
      </c>
      <c r="F55" s="61">
        <v>1</v>
      </c>
      <c r="G55" s="64">
        <v>2.58</v>
      </c>
      <c r="H55" s="101">
        <v>2.38</v>
      </c>
      <c r="I55" s="105">
        <v>1</v>
      </c>
      <c r="J55" s="62">
        <v>1.65</v>
      </c>
      <c r="K55" s="62">
        <v>1</v>
      </c>
      <c r="L55" s="64">
        <v>1.85</v>
      </c>
      <c r="M55" s="62">
        <v>4.43</v>
      </c>
      <c r="N55" s="101">
        <v>1.65</v>
      </c>
      <c r="O55" s="110"/>
      <c r="Q55" t="s">
        <v>372</v>
      </c>
      <c r="R55" t="s">
        <v>372</v>
      </c>
    </row>
    <row r="56" spans="1:18" ht="24.95" customHeight="1" x14ac:dyDescent="0.2">
      <c r="A56" s="114">
        <v>47</v>
      </c>
      <c r="B56" s="63">
        <v>52</v>
      </c>
      <c r="C56" s="116" t="s">
        <v>258</v>
      </c>
      <c r="D56" s="70">
        <v>2</v>
      </c>
      <c r="E56" s="61">
        <v>4.0599999999999996</v>
      </c>
      <c r="F56" s="61">
        <v>2</v>
      </c>
      <c r="G56" s="64">
        <v>4.46</v>
      </c>
      <c r="H56" s="101">
        <v>2.1</v>
      </c>
      <c r="I56" s="105">
        <v>1</v>
      </c>
      <c r="J56" s="62">
        <v>1.98</v>
      </c>
      <c r="K56" s="62">
        <v>1</v>
      </c>
      <c r="L56" s="64">
        <v>2.1800000000000002</v>
      </c>
      <c r="M56" s="62">
        <v>6.64</v>
      </c>
      <c r="N56" s="101">
        <v>1.98</v>
      </c>
      <c r="O56" s="110"/>
      <c r="Q56" t="s">
        <v>372</v>
      </c>
    </row>
    <row r="57" spans="1:18" ht="24.95" customHeight="1" x14ac:dyDescent="0.2">
      <c r="A57" s="114">
        <v>9</v>
      </c>
      <c r="B57" s="63">
        <v>53</v>
      </c>
      <c r="C57" s="116" t="s">
        <v>246</v>
      </c>
      <c r="D57" s="70">
        <v>3</v>
      </c>
      <c r="E57" s="61">
        <v>5.59</v>
      </c>
      <c r="F57" s="61">
        <v>3</v>
      </c>
      <c r="G57" s="64">
        <v>6.19</v>
      </c>
      <c r="H57" s="101">
        <v>2.72</v>
      </c>
      <c r="I57" s="105">
        <v>3</v>
      </c>
      <c r="J57" s="62">
        <v>4.75</v>
      </c>
      <c r="K57" s="62">
        <v>3</v>
      </c>
      <c r="L57" s="64">
        <v>5.35</v>
      </c>
      <c r="M57" s="62">
        <v>11.54</v>
      </c>
      <c r="N57" s="101">
        <v>2.0099999999999998</v>
      </c>
      <c r="O57" s="110"/>
      <c r="Q57" t="s">
        <v>372</v>
      </c>
      <c r="R57" t="s">
        <v>372</v>
      </c>
    </row>
    <row r="58" spans="1:18" ht="24.95" customHeight="1" x14ac:dyDescent="0.2">
      <c r="A58" s="114">
        <v>3</v>
      </c>
      <c r="B58" s="63">
        <v>54</v>
      </c>
      <c r="C58" s="116" t="s">
        <v>397</v>
      </c>
      <c r="D58" s="70">
        <v>2</v>
      </c>
      <c r="E58" s="61">
        <v>8.68</v>
      </c>
      <c r="F58" s="61">
        <v>2</v>
      </c>
      <c r="G58" s="64">
        <v>9.08</v>
      </c>
      <c r="H58" s="101">
        <v>6.64</v>
      </c>
      <c r="I58" s="105">
        <v>3</v>
      </c>
      <c r="J58" s="62">
        <v>4.5199999999999996</v>
      </c>
      <c r="K58" s="62">
        <v>3</v>
      </c>
      <c r="L58" s="64">
        <v>5.12</v>
      </c>
      <c r="M58" s="62">
        <v>14.2</v>
      </c>
      <c r="N58" s="101">
        <v>1.85</v>
      </c>
      <c r="O58" s="110"/>
      <c r="Q58" t="s">
        <v>372</v>
      </c>
    </row>
    <row r="59" spans="1:18" ht="24.95" customHeight="1" x14ac:dyDescent="0.2">
      <c r="A59" s="114">
        <v>68</v>
      </c>
      <c r="B59" s="63">
        <v>55</v>
      </c>
      <c r="C59" s="116" t="s">
        <v>398</v>
      </c>
      <c r="D59" s="70">
        <v>1</v>
      </c>
      <c r="E59" s="61">
        <v>2.41</v>
      </c>
      <c r="F59" s="61">
        <v>1</v>
      </c>
      <c r="G59" s="64">
        <v>2.61</v>
      </c>
      <c r="H59" s="101">
        <v>2.41</v>
      </c>
      <c r="I59" s="105">
        <v>0</v>
      </c>
      <c r="J59" s="62">
        <v>0</v>
      </c>
      <c r="K59" s="62">
        <v>0</v>
      </c>
      <c r="L59" s="64">
        <v>0</v>
      </c>
      <c r="M59" s="62">
        <v>2.61</v>
      </c>
      <c r="N59" s="101">
        <v>0</v>
      </c>
      <c r="O59" s="110"/>
      <c r="Q59" t="s">
        <v>372</v>
      </c>
    </row>
    <row r="60" spans="1:18" ht="24.95" customHeight="1" x14ac:dyDescent="0.2">
      <c r="A60" s="114">
        <v>27</v>
      </c>
      <c r="B60" s="63">
        <v>56</v>
      </c>
      <c r="C60" s="116" t="s">
        <v>316</v>
      </c>
      <c r="D60" s="70">
        <v>3</v>
      </c>
      <c r="E60" s="61">
        <v>4.55</v>
      </c>
      <c r="F60" s="61">
        <v>3</v>
      </c>
      <c r="G60" s="64">
        <v>5.15</v>
      </c>
      <c r="H60" s="101">
        <v>2</v>
      </c>
      <c r="I60" s="105">
        <v>2</v>
      </c>
      <c r="J60" s="62">
        <v>3.63</v>
      </c>
      <c r="K60" s="62">
        <v>2</v>
      </c>
      <c r="L60" s="64">
        <v>4.03</v>
      </c>
      <c r="M60" s="62">
        <v>9.18</v>
      </c>
      <c r="N60" s="101">
        <v>2.02</v>
      </c>
      <c r="O60" s="110"/>
      <c r="Q60" t="s">
        <v>372</v>
      </c>
      <c r="R60" t="s">
        <v>372</v>
      </c>
    </row>
    <row r="61" spans="1:18" ht="24.95" customHeight="1" x14ac:dyDescent="0.2">
      <c r="A61" s="114">
        <v>28</v>
      </c>
      <c r="B61" s="63">
        <v>57</v>
      </c>
      <c r="C61" s="116" t="s">
        <v>399</v>
      </c>
      <c r="D61" s="70">
        <v>3</v>
      </c>
      <c r="E61" s="61">
        <v>4.25</v>
      </c>
      <c r="F61" s="61">
        <v>3</v>
      </c>
      <c r="G61" s="64">
        <v>4.8499999999999996</v>
      </c>
      <c r="H61" s="101">
        <v>1.76</v>
      </c>
      <c r="I61" s="105">
        <v>2</v>
      </c>
      <c r="J61" s="62">
        <v>3.8</v>
      </c>
      <c r="K61" s="62">
        <v>2</v>
      </c>
      <c r="L61" s="64">
        <v>4.2</v>
      </c>
      <c r="M61" s="62">
        <v>9.0500000000000007</v>
      </c>
      <c r="N61" s="101">
        <v>2.04</v>
      </c>
      <c r="O61" s="110"/>
      <c r="Q61" t="s">
        <v>372</v>
      </c>
      <c r="R61" t="s">
        <v>372</v>
      </c>
    </row>
    <row r="62" spans="1:18" ht="24.95" customHeight="1" x14ac:dyDescent="0.2">
      <c r="A62" s="114">
        <v>23</v>
      </c>
      <c r="B62" s="63">
        <v>58</v>
      </c>
      <c r="C62" s="116" t="s">
        <v>400</v>
      </c>
      <c r="D62" s="70">
        <v>2</v>
      </c>
      <c r="E62" s="61">
        <v>4.01</v>
      </c>
      <c r="F62" s="61">
        <v>2</v>
      </c>
      <c r="G62" s="64">
        <v>4.41</v>
      </c>
      <c r="H62" s="101">
        <v>2.29</v>
      </c>
      <c r="I62" s="105">
        <v>3</v>
      </c>
      <c r="J62" s="62">
        <v>4.5999999999999996</v>
      </c>
      <c r="K62" s="62">
        <v>3</v>
      </c>
      <c r="L62" s="64">
        <v>5.2</v>
      </c>
      <c r="M62" s="62">
        <v>9.61</v>
      </c>
      <c r="N62" s="101">
        <v>1.96</v>
      </c>
      <c r="O62" s="110"/>
      <c r="Q62" t="s">
        <v>372</v>
      </c>
    </row>
    <row r="63" spans="1:18" ht="24.95" customHeight="1" x14ac:dyDescent="0.2">
      <c r="A63" s="114">
        <v>71</v>
      </c>
      <c r="B63" s="63">
        <v>59</v>
      </c>
      <c r="C63" s="116" t="s">
        <v>401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1</v>
      </c>
      <c r="J63" s="62">
        <v>1.86</v>
      </c>
      <c r="K63" s="62">
        <v>1</v>
      </c>
      <c r="L63" s="64">
        <v>2.06</v>
      </c>
      <c r="M63" s="62">
        <v>2.06</v>
      </c>
      <c r="N63" s="101">
        <v>1.86</v>
      </c>
      <c r="O63" s="110"/>
      <c r="Q63" t="s">
        <v>372</v>
      </c>
    </row>
    <row r="64" spans="1:18" ht="24.95" customHeight="1" x14ac:dyDescent="0.2">
      <c r="A64" s="114">
        <v>54</v>
      </c>
      <c r="B64" s="63">
        <v>60</v>
      </c>
      <c r="C64" s="116" t="s">
        <v>307</v>
      </c>
      <c r="D64" s="70">
        <v>1</v>
      </c>
      <c r="E64" s="61">
        <v>1.64</v>
      </c>
      <c r="F64" s="61">
        <v>1</v>
      </c>
      <c r="G64" s="64">
        <v>1.84</v>
      </c>
      <c r="H64" s="101">
        <v>1.64</v>
      </c>
      <c r="I64" s="105">
        <v>2</v>
      </c>
      <c r="J64" s="62">
        <v>3.49</v>
      </c>
      <c r="K64" s="62">
        <v>2</v>
      </c>
      <c r="L64" s="64">
        <v>3.89</v>
      </c>
      <c r="M64" s="62">
        <v>5.73</v>
      </c>
      <c r="N64" s="101">
        <v>1.8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69</v>
      </c>
      <c r="B65" s="63">
        <v>61</v>
      </c>
      <c r="C65" s="116" t="s">
        <v>402</v>
      </c>
      <c r="D65" s="70">
        <v>2</v>
      </c>
      <c r="E65" s="61">
        <v>2.2999999999999998</v>
      </c>
      <c r="F65" s="61">
        <v>1</v>
      </c>
      <c r="G65" s="64">
        <v>2.5</v>
      </c>
      <c r="H65" s="101">
        <v>1.71</v>
      </c>
      <c r="I65" s="105">
        <v>0</v>
      </c>
      <c r="J65" s="62">
        <v>0</v>
      </c>
      <c r="K65" s="62">
        <v>0</v>
      </c>
      <c r="L65" s="64">
        <v>0</v>
      </c>
      <c r="M65" s="62">
        <v>2.5</v>
      </c>
      <c r="N65" s="101">
        <v>0</v>
      </c>
      <c r="O65" s="110"/>
      <c r="Q65" t="s">
        <v>372</v>
      </c>
    </row>
    <row r="66" spans="1:18" ht="24.95" customHeight="1" x14ac:dyDescent="0.2">
      <c r="A66" s="114">
        <v>43</v>
      </c>
      <c r="B66" s="63">
        <v>62</v>
      </c>
      <c r="C66" s="116" t="s">
        <v>245</v>
      </c>
      <c r="D66" s="70">
        <v>2</v>
      </c>
      <c r="E66" s="61">
        <v>4.43</v>
      </c>
      <c r="F66" s="61">
        <v>2</v>
      </c>
      <c r="G66" s="64">
        <v>4.83</v>
      </c>
      <c r="H66" s="101">
        <v>2.44</v>
      </c>
      <c r="I66" s="105">
        <v>1</v>
      </c>
      <c r="J66" s="62">
        <v>2.08</v>
      </c>
      <c r="K66" s="62">
        <v>1</v>
      </c>
      <c r="L66" s="64">
        <v>2.2799999999999998</v>
      </c>
      <c r="M66" s="62">
        <v>7.11</v>
      </c>
      <c r="N66" s="101">
        <v>2.08</v>
      </c>
      <c r="O66" s="110"/>
      <c r="Q66" t="s">
        <v>372</v>
      </c>
    </row>
    <row r="67" spans="1:18" ht="24.95" customHeight="1" x14ac:dyDescent="0.2">
      <c r="A67" s="114">
        <v>20</v>
      </c>
      <c r="B67" s="63">
        <v>63</v>
      </c>
      <c r="C67" s="116" t="s">
        <v>403</v>
      </c>
      <c r="D67" s="70">
        <v>4</v>
      </c>
      <c r="E67" s="61">
        <v>4.88</v>
      </c>
      <c r="F67" s="61">
        <v>4</v>
      </c>
      <c r="G67" s="64">
        <v>5.68</v>
      </c>
      <c r="H67" s="101">
        <v>2.11</v>
      </c>
      <c r="I67" s="105">
        <v>2</v>
      </c>
      <c r="J67" s="62">
        <v>3.96</v>
      </c>
      <c r="K67" s="62">
        <v>2</v>
      </c>
      <c r="L67" s="64">
        <v>4.3600000000000003</v>
      </c>
      <c r="M67" s="62">
        <v>10.039999999999999</v>
      </c>
      <c r="N67" s="101">
        <v>2.13</v>
      </c>
      <c r="O67" s="110"/>
      <c r="Q67" t="s">
        <v>372</v>
      </c>
      <c r="R67" t="s">
        <v>372</v>
      </c>
    </row>
    <row r="68" spans="1:18" ht="24.95" customHeight="1" x14ac:dyDescent="0.2">
      <c r="A68" s="114">
        <v>80</v>
      </c>
      <c r="B68" s="63">
        <v>64</v>
      </c>
      <c r="C68" s="116" t="s">
        <v>362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0</v>
      </c>
      <c r="J68" s="62">
        <v>0</v>
      </c>
      <c r="K68" s="62">
        <v>0</v>
      </c>
      <c r="L68" s="64">
        <v>0</v>
      </c>
      <c r="M68" s="62">
        <v>0</v>
      </c>
      <c r="N68" s="101">
        <v>0</v>
      </c>
      <c r="O68" s="110"/>
      <c r="Q68" t="s">
        <v>372</v>
      </c>
    </row>
    <row r="69" spans="1:18" ht="24.95" customHeight="1" x14ac:dyDescent="0.2">
      <c r="A69" s="114">
        <v>72</v>
      </c>
      <c r="B69" s="63">
        <v>65</v>
      </c>
      <c r="C69" s="116" t="s">
        <v>404</v>
      </c>
      <c r="D69" s="70">
        <v>1</v>
      </c>
      <c r="E69" s="61">
        <v>1.81</v>
      </c>
      <c r="F69" s="61">
        <v>1</v>
      </c>
      <c r="G69" s="64">
        <v>2.0099999999999998</v>
      </c>
      <c r="H69" s="101">
        <v>1.81</v>
      </c>
      <c r="I69" s="105">
        <v>0</v>
      </c>
      <c r="J69" s="62">
        <v>0</v>
      </c>
      <c r="K69" s="62">
        <v>0</v>
      </c>
      <c r="L69" s="64">
        <v>0</v>
      </c>
      <c r="M69" s="62">
        <v>2.0099999999999998</v>
      </c>
      <c r="N69" s="101">
        <v>0</v>
      </c>
      <c r="O69" s="110"/>
    </row>
    <row r="70" spans="1:18" ht="24.95" customHeight="1" x14ac:dyDescent="0.2">
      <c r="A70" s="114">
        <v>70</v>
      </c>
      <c r="B70" s="63">
        <v>66</v>
      </c>
      <c r="C70" s="116" t="s">
        <v>405</v>
      </c>
      <c r="D70" s="70">
        <v>1</v>
      </c>
      <c r="E70" s="61">
        <v>2.25</v>
      </c>
      <c r="F70" s="61">
        <v>1</v>
      </c>
      <c r="G70" s="64">
        <v>2.4500000000000002</v>
      </c>
      <c r="H70" s="101">
        <v>2.25</v>
      </c>
      <c r="I70" s="105">
        <v>0</v>
      </c>
      <c r="J70" s="62">
        <v>0</v>
      </c>
      <c r="K70" s="62">
        <v>0</v>
      </c>
      <c r="L70" s="64">
        <v>0</v>
      </c>
      <c r="M70" s="62">
        <v>2.4500000000000002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66</v>
      </c>
      <c r="B71" s="63">
        <v>67</v>
      </c>
      <c r="C71" s="116" t="s">
        <v>406</v>
      </c>
      <c r="D71" s="70">
        <v>2</v>
      </c>
      <c r="E71" s="61">
        <v>1.82</v>
      </c>
      <c r="F71" s="61">
        <v>2</v>
      </c>
      <c r="G71" s="64">
        <v>2.2200000000000002</v>
      </c>
      <c r="H71" s="101">
        <v>0.92</v>
      </c>
      <c r="I71" s="105">
        <v>1</v>
      </c>
      <c r="J71" s="62">
        <v>0.82</v>
      </c>
      <c r="K71" s="62">
        <v>1</v>
      </c>
      <c r="L71" s="64">
        <v>1.02</v>
      </c>
      <c r="M71" s="62">
        <v>3.24</v>
      </c>
      <c r="N71" s="101">
        <v>0.82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73</v>
      </c>
      <c r="B72" s="63">
        <v>68</v>
      </c>
      <c r="C72" s="116" t="s">
        <v>407</v>
      </c>
      <c r="D72" s="70">
        <v>1</v>
      </c>
      <c r="E72" s="61">
        <v>1.72</v>
      </c>
      <c r="F72" s="61">
        <v>1</v>
      </c>
      <c r="G72" s="64">
        <v>1.92</v>
      </c>
      <c r="H72" s="101">
        <v>1.72</v>
      </c>
      <c r="I72" s="105">
        <v>0</v>
      </c>
      <c r="J72" s="62">
        <v>0</v>
      </c>
      <c r="K72" s="62">
        <v>0</v>
      </c>
      <c r="L72" s="64">
        <v>0</v>
      </c>
      <c r="M72" s="62">
        <v>1.92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</v>
      </c>
      <c r="B73" s="63">
        <v>69</v>
      </c>
      <c r="C73" s="116" t="s">
        <v>408</v>
      </c>
      <c r="D73" s="70">
        <v>3</v>
      </c>
      <c r="E73" s="61">
        <v>5.0599999999999996</v>
      </c>
      <c r="F73" s="61">
        <v>3</v>
      </c>
      <c r="G73" s="64">
        <v>5.66</v>
      </c>
      <c r="H73" s="101">
        <v>2.5299999999999998</v>
      </c>
      <c r="I73" s="105">
        <v>3</v>
      </c>
      <c r="J73" s="62">
        <v>5.67</v>
      </c>
      <c r="K73" s="62">
        <v>3</v>
      </c>
      <c r="L73" s="64">
        <v>6.27</v>
      </c>
      <c r="M73" s="62">
        <v>11.93</v>
      </c>
      <c r="N73" s="101">
        <v>2.6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63</v>
      </c>
      <c r="B74" s="63">
        <v>70</v>
      </c>
      <c r="C74" s="116" t="s">
        <v>259</v>
      </c>
      <c r="D74" s="70">
        <v>2</v>
      </c>
      <c r="E74" s="61">
        <v>3.56</v>
      </c>
      <c r="F74" s="61">
        <v>2</v>
      </c>
      <c r="G74" s="64">
        <v>3.96</v>
      </c>
      <c r="H74" s="101">
        <v>1.87</v>
      </c>
      <c r="I74" s="105">
        <v>0</v>
      </c>
      <c r="J74" s="62">
        <v>0</v>
      </c>
      <c r="K74" s="62">
        <v>0</v>
      </c>
      <c r="L74" s="64">
        <v>0</v>
      </c>
      <c r="M74" s="62">
        <v>3.96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64</v>
      </c>
      <c r="B75" s="63">
        <v>71</v>
      </c>
      <c r="C75" s="116" t="s">
        <v>409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2</v>
      </c>
      <c r="J75" s="62">
        <v>3.53</v>
      </c>
      <c r="K75" s="62">
        <v>2</v>
      </c>
      <c r="L75" s="64">
        <v>3.93</v>
      </c>
      <c r="M75" s="62">
        <v>3.93</v>
      </c>
      <c r="N75" s="101">
        <v>1.89</v>
      </c>
      <c r="O75" s="110"/>
      <c r="Q75" t="s">
        <v>372</v>
      </c>
    </row>
    <row r="76" spans="1:18" ht="24.95" customHeight="1" x14ac:dyDescent="0.2">
      <c r="A76" s="114">
        <v>22</v>
      </c>
      <c r="B76" s="63">
        <v>72</v>
      </c>
      <c r="C76" s="116" t="s">
        <v>410</v>
      </c>
      <c r="D76" s="70">
        <v>2</v>
      </c>
      <c r="E76" s="61">
        <v>4.63</v>
      </c>
      <c r="F76" s="61">
        <v>2</v>
      </c>
      <c r="G76" s="64">
        <v>5.03</v>
      </c>
      <c r="H76" s="101">
        <v>2.5499999999999998</v>
      </c>
      <c r="I76" s="105">
        <v>2</v>
      </c>
      <c r="J76" s="62">
        <v>4.3499999999999996</v>
      </c>
      <c r="K76" s="62">
        <v>2</v>
      </c>
      <c r="L76" s="64">
        <v>4.75</v>
      </c>
      <c r="M76" s="62">
        <v>9.7799999999999994</v>
      </c>
      <c r="N76" s="101">
        <v>2.2400000000000002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>
        <v>41</v>
      </c>
      <c r="B77" s="119">
        <v>73</v>
      </c>
      <c r="C77" s="145" t="s">
        <v>297</v>
      </c>
      <c r="D77" s="71">
        <v>2</v>
      </c>
      <c r="E77" s="69">
        <v>5.2</v>
      </c>
      <c r="F77" s="69">
        <v>2</v>
      </c>
      <c r="G77" s="102">
        <v>5.6</v>
      </c>
      <c r="H77" s="103">
        <v>3.13</v>
      </c>
      <c r="I77" s="106">
        <v>1</v>
      </c>
      <c r="J77" s="107">
        <v>1.92</v>
      </c>
      <c r="K77" s="107">
        <v>1</v>
      </c>
      <c r="L77" s="102">
        <v>2.12</v>
      </c>
      <c r="M77" s="107">
        <v>7.72</v>
      </c>
      <c r="N77" s="103">
        <v>1.92</v>
      </c>
      <c r="O77" s="111"/>
      <c r="Q77" t="s">
        <v>372</v>
      </c>
      <c r="R77" t="s">
        <v>372</v>
      </c>
    </row>
    <row r="78" spans="1:18" ht="24.95" customHeight="1" x14ac:dyDescent="0.2">
      <c r="A78" s="50">
        <v>56</v>
      </c>
      <c r="B78" s="50">
        <v>74</v>
      </c>
      <c r="C78" s="53" t="s">
        <v>411</v>
      </c>
      <c r="D78" s="49">
        <v>3</v>
      </c>
      <c r="E78" s="49">
        <v>2.98</v>
      </c>
      <c r="F78" s="49">
        <v>3</v>
      </c>
      <c r="G78" s="57">
        <v>3.58</v>
      </c>
      <c r="H78" s="58">
        <v>1.82</v>
      </c>
      <c r="I78" s="53">
        <v>1</v>
      </c>
      <c r="J78" s="53">
        <v>1.52</v>
      </c>
      <c r="K78" s="53">
        <v>1</v>
      </c>
      <c r="L78" s="57">
        <v>1.72</v>
      </c>
      <c r="M78" s="53">
        <v>5.3</v>
      </c>
      <c r="N78" s="58">
        <v>1.52</v>
      </c>
      <c r="O78" s="31"/>
      <c r="Q78" t="s">
        <v>372</v>
      </c>
      <c r="R78" t="s">
        <v>372</v>
      </c>
    </row>
    <row r="79" spans="1:18" ht="24.95" customHeight="1" x14ac:dyDescent="0.2">
      <c r="A79" s="63">
        <v>44</v>
      </c>
      <c r="B79" s="63">
        <v>75</v>
      </c>
      <c r="C79" s="62" t="s">
        <v>412</v>
      </c>
      <c r="D79" s="61">
        <v>2</v>
      </c>
      <c r="E79" s="61">
        <v>2.8</v>
      </c>
      <c r="F79" s="61">
        <v>2</v>
      </c>
      <c r="G79" s="64">
        <v>3.2</v>
      </c>
      <c r="H79" s="65">
        <v>1.93</v>
      </c>
      <c r="I79" s="62">
        <v>2</v>
      </c>
      <c r="J79" s="62">
        <v>3.5</v>
      </c>
      <c r="K79" s="62">
        <v>2</v>
      </c>
      <c r="L79" s="64">
        <v>3.9</v>
      </c>
      <c r="M79" s="62">
        <v>7.1</v>
      </c>
      <c r="N79" s="65">
        <v>1.78</v>
      </c>
      <c r="O79" s="27"/>
      <c r="Q79" t="s">
        <v>372</v>
      </c>
      <c r="R79" t="s">
        <v>372</v>
      </c>
    </row>
    <row r="80" spans="1:18" ht="24.95" customHeight="1" x14ac:dyDescent="0.2">
      <c r="A80" s="63">
        <v>62</v>
      </c>
      <c r="B80" s="63">
        <v>76</v>
      </c>
      <c r="C80" s="62" t="s">
        <v>413</v>
      </c>
      <c r="D80" s="61">
        <v>2</v>
      </c>
      <c r="E80" s="61">
        <v>3.98</v>
      </c>
      <c r="F80" s="61">
        <v>2</v>
      </c>
      <c r="G80" s="64">
        <v>4.38</v>
      </c>
      <c r="H80" s="65">
        <v>2.13</v>
      </c>
      <c r="I80" s="62">
        <v>0</v>
      </c>
      <c r="J80" s="62">
        <v>0</v>
      </c>
      <c r="K80" s="62">
        <v>0</v>
      </c>
      <c r="L80" s="64">
        <v>0</v>
      </c>
      <c r="M80" s="62">
        <v>4.38</v>
      </c>
      <c r="N80" s="65">
        <v>0</v>
      </c>
      <c r="O80" s="27"/>
      <c r="Q80" t="s">
        <v>372</v>
      </c>
      <c r="R80" t="s">
        <v>372</v>
      </c>
    </row>
    <row r="81" spans="1:15" ht="24.95" customHeight="1" x14ac:dyDescent="0.2">
      <c r="A81" s="61">
        <v>81</v>
      </c>
      <c r="B81" s="63">
        <v>77</v>
      </c>
      <c r="C81" s="62" t="s">
        <v>414</v>
      </c>
      <c r="D81" s="61">
        <v>0</v>
      </c>
      <c r="E81" s="61">
        <v>0</v>
      </c>
      <c r="F81" s="61">
        <v>0</v>
      </c>
      <c r="G81" s="64">
        <v>0</v>
      </c>
      <c r="H81" s="65">
        <v>0</v>
      </c>
      <c r="I81" s="62">
        <v>0</v>
      </c>
      <c r="J81" s="62">
        <v>0</v>
      </c>
      <c r="K81" s="62">
        <v>0</v>
      </c>
      <c r="L81" s="64">
        <v>0</v>
      </c>
      <c r="M81" s="62">
        <v>0</v>
      </c>
      <c r="N81" s="65">
        <v>0</v>
      </c>
      <c r="O81" s="27"/>
    </row>
    <row r="82" spans="1:15" ht="24.95" customHeight="1" x14ac:dyDescent="0.2">
      <c r="A82" s="61">
        <v>61</v>
      </c>
      <c r="B82" s="63">
        <v>78</v>
      </c>
      <c r="C82" s="62" t="s">
        <v>415</v>
      </c>
      <c r="D82" s="61">
        <v>2</v>
      </c>
      <c r="E82" s="61">
        <v>3.36</v>
      </c>
      <c r="F82" s="61">
        <v>2</v>
      </c>
      <c r="G82" s="64">
        <v>3.76</v>
      </c>
      <c r="H82" s="65">
        <v>1.75</v>
      </c>
      <c r="I82" s="62">
        <v>1</v>
      </c>
      <c r="J82" s="62">
        <v>0.45</v>
      </c>
      <c r="K82" s="62">
        <v>1</v>
      </c>
      <c r="L82" s="64">
        <v>0.65</v>
      </c>
      <c r="M82" s="62">
        <v>4.41</v>
      </c>
      <c r="N82" s="65">
        <v>0.45</v>
      </c>
      <c r="O82" s="27"/>
    </row>
    <row r="83" spans="1:15" ht="24.95" customHeight="1" x14ac:dyDescent="0.2">
      <c r="A83" s="61">
        <v>52</v>
      </c>
      <c r="B83" s="63">
        <v>79</v>
      </c>
      <c r="C83" s="62" t="s">
        <v>416</v>
      </c>
      <c r="D83" s="61">
        <v>2</v>
      </c>
      <c r="E83" s="61">
        <v>3.56</v>
      </c>
      <c r="F83" s="61">
        <v>2</v>
      </c>
      <c r="G83" s="64">
        <v>3.96</v>
      </c>
      <c r="H83" s="65">
        <v>1.87</v>
      </c>
      <c r="I83" s="62">
        <v>1</v>
      </c>
      <c r="J83" s="62">
        <v>1.7</v>
      </c>
      <c r="K83" s="62">
        <v>1</v>
      </c>
      <c r="L83" s="64">
        <v>1.9</v>
      </c>
      <c r="M83" s="62">
        <v>5.86</v>
      </c>
      <c r="N83" s="65">
        <v>1.7</v>
      </c>
      <c r="O83" s="27"/>
    </row>
    <row r="84" spans="1:15" ht="24.95" customHeight="1" x14ac:dyDescent="0.2">
      <c r="A84" s="61">
        <v>82</v>
      </c>
      <c r="B84" s="63">
        <v>80</v>
      </c>
      <c r="C84" s="62" t="s">
        <v>417</v>
      </c>
      <c r="D84" s="61">
        <v>0</v>
      </c>
      <c r="E84" s="61">
        <v>0</v>
      </c>
      <c r="F84" s="61">
        <v>0</v>
      </c>
      <c r="G84" s="64">
        <v>0</v>
      </c>
      <c r="H84" s="65">
        <v>0</v>
      </c>
      <c r="I84" s="62">
        <v>0</v>
      </c>
      <c r="J84" s="62">
        <v>0</v>
      </c>
      <c r="K84" s="62">
        <v>0</v>
      </c>
      <c r="L84" s="64">
        <v>0</v>
      </c>
      <c r="M84" s="62">
        <v>0</v>
      </c>
      <c r="N84" s="65">
        <v>0</v>
      </c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4">
    <sortCondition ref="B1:B84"/>
  </sortState>
  <pageMargins left="0.7" right="0.7" top="0.75" bottom="0.75" header="0.3" footer="0.3"/>
  <pageSetup scale="6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5EC4-EAD4-47EB-99EF-63C5F626455E}">
  <sheetPr codeName="Sheet16">
    <tabColor rgb="FFFF0000"/>
  </sheetPr>
  <dimension ref="A1:S651"/>
  <sheetViews>
    <sheetView zoomScaleNormal="100" workbookViewId="0">
      <selection activeCell="A2" sqref="A2:O7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27</v>
      </c>
      <c r="C2" s="134" t="s">
        <v>344</v>
      </c>
      <c r="D2" s="92">
        <v>7</v>
      </c>
      <c r="E2" s="49">
        <v>8.5</v>
      </c>
      <c r="F2" s="49">
        <v>7</v>
      </c>
      <c r="G2" s="57">
        <v>9.9</v>
      </c>
      <c r="H2" s="100">
        <v>2.2999999999999998</v>
      </c>
      <c r="I2" s="104">
        <v>4</v>
      </c>
      <c r="J2" s="53">
        <v>6.6</v>
      </c>
      <c r="K2" s="53">
        <v>4</v>
      </c>
      <c r="L2" s="57">
        <v>7.4</v>
      </c>
      <c r="M2" s="53">
        <v>17.3</v>
      </c>
      <c r="N2" s="100">
        <v>2.36</v>
      </c>
      <c r="O2" s="109"/>
    </row>
    <row r="3" spans="1:19" ht="24.95" customHeight="1" x14ac:dyDescent="0.2">
      <c r="A3" s="114">
        <v>2</v>
      </c>
      <c r="B3" s="63">
        <v>18</v>
      </c>
      <c r="C3" s="116" t="s">
        <v>340</v>
      </c>
      <c r="D3" s="70">
        <v>6</v>
      </c>
      <c r="E3" s="61">
        <v>7.5</v>
      </c>
      <c r="F3" s="61">
        <v>6</v>
      </c>
      <c r="G3" s="64">
        <v>8.6999999999999993</v>
      </c>
      <c r="H3" s="101">
        <v>2.02</v>
      </c>
      <c r="I3" s="105">
        <v>5</v>
      </c>
      <c r="J3" s="62">
        <v>6.86</v>
      </c>
      <c r="K3" s="62">
        <v>5</v>
      </c>
      <c r="L3" s="64">
        <v>7.86</v>
      </c>
      <c r="M3" s="62">
        <v>16.559999999999999</v>
      </c>
      <c r="N3" s="101">
        <v>2.2599999999999998</v>
      </c>
      <c r="O3" s="110"/>
    </row>
    <row r="4" spans="1:19" ht="24.95" customHeight="1" x14ac:dyDescent="0.2">
      <c r="A4" s="114">
        <v>3</v>
      </c>
      <c r="B4" s="63">
        <v>30</v>
      </c>
      <c r="C4" s="116" t="s">
        <v>345</v>
      </c>
      <c r="D4" s="70">
        <v>3</v>
      </c>
      <c r="E4" s="61">
        <v>5.44</v>
      </c>
      <c r="F4" s="61">
        <v>3</v>
      </c>
      <c r="G4" s="64">
        <v>6.04</v>
      </c>
      <c r="H4" s="101">
        <v>2.54</v>
      </c>
      <c r="I4" s="105">
        <v>6</v>
      </c>
      <c r="J4" s="62">
        <v>8.94</v>
      </c>
      <c r="K4" s="62">
        <v>6</v>
      </c>
      <c r="L4" s="64">
        <v>10.14</v>
      </c>
      <c r="M4" s="62">
        <v>16.18</v>
      </c>
      <c r="N4" s="101">
        <v>3.26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365</v>
      </c>
      <c r="D5" s="70">
        <v>4</v>
      </c>
      <c r="E5" s="61">
        <v>9.8000000000000007</v>
      </c>
      <c r="F5" s="61">
        <v>4</v>
      </c>
      <c r="G5" s="64">
        <v>10.6</v>
      </c>
      <c r="H5" s="101">
        <v>5.66</v>
      </c>
      <c r="I5" s="105">
        <v>3</v>
      </c>
      <c r="J5" s="62">
        <v>4.88</v>
      </c>
      <c r="K5" s="62">
        <v>3</v>
      </c>
      <c r="L5" s="64">
        <v>5.48</v>
      </c>
      <c r="M5" s="62">
        <v>16.079999999999998</v>
      </c>
      <c r="N5" s="101">
        <v>2.08</v>
      </c>
      <c r="O5" s="110"/>
      <c r="Q5" t="s">
        <v>372</v>
      </c>
    </row>
    <row r="6" spans="1:19" ht="24.95" customHeight="1" x14ac:dyDescent="0.2">
      <c r="A6" s="114">
        <v>5</v>
      </c>
      <c r="B6" s="63">
        <v>63</v>
      </c>
      <c r="C6" s="116" t="s">
        <v>197</v>
      </c>
      <c r="D6" s="70">
        <v>6</v>
      </c>
      <c r="E6" s="61">
        <v>8.8800000000000008</v>
      </c>
      <c r="F6" s="61">
        <v>6</v>
      </c>
      <c r="G6" s="64">
        <v>10.08</v>
      </c>
      <c r="H6" s="101">
        <v>2.38</v>
      </c>
      <c r="I6" s="105">
        <v>3</v>
      </c>
      <c r="J6" s="62">
        <v>4.9800000000000004</v>
      </c>
      <c r="K6" s="62">
        <v>3</v>
      </c>
      <c r="L6" s="64">
        <v>5.58</v>
      </c>
      <c r="M6" s="62">
        <v>15.66</v>
      </c>
      <c r="N6" s="101">
        <v>2.12</v>
      </c>
      <c r="O6" s="110"/>
    </row>
    <row r="7" spans="1:19" ht="24.95" customHeight="1" x14ac:dyDescent="0.2">
      <c r="A7" s="114">
        <v>6</v>
      </c>
      <c r="B7" s="63">
        <v>47</v>
      </c>
      <c r="C7" s="116" t="s">
        <v>330</v>
      </c>
      <c r="D7" s="70">
        <v>5</v>
      </c>
      <c r="E7" s="61">
        <v>6.94</v>
      </c>
      <c r="F7" s="61">
        <v>5</v>
      </c>
      <c r="G7" s="64">
        <v>7.94</v>
      </c>
      <c r="H7" s="101">
        <v>2.42</v>
      </c>
      <c r="I7" s="105">
        <v>3</v>
      </c>
      <c r="J7" s="62">
        <v>6.54</v>
      </c>
      <c r="K7" s="62">
        <v>3</v>
      </c>
      <c r="L7" s="64">
        <v>7.14</v>
      </c>
      <c r="M7" s="62">
        <v>15.08</v>
      </c>
      <c r="N7" s="101">
        <v>2.82</v>
      </c>
      <c r="O7" s="110"/>
    </row>
    <row r="8" spans="1:19" ht="24.95" customHeight="1" x14ac:dyDescent="0.2">
      <c r="A8" s="114">
        <v>7</v>
      </c>
      <c r="B8" s="63">
        <v>1</v>
      </c>
      <c r="C8" s="115" t="s">
        <v>335</v>
      </c>
      <c r="D8" s="70">
        <v>3</v>
      </c>
      <c r="E8" s="61">
        <v>5.88</v>
      </c>
      <c r="F8" s="61">
        <v>3</v>
      </c>
      <c r="G8" s="64">
        <v>6.48</v>
      </c>
      <c r="H8" s="101">
        <v>2.84</v>
      </c>
      <c r="I8" s="105">
        <v>4</v>
      </c>
      <c r="J8" s="62">
        <v>7.16</v>
      </c>
      <c r="K8" s="62">
        <v>4</v>
      </c>
      <c r="L8" s="64">
        <v>7.96</v>
      </c>
      <c r="M8" s="62">
        <v>14.44</v>
      </c>
      <c r="N8" s="101">
        <v>2.64</v>
      </c>
      <c r="O8" s="110"/>
    </row>
    <row r="9" spans="1:19" ht="24.95" customHeight="1" x14ac:dyDescent="0.2">
      <c r="A9" s="114">
        <v>8</v>
      </c>
      <c r="B9" s="63">
        <v>76</v>
      </c>
      <c r="C9" s="116" t="s">
        <v>371</v>
      </c>
      <c r="D9" s="70">
        <v>6</v>
      </c>
      <c r="E9" s="61">
        <v>7.78</v>
      </c>
      <c r="F9" s="61">
        <v>6</v>
      </c>
      <c r="G9" s="64">
        <v>8.98</v>
      </c>
      <c r="H9" s="101">
        <v>2.14</v>
      </c>
      <c r="I9" s="105">
        <v>3</v>
      </c>
      <c r="J9" s="62">
        <v>4.66</v>
      </c>
      <c r="K9" s="62">
        <v>3</v>
      </c>
      <c r="L9" s="64">
        <v>5.26</v>
      </c>
      <c r="M9" s="62">
        <v>14.24</v>
      </c>
      <c r="N9" s="101">
        <v>1.94</v>
      </c>
      <c r="O9" s="110"/>
    </row>
    <row r="10" spans="1:19" ht="24.95" customHeight="1" x14ac:dyDescent="0.2">
      <c r="A10" s="114">
        <v>9</v>
      </c>
      <c r="B10" s="63">
        <v>8</v>
      </c>
      <c r="C10" s="115" t="s">
        <v>288</v>
      </c>
      <c r="D10" s="70">
        <v>5</v>
      </c>
      <c r="E10" s="61">
        <v>7.82</v>
      </c>
      <c r="F10" s="61">
        <v>5</v>
      </c>
      <c r="G10" s="64">
        <v>8.82</v>
      </c>
      <c r="H10" s="101">
        <v>2.62</v>
      </c>
      <c r="I10" s="105">
        <v>2</v>
      </c>
      <c r="J10" s="62">
        <v>5</v>
      </c>
      <c r="K10" s="62">
        <v>2</v>
      </c>
      <c r="L10" s="64">
        <v>5.4</v>
      </c>
      <c r="M10" s="62">
        <v>14.22</v>
      </c>
      <c r="N10" s="101">
        <v>2.96</v>
      </c>
      <c r="O10" s="110"/>
    </row>
    <row r="11" spans="1:19" ht="24.95" customHeight="1" x14ac:dyDescent="0.2">
      <c r="A11" s="114">
        <v>10</v>
      </c>
      <c r="B11" s="63">
        <v>39</v>
      </c>
      <c r="C11" s="116" t="s">
        <v>349</v>
      </c>
      <c r="D11" s="70">
        <v>6</v>
      </c>
      <c r="E11" s="61">
        <v>8.56</v>
      </c>
      <c r="F11" s="61">
        <v>6</v>
      </c>
      <c r="G11" s="64">
        <v>9.76</v>
      </c>
      <c r="H11" s="101">
        <v>2.92</v>
      </c>
      <c r="I11" s="105">
        <v>2</v>
      </c>
      <c r="J11" s="62">
        <v>3.92</v>
      </c>
      <c r="K11" s="62">
        <v>2</v>
      </c>
      <c r="L11" s="64">
        <v>4.32</v>
      </c>
      <c r="M11" s="62">
        <v>14.08</v>
      </c>
      <c r="N11" s="101">
        <v>1.98</v>
      </c>
      <c r="O11" s="110"/>
      <c r="Q11" t="s">
        <v>372</v>
      </c>
    </row>
    <row r="12" spans="1:19" ht="24.95" customHeight="1" x14ac:dyDescent="0.2">
      <c r="A12" s="114">
        <v>11</v>
      </c>
      <c r="B12" s="63">
        <v>36</v>
      </c>
      <c r="C12" s="116" t="s">
        <v>225</v>
      </c>
      <c r="D12" s="70">
        <v>4</v>
      </c>
      <c r="E12" s="61">
        <v>6.36</v>
      </c>
      <c r="F12" s="61">
        <v>4</v>
      </c>
      <c r="G12" s="64">
        <v>7.16</v>
      </c>
      <c r="H12" s="101">
        <v>2.42</v>
      </c>
      <c r="I12" s="105">
        <v>4</v>
      </c>
      <c r="J12" s="62">
        <v>5.94</v>
      </c>
      <c r="K12" s="62">
        <v>4</v>
      </c>
      <c r="L12" s="64">
        <v>6.74</v>
      </c>
      <c r="M12" s="62">
        <v>13.9</v>
      </c>
      <c r="N12" s="101">
        <v>2.2000000000000002</v>
      </c>
      <c r="O12" s="110"/>
    </row>
    <row r="13" spans="1:19" ht="24.95" customHeight="1" x14ac:dyDescent="0.2">
      <c r="A13" s="114">
        <v>12</v>
      </c>
      <c r="B13" s="63">
        <v>40</v>
      </c>
      <c r="C13" s="116" t="s">
        <v>208</v>
      </c>
      <c r="D13" s="70">
        <v>4</v>
      </c>
      <c r="E13" s="61">
        <v>5.46</v>
      </c>
      <c r="F13" s="61">
        <v>4</v>
      </c>
      <c r="G13" s="64">
        <v>6.26</v>
      </c>
      <c r="H13" s="101">
        <v>1.84</v>
      </c>
      <c r="I13" s="105">
        <v>4</v>
      </c>
      <c r="J13" s="62">
        <v>6.28</v>
      </c>
      <c r="K13" s="62">
        <v>4</v>
      </c>
      <c r="L13" s="64">
        <v>7.08</v>
      </c>
      <c r="M13" s="62">
        <v>13.34</v>
      </c>
      <c r="N13" s="101">
        <v>2.2799999999999998</v>
      </c>
      <c r="O13" s="110"/>
    </row>
    <row r="14" spans="1:19" ht="24.95" customHeight="1" x14ac:dyDescent="0.2">
      <c r="A14" s="114">
        <v>13</v>
      </c>
      <c r="B14" s="63">
        <v>25</v>
      </c>
      <c r="C14" s="116" t="s">
        <v>298</v>
      </c>
      <c r="D14" s="70">
        <v>5</v>
      </c>
      <c r="E14" s="61">
        <v>6.46</v>
      </c>
      <c r="F14" s="61">
        <v>5</v>
      </c>
      <c r="G14" s="64">
        <v>7.46</v>
      </c>
      <c r="H14" s="101">
        <v>2.2799999999999998</v>
      </c>
      <c r="I14" s="105">
        <v>3</v>
      </c>
      <c r="J14" s="62">
        <v>5.0199999999999996</v>
      </c>
      <c r="K14" s="62">
        <v>3</v>
      </c>
      <c r="L14" s="64">
        <v>5.62</v>
      </c>
      <c r="M14" s="62">
        <v>13.08</v>
      </c>
      <c r="N14" s="101">
        <v>2.2400000000000002</v>
      </c>
      <c r="O14" s="110"/>
      <c r="Q14" t="s">
        <v>372</v>
      </c>
    </row>
    <row r="15" spans="1:19" ht="24.95" customHeight="1" x14ac:dyDescent="0.2">
      <c r="A15" s="114">
        <v>14</v>
      </c>
      <c r="B15" s="63">
        <v>42</v>
      </c>
      <c r="C15" s="116" t="s">
        <v>351</v>
      </c>
      <c r="D15" s="70">
        <v>2</v>
      </c>
      <c r="E15" s="61">
        <v>4.22</v>
      </c>
      <c r="F15" s="61">
        <v>2</v>
      </c>
      <c r="G15" s="64">
        <v>4.62</v>
      </c>
      <c r="H15" s="101">
        <v>2.2000000000000002</v>
      </c>
      <c r="I15" s="105">
        <v>5</v>
      </c>
      <c r="J15" s="62">
        <v>7.1</v>
      </c>
      <c r="K15" s="62">
        <v>5</v>
      </c>
      <c r="L15" s="64">
        <v>8.1</v>
      </c>
      <c r="M15" s="62">
        <v>12.72</v>
      </c>
      <c r="N15" s="101">
        <v>2.12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15</v>
      </c>
      <c r="B16" s="63">
        <v>20</v>
      </c>
      <c r="C16" s="116" t="s">
        <v>341</v>
      </c>
      <c r="D16" s="70">
        <v>2</v>
      </c>
      <c r="E16" s="61">
        <v>4.5999999999999996</v>
      </c>
      <c r="F16" s="61">
        <v>2</v>
      </c>
      <c r="G16" s="64">
        <v>5</v>
      </c>
      <c r="H16" s="101">
        <v>2.4</v>
      </c>
      <c r="I16" s="105">
        <v>4</v>
      </c>
      <c r="J16" s="62">
        <v>6.38</v>
      </c>
      <c r="K16" s="62">
        <v>4</v>
      </c>
      <c r="L16" s="64">
        <v>7.18</v>
      </c>
      <c r="M16" s="62">
        <v>12.18</v>
      </c>
      <c r="N16" s="101">
        <v>2.2200000000000002</v>
      </c>
      <c r="O16" s="110"/>
      <c r="Q16" t="s">
        <v>372</v>
      </c>
    </row>
    <row r="17" spans="1:18" ht="24.95" customHeight="1" x14ac:dyDescent="0.2">
      <c r="A17" s="114">
        <v>16</v>
      </c>
      <c r="B17" s="63">
        <v>29</v>
      </c>
      <c r="C17" s="116" t="s">
        <v>256</v>
      </c>
      <c r="D17" s="70">
        <v>5</v>
      </c>
      <c r="E17" s="61">
        <v>5.6</v>
      </c>
      <c r="F17" s="61">
        <v>5</v>
      </c>
      <c r="G17" s="64">
        <v>6.6</v>
      </c>
      <c r="H17" s="101">
        <v>1.96</v>
      </c>
      <c r="I17" s="105">
        <v>4</v>
      </c>
      <c r="J17" s="62">
        <v>4.58</v>
      </c>
      <c r="K17" s="62">
        <v>4</v>
      </c>
      <c r="L17" s="64">
        <v>5.38</v>
      </c>
      <c r="M17" s="62">
        <v>11.98</v>
      </c>
      <c r="N17" s="101">
        <v>2.48</v>
      </c>
      <c r="O17" s="110"/>
      <c r="Q17" t="s">
        <v>372</v>
      </c>
    </row>
    <row r="18" spans="1:18" ht="24.95" customHeight="1" x14ac:dyDescent="0.2">
      <c r="A18" s="114">
        <v>17</v>
      </c>
      <c r="B18" s="63">
        <v>49</v>
      </c>
      <c r="C18" s="116" t="s">
        <v>355</v>
      </c>
      <c r="D18" s="70">
        <v>3</v>
      </c>
      <c r="E18" s="61">
        <v>4.88</v>
      </c>
      <c r="F18" s="61">
        <v>3</v>
      </c>
      <c r="G18" s="64">
        <v>5.48</v>
      </c>
      <c r="H18" s="101">
        <v>1.9</v>
      </c>
      <c r="I18" s="105">
        <v>4</v>
      </c>
      <c r="J18" s="62">
        <v>5.42</v>
      </c>
      <c r="K18" s="62">
        <v>4</v>
      </c>
      <c r="L18" s="64">
        <v>6.22</v>
      </c>
      <c r="M18" s="62">
        <v>11.7</v>
      </c>
      <c r="N18" s="101">
        <v>2.3199999999999998</v>
      </c>
      <c r="O18" s="110"/>
    </row>
    <row r="19" spans="1:18" ht="24.95" customHeight="1" x14ac:dyDescent="0.2">
      <c r="A19" s="114">
        <v>18</v>
      </c>
      <c r="B19" s="63">
        <v>67</v>
      </c>
      <c r="C19" s="116" t="s">
        <v>367</v>
      </c>
      <c r="D19" s="70">
        <v>3</v>
      </c>
      <c r="E19" s="61">
        <v>6.28</v>
      </c>
      <c r="F19" s="61">
        <v>3</v>
      </c>
      <c r="G19" s="64">
        <v>6.88</v>
      </c>
      <c r="H19" s="101">
        <v>2.68</v>
      </c>
      <c r="I19" s="105">
        <v>2</v>
      </c>
      <c r="J19" s="62">
        <v>4.3600000000000003</v>
      </c>
      <c r="K19" s="62">
        <v>2</v>
      </c>
      <c r="L19" s="64">
        <v>4.76</v>
      </c>
      <c r="M19" s="62">
        <v>11.64</v>
      </c>
      <c r="N19" s="101">
        <v>2.36</v>
      </c>
      <c r="O19" s="110"/>
      <c r="Q19" t="s">
        <v>372</v>
      </c>
      <c r="R19" t="s">
        <v>372</v>
      </c>
    </row>
    <row r="20" spans="1:18" ht="24.95" customHeight="1" x14ac:dyDescent="0.2">
      <c r="A20" s="114">
        <v>19</v>
      </c>
      <c r="B20" s="63">
        <v>53</v>
      </c>
      <c r="C20" s="116" t="s">
        <v>326</v>
      </c>
      <c r="D20" s="70">
        <v>3</v>
      </c>
      <c r="E20" s="61">
        <v>4.0199999999999996</v>
      </c>
      <c r="F20" s="61">
        <v>3</v>
      </c>
      <c r="G20" s="64">
        <v>4.62</v>
      </c>
      <c r="H20" s="101">
        <v>1.94</v>
      </c>
      <c r="I20" s="105">
        <v>4</v>
      </c>
      <c r="J20" s="62">
        <v>5.98</v>
      </c>
      <c r="K20" s="62">
        <v>4</v>
      </c>
      <c r="L20" s="64">
        <v>6.78</v>
      </c>
      <c r="M20" s="62">
        <v>11.4</v>
      </c>
      <c r="N20" s="101">
        <v>2.1800000000000002</v>
      </c>
      <c r="O20" s="110"/>
      <c r="Q20" t="s">
        <v>372</v>
      </c>
    </row>
    <row r="21" spans="1:18" ht="24.95" customHeight="1" x14ac:dyDescent="0.2">
      <c r="A21" s="114">
        <v>20</v>
      </c>
      <c r="B21" s="63">
        <v>66</v>
      </c>
      <c r="C21" s="116" t="s">
        <v>212</v>
      </c>
      <c r="D21" s="70">
        <v>4</v>
      </c>
      <c r="E21" s="61">
        <v>5.92</v>
      </c>
      <c r="F21" s="61">
        <v>4</v>
      </c>
      <c r="G21" s="64">
        <v>6.72</v>
      </c>
      <c r="H21" s="101">
        <v>2.2599999999999998</v>
      </c>
      <c r="I21" s="105">
        <v>2</v>
      </c>
      <c r="J21" s="62">
        <v>4.16</v>
      </c>
      <c r="K21" s="62">
        <v>2</v>
      </c>
      <c r="L21" s="64">
        <v>4.5599999999999996</v>
      </c>
      <c r="M21" s="62">
        <v>11.28</v>
      </c>
      <c r="N21" s="101">
        <v>2.14</v>
      </c>
      <c r="O21" s="110"/>
      <c r="Q21" t="s">
        <v>372</v>
      </c>
      <c r="R21" t="s">
        <v>372</v>
      </c>
    </row>
    <row r="22" spans="1:18" ht="24.95" customHeight="1" x14ac:dyDescent="0.2">
      <c r="A22" s="114">
        <v>21</v>
      </c>
      <c r="B22" s="63">
        <v>35</v>
      </c>
      <c r="C22" s="116" t="s">
        <v>347</v>
      </c>
      <c r="D22" s="70">
        <v>2</v>
      </c>
      <c r="E22" s="61">
        <v>3.8</v>
      </c>
      <c r="F22" s="61">
        <v>2</v>
      </c>
      <c r="G22" s="64">
        <v>4.2</v>
      </c>
      <c r="H22" s="101">
        <v>1.92</v>
      </c>
      <c r="I22" s="105">
        <v>5</v>
      </c>
      <c r="J22" s="62">
        <v>5.92</v>
      </c>
      <c r="K22" s="62">
        <v>5</v>
      </c>
      <c r="L22" s="64">
        <v>6.92</v>
      </c>
      <c r="M22" s="62">
        <v>11.12</v>
      </c>
      <c r="N22" s="101">
        <v>1.98</v>
      </c>
      <c r="O22" s="110"/>
    </row>
    <row r="23" spans="1:18" ht="24.95" customHeight="1" x14ac:dyDescent="0.2">
      <c r="A23" s="114">
        <v>22</v>
      </c>
      <c r="B23" s="63">
        <v>28</v>
      </c>
      <c r="C23" s="116" t="s">
        <v>279</v>
      </c>
      <c r="D23" s="70">
        <v>4</v>
      </c>
      <c r="E23" s="61">
        <v>5.8</v>
      </c>
      <c r="F23" s="61">
        <v>4</v>
      </c>
      <c r="G23" s="64">
        <v>6.6</v>
      </c>
      <c r="H23" s="101">
        <v>2.1</v>
      </c>
      <c r="I23" s="105">
        <v>2</v>
      </c>
      <c r="J23" s="62">
        <v>4.04</v>
      </c>
      <c r="K23" s="62">
        <v>2</v>
      </c>
      <c r="L23" s="64">
        <v>4.4400000000000004</v>
      </c>
      <c r="M23" s="62">
        <v>11.04</v>
      </c>
      <c r="N23" s="101">
        <v>2.06</v>
      </c>
      <c r="O23" s="110"/>
    </row>
    <row r="24" spans="1:18" ht="24.95" customHeight="1" x14ac:dyDescent="0.2">
      <c r="A24" s="114">
        <v>23</v>
      </c>
      <c r="B24" s="63">
        <v>33</v>
      </c>
      <c r="C24" s="116" t="s">
        <v>210</v>
      </c>
      <c r="D24" s="70">
        <v>3</v>
      </c>
      <c r="E24" s="61">
        <v>5.0599999999999996</v>
      </c>
      <c r="F24" s="61">
        <v>3</v>
      </c>
      <c r="G24" s="64">
        <v>5.66</v>
      </c>
      <c r="H24" s="101">
        <v>2.14</v>
      </c>
      <c r="I24" s="105">
        <v>3</v>
      </c>
      <c r="J24" s="62">
        <v>4.5999999999999996</v>
      </c>
      <c r="K24" s="62">
        <v>3</v>
      </c>
      <c r="L24" s="64">
        <v>5.2</v>
      </c>
      <c r="M24" s="62">
        <v>10.86</v>
      </c>
      <c r="N24" s="101">
        <v>2.2400000000000002</v>
      </c>
      <c r="O24" s="110"/>
      <c r="Q24" t="s">
        <v>372</v>
      </c>
    </row>
    <row r="25" spans="1:18" ht="24.95" customHeight="1" x14ac:dyDescent="0.2">
      <c r="A25" s="114">
        <v>24</v>
      </c>
      <c r="B25" s="63">
        <v>71</v>
      </c>
      <c r="C25" s="116" t="s">
        <v>368</v>
      </c>
      <c r="D25" s="70">
        <v>2</v>
      </c>
      <c r="E25" s="61">
        <v>4.2</v>
      </c>
      <c r="F25" s="61">
        <v>2</v>
      </c>
      <c r="G25" s="64">
        <v>4.5999999999999996</v>
      </c>
      <c r="H25" s="101">
        <v>2.16</v>
      </c>
      <c r="I25" s="105">
        <v>4</v>
      </c>
      <c r="J25" s="62">
        <v>5.38</v>
      </c>
      <c r="K25" s="62">
        <v>4</v>
      </c>
      <c r="L25" s="64">
        <v>6.18</v>
      </c>
      <c r="M25" s="62">
        <v>10.78</v>
      </c>
      <c r="N25" s="101">
        <v>1.98</v>
      </c>
      <c r="O25" s="110"/>
    </row>
    <row r="26" spans="1:18" ht="24.95" customHeight="1" x14ac:dyDescent="0.2">
      <c r="A26" s="114">
        <v>25</v>
      </c>
      <c r="B26" s="63">
        <v>73</v>
      </c>
      <c r="C26" s="116" t="s">
        <v>370</v>
      </c>
      <c r="D26" s="70">
        <v>2</v>
      </c>
      <c r="E26" s="61">
        <v>5.46</v>
      </c>
      <c r="F26" s="61">
        <v>2</v>
      </c>
      <c r="G26" s="64">
        <v>5.86</v>
      </c>
      <c r="H26" s="101">
        <v>2.72</v>
      </c>
      <c r="I26" s="105">
        <v>2</v>
      </c>
      <c r="J26" s="62">
        <v>4.24</v>
      </c>
      <c r="K26" s="62">
        <v>2</v>
      </c>
      <c r="L26" s="64">
        <v>4.6399999999999997</v>
      </c>
      <c r="M26" s="62">
        <v>10.5</v>
      </c>
      <c r="N26" s="101">
        <v>2.16</v>
      </c>
      <c r="O26" s="110"/>
      <c r="Q26" t="s">
        <v>372</v>
      </c>
      <c r="R26" t="s">
        <v>372</v>
      </c>
    </row>
    <row r="27" spans="1:18" ht="24.95" customHeight="1" x14ac:dyDescent="0.2">
      <c r="A27" s="114">
        <v>26</v>
      </c>
      <c r="B27" s="63">
        <v>22</v>
      </c>
      <c r="C27" s="116" t="s">
        <v>343</v>
      </c>
      <c r="D27" s="70">
        <v>2</v>
      </c>
      <c r="E27" s="61">
        <v>4.22</v>
      </c>
      <c r="F27" s="61">
        <v>2</v>
      </c>
      <c r="G27" s="64">
        <v>4.62</v>
      </c>
      <c r="H27" s="101">
        <v>2.1800000000000002</v>
      </c>
      <c r="I27" s="105">
        <v>3</v>
      </c>
      <c r="J27" s="62">
        <v>5.14</v>
      </c>
      <c r="K27" s="62">
        <v>3</v>
      </c>
      <c r="L27" s="64">
        <v>5.74</v>
      </c>
      <c r="M27" s="62">
        <v>10.36</v>
      </c>
      <c r="N27" s="101">
        <v>2.14</v>
      </c>
      <c r="O27" s="110"/>
      <c r="Q27" t="s">
        <v>372</v>
      </c>
    </row>
    <row r="28" spans="1:18" ht="24.95" customHeight="1" x14ac:dyDescent="0.2">
      <c r="A28" s="114">
        <v>28</v>
      </c>
      <c r="B28" s="63">
        <v>3</v>
      </c>
      <c r="C28" s="116" t="s">
        <v>280</v>
      </c>
      <c r="D28" s="70">
        <v>4</v>
      </c>
      <c r="E28" s="61">
        <v>5.96</v>
      </c>
      <c r="F28" s="61">
        <v>4</v>
      </c>
      <c r="G28" s="64">
        <v>6.76</v>
      </c>
      <c r="H28" s="101">
        <v>2.14</v>
      </c>
      <c r="I28" s="105">
        <v>2</v>
      </c>
      <c r="J28" s="62">
        <v>3.16</v>
      </c>
      <c r="K28" s="62">
        <v>2</v>
      </c>
      <c r="L28" s="64">
        <v>3.56</v>
      </c>
      <c r="M28" s="62">
        <v>10.32</v>
      </c>
      <c r="N28" s="101">
        <v>2.2400000000000002</v>
      </c>
      <c r="O28" s="110"/>
      <c r="Q28" t="s">
        <v>372</v>
      </c>
      <c r="R28" t="s">
        <v>372</v>
      </c>
    </row>
    <row r="29" spans="1:18" ht="24.95" customHeight="1" x14ac:dyDescent="0.2">
      <c r="A29" s="114">
        <v>27</v>
      </c>
      <c r="B29" s="63">
        <v>17</v>
      </c>
      <c r="C29" s="116" t="s">
        <v>234</v>
      </c>
      <c r="D29" s="70">
        <v>3</v>
      </c>
      <c r="E29" s="61">
        <v>5</v>
      </c>
      <c r="F29" s="61">
        <v>3</v>
      </c>
      <c r="G29" s="64">
        <v>5.6</v>
      </c>
      <c r="H29" s="101">
        <v>2</v>
      </c>
      <c r="I29" s="105">
        <v>2</v>
      </c>
      <c r="J29" s="62">
        <v>4.32</v>
      </c>
      <c r="K29" s="62">
        <v>2</v>
      </c>
      <c r="L29" s="64">
        <v>4.72</v>
      </c>
      <c r="M29" s="62">
        <v>10.32</v>
      </c>
      <c r="N29" s="101">
        <v>2.3199999999999998</v>
      </c>
      <c r="O29" s="110"/>
      <c r="Q29" t="s">
        <v>372</v>
      </c>
      <c r="R29" t="s">
        <v>372</v>
      </c>
    </row>
    <row r="30" spans="1:18" ht="24.95" customHeight="1" x14ac:dyDescent="0.2">
      <c r="A30" s="114">
        <v>29</v>
      </c>
      <c r="B30" s="63">
        <v>5</v>
      </c>
      <c r="C30" s="116" t="s">
        <v>272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2.2599999999999998</v>
      </c>
      <c r="I30" s="105">
        <v>3</v>
      </c>
      <c r="J30" s="62">
        <v>5.12</v>
      </c>
      <c r="K30" s="62">
        <v>3</v>
      </c>
      <c r="L30" s="64">
        <v>5.72</v>
      </c>
      <c r="M30" s="62">
        <v>10.220000000000001</v>
      </c>
      <c r="N30" s="101">
        <v>2.16</v>
      </c>
      <c r="O30" s="110"/>
      <c r="Q30" t="s">
        <v>372</v>
      </c>
      <c r="R30" t="s">
        <v>372</v>
      </c>
    </row>
    <row r="31" spans="1:18" ht="24.95" customHeight="1" x14ac:dyDescent="0.2">
      <c r="A31" s="114">
        <v>30</v>
      </c>
      <c r="B31" s="63">
        <v>13</v>
      </c>
      <c r="C31" s="116" t="s">
        <v>310</v>
      </c>
      <c r="D31" s="70">
        <v>5</v>
      </c>
      <c r="E31" s="61">
        <v>6.4</v>
      </c>
      <c r="F31" s="61">
        <v>5</v>
      </c>
      <c r="G31" s="64">
        <v>7.4</v>
      </c>
      <c r="H31" s="101">
        <v>2.14</v>
      </c>
      <c r="I31" s="105">
        <v>1</v>
      </c>
      <c r="J31" s="62">
        <v>2.52</v>
      </c>
      <c r="K31" s="62">
        <v>1</v>
      </c>
      <c r="L31" s="64">
        <v>2.72</v>
      </c>
      <c r="M31" s="62">
        <v>10.119999999999999</v>
      </c>
      <c r="N31" s="101">
        <v>2.52</v>
      </c>
      <c r="O31" s="110"/>
      <c r="Q31" t="s">
        <v>372</v>
      </c>
      <c r="R31" t="s">
        <v>372</v>
      </c>
    </row>
    <row r="32" spans="1:18" ht="24.95" customHeight="1" x14ac:dyDescent="0.2">
      <c r="A32" s="70">
        <v>31</v>
      </c>
      <c r="B32" s="63">
        <v>13</v>
      </c>
      <c r="C32" s="116" t="s">
        <v>310</v>
      </c>
      <c r="D32" s="70">
        <v>5</v>
      </c>
      <c r="E32" s="61">
        <v>6.4</v>
      </c>
      <c r="F32" s="61">
        <v>5</v>
      </c>
      <c r="G32" s="64">
        <v>7.4</v>
      </c>
      <c r="H32" s="101">
        <v>2.14</v>
      </c>
      <c r="I32" s="105">
        <v>1</v>
      </c>
      <c r="J32" s="62">
        <v>2.52</v>
      </c>
      <c r="K32" s="62">
        <v>1</v>
      </c>
      <c r="L32" s="64">
        <v>2.72</v>
      </c>
      <c r="M32" s="62">
        <v>10.119999999999999</v>
      </c>
      <c r="N32" s="101">
        <v>2.52</v>
      </c>
      <c r="O32" s="110"/>
      <c r="Q32" t="s">
        <v>372</v>
      </c>
      <c r="R32" t="s">
        <v>372</v>
      </c>
    </row>
    <row r="33" spans="1:18" ht="24.95" customHeight="1" x14ac:dyDescent="0.2">
      <c r="A33" s="114">
        <v>32</v>
      </c>
      <c r="B33" s="63">
        <v>65</v>
      </c>
      <c r="C33" s="116" t="s">
        <v>366</v>
      </c>
      <c r="D33" s="70">
        <v>3</v>
      </c>
      <c r="E33" s="61">
        <v>4.82</v>
      </c>
      <c r="F33" s="61">
        <v>3</v>
      </c>
      <c r="G33" s="64">
        <v>5.42</v>
      </c>
      <c r="H33" s="101">
        <v>2.04</v>
      </c>
      <c r="I33" s="105">
        <v>2</v>
      </c>
      <c r="J33" s="62">
        <v>3.98</v>
      </c>
      <c r="K33" s="62">
        <v>2</v>
      </c>
      <c r="L33" s="64">
        <v>4.38</v>
      </c>
      <c r="M33" s="62">
        <v>9.8000000000000007</v>
      </c>
      <c r="N33" s="101">
        <v>2.16</v>
      </c>
      <c r="O33" s="110"/>
      <c r="Q33" t="s">
        <v>372</v>
      </c>
      <c r="R33" t="s">
        <v>372</v>
      </c>
    </row>
    <row r="34" spans="1:18" ht="24.95" customHeight="1" x14ac:dyDescent="0.2">
      <c r="A34" s="70">
        <v>33</v>
      </c>
      <c r="B34" s="63">
        <v>65</v>
      </c>
      <c r="C34" s="116" t="s">
        <v>366</v>
      </c>
      <c r="D34" s="70">
        <v>3</v>
      </c>
      <c r="E34" s="61">
        <v>4.82</v>
      </c>
      <c r="F34" s="61">
        <v>3</v>
      </c>
      <c r="G34" s="64">
        <v>5.42</v>
      </c>
      <c r="H34" s="101">
        <v>2.04</v>
      </c>
      <c r="I34" s="105">
        <v>2</v>
      </c>
      <c r="J34" s="62">
        <v>3.98</v>
      </c>
      <c r="K34" s="62">
        <v>2</v>
      </c>
      <c r="L34" s="64">
        <v>4.38</v>
      </c>
      <c r="M34" s="62">
        <v>9.8000000000000007</v>
      </c>
      <c r="N34" s="101">
        <v>2.16</v>
      </c>
      <c r="O34" s="110"/>
      <c r="Q34" t="s">
        <v>372</v>
      </c>
      <c r="R34" t="s">
        <v>372</v>
      </c>
    </row>
    <row r="35" spans="1:18" ht="24.95" customHeight="1" x14ac:dyDescent="0.2">
      <c r="A35" s="114">
        <v>34</v>
      </c>
      <c r="B35" s="63">
        <v>9</v>
      </c>
      <c r="C35" s="115" t="s">
        <v>284</v>
      </c>
      <c r="D35" s="70">
        <v>2</v>
      </c>
      <c r="E35" s="61">
        <v>4.34</v>
      </c>
      <c r="F35" s="61">
        <v>2</v>
      </c>
      <c r="G35" s="64">
        <v>4.74</v>
      </c>
      <c r="H35" s="101">
        <v>2.2200000000000002</v>
      </c>
      <c r="I35" s="105">
        <v>2</v>
      </c>
      <c r="J35" s="62">
        <v>4.4400000000000004</v>
      </c>
      <c r="K35" s="62">
        <v>2</v>
      </c>
      <c r="L35" s="64">
        <v>4.84</v>
      </c>
      <c r="M35" s="62">
        <v>9.58</v>
      </c>
      <c r="N35" s="101">
        <v>2.2200000000000002</v>
      </c>
      <c r="O35" s="110"/>
      <c r="Q35" t="s">
        <v>372</v>
      </c>
    </row>
    <row r="36" spans="1:18" ht="24.95" customHeight="1" x14ac:dyDescent="0.2">
      <c r="A36" s="70">
        <v>35</v>
      </c>
      <c r="B36" s="63">
        <v>9</v>
      </c>
      <c r="C36" s="115" t="s">
        <v>284</v>
      </c>
      <c r="D36" s="70">
        <v>2</v>
      </c>
      <c r="E36" s="61">
        <v>4.34</v>
      </c>
      <c r="F36" s="61">
        <v>2</v>
      </c>
      <c r="G36" s="64">
        <v>4.74</v>
      </c>
      <c r="H36" s="101">
        <v>2.2200000000000002</v>
      </c>
      <c r="I36" s="105">
        <v>2</v>
      </c>
      <c r="J36" s="62">
        <v>4.4400000000000004</v>
      </c>
      <c r="K36" s="62">
        <v>2</v>
      </c>
      <c r="L36" s="64">
        <v>4.84</v>
      </c>
      <c r="M36" s="62">
        <v>9.58</v>
      </c>
      <c r="N36" s="101">
        <v>2.2200000000000002</v>
      </c>
      <c r="O36" s="110"/>
      <c r="Q36" t="s">
        <v>372</v>
      </c>
      <c r="R36" t="s">
        <v>372</v>
      </c>
    </row>
    <row r="37" spans="1:18" ht="24.95" customHeight="1" x14ac:dyDescent="0.2">
      <c r="A37" s="114">
        <v>36</v>
      </c>
      <c r="B37" s="63">
        <v>44</v>
      </c>
      <c r="C37" s="116" t="s">
        <v>239</v>
      </c>
      <c r="D37" s="70">
        <v>2</v>
      </c>
      <c r="E37" s="61">
        <v>3.96</v>
      </c>
      <c r="F37" s="61">
        <v>2</v>
      </c>
      <c r="G37" s="64">
        <v>4.3600000000000003</v>
      </c>
      <c r="H37" s="101">
        <v>2</v>
      </c>
      <c r="I37" s="105">
        <v>2</v>
      </c>
      <c r="J37" s="62">
        <v>4.78</v>
      </c>
      <c r="K37" s="62">
        <v>2</v>
      </c>
      <c r="L37" s="64">
        <v>5.18</v>
      </c>
      <c r="M37" s="62">
        <v>9.5399999999999991</v>
      </c>
      <c r="N37" s="101">
        <v>2.64</v>
      </c>
      <c r="O37" s="110"/>
      <c r="Q37" t="s">
        <v>372</v>
      </c>
    </row>
    <row r="38" spans="1:18" ht="24.95" customHeight="1" x14ac:dyDescent="0.2">
      <c r="A38" s="70">
        <v>37</v>
      </c>
      <c r="B38" s="63">
        <v>44</v>
      </c>
      <c r="C38" s="116" t="s">
        <v>239</v>
      </c>
      <c r="D38" s="70">
        <v>2</v>
      </c>
      <c r="E38" s="61">
        <v>3.96</v>
      </c>
      <c r="F38" s="61">
        <v>2</v>
      </c>
      <c r="G38" s="64">
        <v>4.3600000000000003</v>
      </c>
      <c r="H38" s="101">
        <v>2</v>
      </c>
      <c r="I38" s="105">
        <v>2</v>
      </c>
      <c r="J38" s="62">
        <v>4.78</v>
      </c>
      <c r="K38" s="62">
        <v>2</v>
      </c>
      <c r="L38" s="64">
        <v>5.18</v>
      </c>
      <c r="M38" s="62">
        <v>9.5399999999999991</v>
      </c>
      <c r="N38" s="101">
        <v>2.64</v>
      </c>
      <c r="O38" s="110"/>
      <c r="Q38" t="s">
        <v>372</v>
      </c>
    </row>
    <row r="39" spans="1:18" ht="24.95" customHeight="1" x14ac:dyDescent="0.2">
      <c r="A39" s="114">
        <v>38</v>
      </c>
      <c r="B39" s="63">
        <v>37</v>
      </c>
      <c r="C39" s="116" t="s">
        <v>302</v>
      </c>
      <c r="D39" s="70">
        <v>2</v>
      </c>
      <c r="E39" s="61">
        <v>5.62</v>
      </c>
      <c r="F39" s="61">
        <v>2</v>
      </c>
      <c r="G39" s="64">
        <v>6.02</v>
      </c>
      <c r="H39" s="101">
        <v>3.54</v>
      </c>
      <c r="I39" s="105">
        <v>2</v>
      </c>
      <c r="J39" s="62">
        <v>3.06</v>
      </c>
      <c r="K39" s="62">
        <v>2</v>
      </c>
      <c r="L39" s="64">
        <v>3.46</v>
      </c>
      <c r="M39" s="62">
        <v>9.48</v>
      </c>
      <c r="N39" s="101">
        <v>1.96</v>
      </c>
      <c r="O39" s="110"/>
    </row>
    <row r="40" spans="1:18" ht="24.95" customHeight="1" x14ac:dyDescent="0.2">
      <c r="A40" s="114">
        <v>39</v>
      </c>
      <c r="B40" s="63">
        <v>54</v>
      </c>
      <c r="C40" s="116" t="s">
        <v>359</v>
      </c>
      <c r="D40" s="70">
        <v>3</v>
      </c>
      <c r="E40" s="61">
        <v>4.8</v>
      </c>
      <c r="F40" s="61">
        <v>3</v>
      </c>
      <c r="G40" s="64">
        <v>5.4</v>
      </c>
      <c r="H40" s="101">
        <v>1.94</v>
      </c>
      <c r="I40" s="105">
        <v>2</v>
      </c>
      <c r="J40" s="62">
        <v>3.66</v>
      </c>
      <c r="K40" s="62">
        <v>2</v>
      </c>
      <c r="L40" s="64">
        <v>4.0599999999999996</v>
      </c>
      <c r="M40" s="62">
        <v>9.4600000000000009</v>
      </c>
      <c r="N40" s="101">
        <v>1.9</v>
      </c>
      <c r="O40" s="110"/>
      <c r="Q40" t="s">
        <v>372</v>
      </c>
      <c r="R40" t="s">
        <v>372</v>
      </c>
    </row>
    <row r="41" spans="1:18" ht="24.95" customHeight="1" x14ac:dyDescent="0.2">
      <c r="A41" s="114">
        <v>40</v>
      </c>
      <c r="B41" s="63">
        <v>61</v>
      </c>
      <c r="C41" s="116" t="s">
        <v>363</v>
      </c>
      <c r="D41" s="70">
        <v>2</v>
      </c>
      <c r="E41" s="61">
        <v>4.5999999999999996</v>
      </c>
      <c r="F41" s="61">
        <v>2</v>
      </c>
      <c r="G41" s="64">
        <v>5</v>
      </c>
      <c r="H41" s="101">
        <v>2.5</v>
      </c>
      <c r="I41" s="105">
        <v>2</v>
      </c>
      <c r="J41" s="62">
        <v>3.94</v>
      </c>
      <c r="K41" s="62">
        <v>2</v>
      </c>
      <c r="L41" s="64">
        <v>4.34</v>
      </c>
      <c r="M41" s="62">
        <v>9.34</v>
      </c>
      <c r="N41" s="101">
        <v>1.98</v>
      </c>
      <c r="O41" s="110"/>
      <c r="Q41" t="s">
        <v>372</v>
      </c>
      <c r="R41" t="s">
        <v>372</v>
      </c>
    </row>
    <row r="42" spans="1:18" ht="24.95" customHeight="1" x14ac:dyDescent="0.2">
      <c r="A42" s="114">
        <v>42</v>
      </c>
      <c r="B42" s="63">
        <v>50</v>
      </c>
      <c r="C42" s="116" t="s">
        <v>356</v>
      </c>
      <c r="D42" s="70">
        <v>2</v>
      </c>
      <c r="E42" s="61">
        <v>3.88</v>
      </c>
      <c r="F42" s="61">
        <v>2</v>
      </c>
      <c r="G42" s="64">
        <v>4.28</v>
      </c>
      <c r="H42" s="101">
        <v>2.06</v>
      </c>
      <c r="I42" s="105">
        <v>2</v>
      </c>
      <c r="J42" s="62">
        <v>4.62</v>
      </c>
      <c r="K42" s="62">
        <v>2</v>
      </c>
      <c r="L42" s="64">
        <v>5.0199999999999996</v>
      </c>
      <c r="M42" s="62">
        <v>9.3000000000000007</v>
      </c>
      <c r="N42" s="101">
        <v>2.44</v>
      </c>
      <c r="O42" s="110"/>
      <c r="Q42" t="s">
        <v>372</v>
      </c>
      <c r="R42" t="s">
        <v>372</v>
      </c>
    </row>
    <row r="43" spans="1:18" ht="24.95" customHeight="1" x14ac:dyDescent="0.2">
      <c r="A43" s="114">
        <v>41</v>
      </c>
      <c r="B43" s="63">
        <v>56</v>
      </c>
      <c r="C43" s="116" t="s">
        <v>263</v>
      </c>
      <c r="D43" s="70">
        <v>2</v>
      </c>
      <c r="E43" s="61">
        <v>3.88</v>
      </c>
      <c r="F43" s="61">
        <v>2</v>
      </c>
      <c r="G43" s="64">
        <v>4.28</v>
      </c>
      <c r="H43" s="101">
        <v>1.96</v>
      </c>
      <c r="I43" s="105">
        <v>2</v>
      </c>
      <c r="J43" s="62">
        <v>4.62</v>
      </c>
      <c r="K43" s="62">
        <v>2</v>
      </c>
      <c r="L43" s="64">
        <v>5.0199999999999996</v>
      </c>
      <c r="M43" s="62">
        <v>9.3000000000000007</v>
      </c>
      <c r="N43" s="101">
        <v>2.64</v>
      </c>
      <c r="O43" s="110"/>
    </row>
    <row r="44" spans="1:18" ht="24.95" customHeight="1" x14ac:dyDescent="0.2">
      <c r="A44" s="114">
        <v>43</v>
      </c>
      <c r="B44" s="63">
        <v>12</v>
      </c>
      <c r="C44" s="116" t="s">
        <v>224</v>
      </c>
      <c r="D44" s="70">
        <v>2</v>
      </c>
      <c r="E44" s="61">
        <v>4.08</v>
      </c>
      <c r="F44" s="61">
        <v>2</v>
      </c>
      <c r="G44" s="64">
        <v>4.4800000000000004</v>
      </c>
      <c r="H44" s="101">
        <v>2.1800000000000002</v>
      </c>
      <c r="I44" s="105">
        <v>2</v>
      </c>
      <c r="J44" s="62">
        <v>4.08</v>
      </c>
      <c r="K44" s="62">
        <v>2</v>
      </c>
      <c r="L44" s="64">
        <v>4.4800000000000004</v>
      </c>
      <c r="M44" s="62">
        <v>8.9600000000000009</v>
      </c>
      <c r="N44" s="101">
        <v>2.12</v>
      </c>
      <c r="O44" s="110"/>
      <c r="Q44" t="s">
        <v>372</v>
      </c>
      <c r="R44" t="s">
        <v>372</v>
      </c>
    </row>
    <row r="45" spans="1:18" ht="24.95" customHeight="1" x14ac:dyDescent="0.2">
      <c r="A45" s="114">
        <v>44</v>
      </c>
      <c r="B45" s="63">
        <v>58</v>
      </c>
      <c r="C45" s="116" t="s">
        <v>361</v>
      </c>
      <c r="D45" s="70">
        <v>2</v>
      </c>
      <c r="E45" s="61">
        <v>4.54</v>
      </c>
      <c r="F45" s="61">
        <v>2</v>
      </c>
      <c r="G45" s="64">
        <v>4.9400000000000004</v>
      </c>
      <c r="H45" s="101">
        <v>2.52</v>
      </c>
      <c r="I45" s="105">
        <v>2</v>
      </c>
      <c r="J45" s="62">
        <v>3.6</v>
      </c>
      <c r="K45" s="62">
        <v>2</v>
      </c>
      <c r="L45" s="64">
        <v>4</v>
      </c>
      <c r="M45" s="62">
        <v>8.94</v>
      </c>
      <c r="N45" s="101">
        <v>1.84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45</v>
      </c>
      <c r="B46" s="63">
        <v>16</v>
      </c>
      <c r="C46" s="116" t="s">
        <v>339</v>
      </c>
      <c r="D46" s="70">
        <v>2</v>
      </c>
      <c r="E46" s="61">
        <v>4.1399999999999997</v>
      </c>
      <c r="F46" s="61">
        <v>2</v>
      </c>
      <c r="G46" s="64">
        <v>4.54</v>
      </c>
      <c r="H46" s="101">
        <v>2.2999999999999998</v>
      </c>
      <c r="I46" s="105">
        <v>2</v>
      </c>
      <c r="J46" s="62">
        <v>3.96</v>
      </c>
      <c r="K46" s="62">
        <v>1</v>
      </c>
      <c r="L46" s="64">
        <v>4.16</v>
      </c>
      <c r="M46" s="62">
        <v>8.6999999999999993</v>
      </c>
      <c r="N46" s="101">
        <v>2.1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46</v>
      </c>
      <c r="B47" s="63">
        <v>11</v>
      </c>
      <c r="C47" s="116" t="s">
        <v>219</v>
      </c>
      <c r="D47" s="70">
        <v>2</v>
      </c>
      <c r="E47" s="61">
        <v>3.9</v>
      </c>
      <c r="F47" s="61">
        <v>2</v>
      </c>
      <c r="G47" s="64">
        <v>4.3</v>
      </c>
      <c r="H47" s="101">
        <v>2.2999999999999998</v>
      </c>
      <c r="I47" s="105">
        <v>2</v>
      </c>
      <c r="J47" s="62">
        <v>3.72</v>
      </c>
      <c r="K47" s="62">
        <v>2</v>
      </c>
      <c r="L47" s="64">
        <v>4.12</v>
      </c>
      <c r="M47" s="62">
        <v>8.42</v>
      </c>
      <c r="N47" s="101">
        <v>1.94</v>
      </c>
      <c r="O47" s="110"/>
      <c r="Q47" t="s">
        <v>372</v>
      </c>
      <c r="R47" t="s">
        <v>372</v>
      </c>
    </row>
    <row r="48" spans="1:18" ht="24.95" customHeight="1" x14ac:dyDescent="0.2">
      <c r="A48" s="114">
        <v>47</v>
      </c>
      <c r="B48" s="63">
        <v>34</v>
      </c>
      <c r="C48" s="116" t="s">
        <v>323</v>
      </c>
      <c r="D48" s="70">
        <v>3</v>
      </c>
      <c r="E48" s="61">
        <v>4.92</v>
      </c>
      <c r="F48" s="61">
        <v>3</v>
      </c>
      <c r="G48" s="64">
        <v>5.52</v>
      </c>
      <c r="H48" s="101">
        <v>1.96</v>
      </c>
      <c r="I48" s="105">
        <v>1</v>
      </c>
      <c r="J48" s="62">
        <v>2.4</v>
      </c>
      <c r="K48" s="62">
        <v>1</v>
      </c>
      <c r="L48" s="64">
        <v>2.6</v>
      </c>
      <c r="M48" s="62">
        <v>8.1199999999999992</v>
      </c>
      <c r="N48" s="101">
        <v>2.4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48</v>
      </c>
      <c r="B49" s="63">
        <v>45</v>
      </c>
      <c r="C49" s="116" t="s">
        <v>353</v>
      </c>
      <c r="D49" s="70">
        <v>2</v>
      </c>
      <c r="E49" s="61">
        <v>3.14</v>
      </c>
      <c r="F49" s="61">
        <v>2</v>
      </c>
      <c r="G49" s="64">
        <v>3.54</v>
      </c>
      <c r="H49" s="101">
        <v>2.14</v>
      </c>
      <c r="I49" s="105">
        <v>2</v>
      </c>
      <c r="J49" s="62">
        <v>4.0599999999999996</v>
      </c>
      <c r="K49" s="62">
        <v>2</v>
      </c>
      <c r="L49" s="64">
        <v>4.46</v>
      </c>
      <c r="M49" s="62">
        <v>8</v>
      </c>
      <c r="N49" s="101">
        <v>2.3199999999999998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49</v>
      </c>
      <c r="B50" s="63">
        <v>4</v>
      </c>
      <c r="C50" s="115" t="s">
        <v>202</v>
      </c>
      <c r="D50" s="70">
        <v>3</v>
      </c>
      <c r="E50" s="61">
        <v>5.24</v>
      </c>
      <c r="F50" s="61">
        <v>3</v>
      </c>
      <c r="G50" s="64">
        <v>5.84</v>
      </c>
      <c r="H50" s="101">
        <v>2.5</v>
      </c>
      <c r="I50" s="105">
        <v>1</v>
      </c>
      <c r="J50" s="62">
        <v>1.94</v>
      </c>
      <c r="K50" s="62">
        <v>1</v>
      </c>
      <c r="L50" s="64">
        <v>2.14</v>
      </c>
      <c r="M50" s="62">
        <v>7.98</v>
      </c>
      <c r="N50" s="101">
        <v>1.94</v>
      </c>
      <c r="O50" s="110"/>
      <c r="Q50" t="s">
        <v>372</v>
      </c>
    </row>
    <row r="51" spans="1:18" ht="24.95" customHeight="1" x14ac:dyDescent="0.2">
      <c r="A51" s="114">
        <v>50</v>
      </c>
      <c r="B51" s="63">
        <v>6</v>
      </c>
      <c r="C51" s="115" t="s">
        <v>287</v>
      </c>
      <c r="D51" s="70">
        <v>1</v>
      </c>
      <c r="E51" s="61">
        <v>2.44</v>
      </c>
      <c r="F51" s="61">
        <v>1</v>
      </c>
      <c r="G51" s="64">
        <v>2.64</v>
      </c>
      <c r="H51" s="101">
        <v>2.44</v>
      </c>
      <c r="I51" s="105">
        <v>2</v>
      </c>
      <c r="J51" s="62">
        <v>4.92</v>
      </c>
      <c r="K51" s="62">
        <v>2</v>
      </c>
      <c r="L51" s="64">
        <v>5.32</v>
      </c>
      <c r="M51" s="62">
        <v>7.96</v>
      </c>
      <c r="N51" s="101">
        <v>2.5</v>
      </c>
      <c r="O51" s="110"/>
      <c r="Q51" t="s">
        <v>372</v>
      </c>
      <c r="R51" t="s">
        <v>372</v>
      </c>
    </row>
    <row r="52" spans="1:18" ht="24.95" customHeight="1" x14ac:dyDescent="0.2">
      <c r="A52" s="114">
        <v>51</v>
      </c>
      <c r="B52" s="63">
        <v>52</v>
      </c>
      <c r="C52" s="116" t="s">
        <v>358</v>
      </c>
      <c r="D52" s="70">
        <v>3</v>
      </c>
      <c r="E52" s="61">
        <v>4.82</v>
      </c>
      <c r="F52" s="61">
        <v>3</v>
      </c>
      <c r="G52" s="64">
        <v>5.42</v>
      </c>
      <c r="H52" s="101">
        <v>1.98</v>
      </c>
      <c r="I52" s="105">
        <v>2</v>
      </c>
      <c r="J52" s="62">
        <v>1.9</v>
      </c>
      <c r="K52" s="62">
        <v>2</v>
      </c>
      <c r="L52" s="64">
        <v>2.2999999999999998</v>
      </c>
      <c r="M52" s="62">
        <v>7.72</v>
      </c>
      <c r="N52" s="101">
        <v>1.02</v>
      </c>
      <c r="O52" s="110"/>
      <c r="Q52" t="s">
        <v>372</v>
      </c>
      <c r="R52" t="s">
        <v>372</v>
      </c>
    </row>
    <row r="53" spans="1:18" ht="24.95" customHeight="1" x14ac:dyDescent="0.2">
      <c r="A53" s="114">
        <v>52</v>
      </c>
      <c r="B53" s="63">
        <v>24</v>
      </c>
      <c r="C53" s="116" t="s">
        <v>253</v>
      </c>
      <c r="D53" s="70">
        <v>2</v>
      </c>
      <c r="E53" s="61">
        <v>3.04</v>
      </c>
      <c r="F53" s="61">
        <v>2</v>
      </c>
      <c r="G53" s="64">
        <v>3.44</v>
      </c>
      <c r="H53" s="101">
        <v>2.2799999999999998</v>
      </c>
      <c r="I53" s="105">
        <v>2</v>
      </c>
      <c r="J53" s="62">
        <v>3.86</v>
      </c>
      <c r="K53" s="62">
        <v>2</v>
      </c>
      <c r="L53" s="64">
        <v>4.26</v>
      </c>
      <c r="M53" s="62">
        <v>7.7</v>
      </c>
      <c r="N53" s="101">
        <v>2.12</v>
      </c>
      <c r="O53" s="110"/>
      <c r="Q53" t="s">
        <v>372</v>
      </c>
      <c r="R53" t="s">
        <v>372</v>
      </c>
    </row>
    <row r="54" spans="1:18" ht="24.95" customHeight="1" x14ac:dyDescent="0.2">
      <c r="A54" s="114">
        <v>53</v>
      </c>
      <c r="B54" s="63">
        <v>51</v>
      </c>
      <c r="C54" s="116" t="s">
        <v>357</v>
      </c>
      <c r="D54" s="70">
        <v>1</v>
      </c>
      <c r="E54" s="61">
        <v>2</v>
      </c>
      <c r="F54" s="61">
        <v>1</v>
      </c>
      <c r="G54" s="64">
        <v>2.2000000000000002</v>
      </c>
      <c r="H54" s="101">
        <v>2</v>
      </c>
      <c r="I54" s="105">
        <v>2</v>
      </c>
      <c r="J54" s="62">
        <v>4.66</v>
      </c>
      <c r="K54" s="62">
        <v>2</v>
      </c>
      <c r="L54" s="64">
        <v>5.0599999999999996</v>
      </c>
      <c r="M54" s="62">
        <v>7.26</v>
      </c>
      <c r="N54" s="101">
        <v>2.56</v>
      </c>
      <c r="O54" s="110"/>
      <c r="Q54" t="s">
        <v>372</v>
      </c>
    </row>
    <row r="55" spans="1:18" ht="24.95" customHeight="1" x14ac:dyDescent="0.2">
      <c r="A55" s="114">
        <v>54</v>
      </c>
      <c r="B55" s="63">
        <v>43</v>
      </c>
      <c r="C55" s="116" t="s">
        <v>352</v>
      </c>
      <c r="D55" s="70">
        <v>1</v>
      </c>
      <c r="E55" s="61">
        <v>1.88</v>
      </c>
      <c r="F55" s="61">
        <v>1</v>
      </c>
      <c r="G55" s="64">
        <v>2.08</v>
      </c>
      <c r="H55" s="101">
        <v>1.88</v>
      </c>
      <c r="I55" s="105">
        <v>3</v>
      </c>
      <c r="J55" s="62">
        <v>4.42</v>
      </c>
      <c r="K55" s="62">
        <v>3</v>
      </c>
      <c r="L55" s="64">
        <v>5.0199999999999996</v>
      </c>
      <c r="M55" s="62">
        <v>7.1</v>
      </c>
      <c r="N55" s="101">
        <v>1.94</v>
      </c>
      <c r="O55" s="110"/>
      <c r="Q55" t="s">
        <v>372</v>
      </c>
      <c r="R55" t="s">
        <v>372</v>
      </c>
    </row>
    <row r="56" spans="1:18" ht="24.95" customHeight="1" x14ac:dyDescent="0.2">
      <c r="A56" s="114">
        <v>55</v>
      </c>
      <c r="B56" s="63">
        <v>23</v>
      </c>
      <c r="C56" s="116" t="s">
        <v>296</v>
      </c>
      <c r="D56" s="70">
        <v>2</v>
      </c>
      <c r="E56" s="61">
        <v>4.4800000000000004</v>
      </c>
      <c r="F56" s="61">
        <v>2</v>
      </c>
      <c r="G56" s="64">
        <v>4.88</v>
      </c>
      <c r="H56" s="101">
        <v>2.38</v>
      </c>
      <c r="I56" s="105">
        <v>1</v>
      </c>
      <c r="J56" s="62">
        <v>1.94</v>
      </c>
      <c r="K56" s="62">
        <v>1</v>
      </c>
      <c r="L56" s="64">
        <v>2.14</v>
      </c>
      <c r="M56" s="62">
        <v>7.02</v>
      </c>
      <c r="N56" s="101">
        <v>1.94</v>
      </c>
      <c r="O56" s="110"/>
      <c r="Q56" t="s">
        <v>372</v>
      </c>
      <c r="R56" t="s">
        <v>372</v>
      </c>
    </row>
    <row r="57" spans="1:18" ht="24.95" customHeight="1" x14ac:dyDescent="0.2">
      <c r="A57" s="114">
        <v>57</v>
      </c>
      <c r="B57" s="63">
        <v>21</v>
      </c>
      <c r="C57" s="116" t="s">
        <v>342</v>
      </c>
      <c r="D57" s="70">
        <v>1</v>
      </c>
      <c r="E57" s="61">
        <v>1.88</v>
      </c>
      <c r="F57" s="61">
        <v>1</v>
      </c>
      <c r="G57" s="64">
        <v>2.08</v>
      </c>
      <c r="H57" s="101">
        <v>1.88</v>
      </c>
      <c r="I57" s="105">
        <v>2</v>
      </c>
      <c r="J57" s="62">
        <v>4.26</v>
      </c>
      <c r="K57" s="62">
        <v>2</v>
      </c>
      <c r="L57" s="64">
        <v>4.66</v>
      </c>
      <c r="M57" s="62">
        <v>6.74</v>
      </c>
      <c r="N57" s="101">
        <v>2.2200000000000002</v>
      </c>
      <c r="O57" s="110"/>
      <c r="Q57" t="s">
        <v>372</v>
      </c>
      <c r="R57" t="s">
        <v>372</v>
      </c>
    </row>
    <row r="58" spans="1:18" ht="24.95" customHeight="1" x14ac:dyDescent="0.2">
      <c r="A58" s="114">
        <v>56</v>
      </c>
      <c r="B58" s="63">
        <v>74</v>
      </c>
      <c r="C58" s="116" t="s">
        <v>226</v>
      </c>
      <c r="D58" s="70">
        <v>1</v>
      </c>
      <c r="E58" s="61">
        <v>2.02</v>
      </c>
      <c r="F58" s="61">
        <v>1</v>
      </c>
      <c r="G58" s="64">
        <v>2.2200000000000002</v>
      </c>
      <c r="H58" s="101">
        <v>2.02</v>
      </c>
      <c r="I58" s="105">
        <v>2</v>
      </c>
      <c r="J58" s="62">
        <v>4.12</v>
      </c>
      <c r="K58" s="62">
        <v>2</v>
      </c>
      <c r="L58" s="64">
        <v>4.5199999999999996</v>
      </c>
      <c r="M58" s="62">
        <v>6.74</v>
      </c>
      <c r="N58" s="101">
        <v>2.3199999999999998</v>
      </c>
      <c r="O58" s="110"/>
      <c r="Q58" t="s">
        <v>372</v>
      </c>
      <c r="R58" t="s">
        <v>372</v>
      </c>
    </row>
    <row r="59" spans="1:18" ht="24.95" customHeight="1" x14ac:dyDescent="0.2">
      <c r="A59" s="114">
        <v>58</v>
      </c>
      <c r="B59" s="63">
        <v>46</v>
      </c>
      <c r="C59" s="116" t="s">
        <v>354</v>
      </c>
      <c r="D59" s="70">
        <v>2</v>
      </c>
      <c r="E59" s="61">
        <v>3.98</v>
      </c>
      <c r="F59" s="61">
        <v>2</v>
      </c>
      <c r="G59" s="64">
        <v>4.38</v>
      </c>
      <c r="H59" s="101">
        <v>2.02</v>
      </c>
      <c r="I59" s="105">
        <v>1</v>
      </c>
      <c r="J59" s="62">
        <v>2.06</v>
      </c>
      <c r="K59" s="62">
        <v>1</v>
      </c>
      <c r="L59" s="64">
        <v>2.2599999999999998</v>
      </c>
      <c r="M59" s="62">
        <v>6.64</v>
      </c>
      <c r="N59" s="101">
        <v>2.06</v>
      </c>
      <c r="O59" s="110"/>
      <c r="Q59" t="s">
        <v>372</v>
      </c>
      <c r="R59" t="s">
        <v>372</v>
      </c>
    </row>
    <row r="60" spans="1:18" ht="24.95" customHeight="1" x14ac:dyDescent="0.2">
      <c r="A60" s="114">
        <v>59</v>
      </c>
      <c r="B60" s="63">
        <v>14</v>
      </c>
      <c r="C60" s="116" t="s">
        <v>258</v>
      </c>
      <c r="D60" s="70">
        <v>2</v>
      </c>
      <c r="E60" s="61">
        <v>4.76</v>
      </c>
      <c r="F60" s="61">
        <v>2</v>
      </c>
      <c r="G60" s="64">
        <v>5.16</v>
      </c>
      <c r="H60" s="101">
        <v>2.68</v>
      </c>
      <c r="I60" s="105">
        <v>1</v>
      </c>
      <c r="J60" s="62">
        <v>1</v>
      </c>
      <c r="K60" s="62">
        <v>1</v>
      </c>
      <c r="L60" s="64">
        <v>1.2</v>
      </c>
      <c r="M60" s="62">
        <v>6.36</v>
      </c>
      <c r="N60" s="101">
        <v>1</v>
      </c>
      <c r="O60" s="110"/>
      <c r="Q60" t="s">
        <v>372</v>
      </c>
      <c r="R60" t="s">
        <v>372</v>
      </c>
    </row>
    <row r="61" spans="1:18" ht="24.95" customHeight="1" x14ac:dyDescent="0.2">
      <c r="A61" s="114">
        <v>60</v>
      </c>
      <c r="B61" s="63">
        <v>26</v>
      </c>
      <c r="C61" s="116" t="s">
        <v>246</v>
      </c>
      <c r="D61" s="70">
        <v>2</v>
      </c>
      <c r="E61" s="61">
        <v>3.98</v>
      </c>
      <c r="F61" s="61">
        <v>2</v>
      </c>
      <c r="G61" s="64">
        <v>4.38</v>
      </c>
      <c r="H61" s="101">
        <v>2.12</v>
      </c>
      <c r="I61" s="105">
        <v>1</v>
      </c>
      <c r="J61" s="62">
        <v>0.8</v>
      </c>
      <c r="K61" s="62">
        <v>1</v>
      </c>
      <c r="L61" s="64">
        <v>1</v>
      </c>
      <c r="M61" s="62">
        <v>5.38</v>
      </c>
      <c r="N61" s="101">
        <v>0.8</v>
      </c>
      <c r="O61" s="110"/>
      <c r="Q61" t="s">
        <v>372</v>
      </c>
    </row>
    <row r="62" spans="1:18" ht="24.95" customHeight="1" x14ac:dyDescent="0.2">
      <c r="A62" s="114">
        <v>61</v>
      </c>
      <c r="B62" s="63">
        <v>10</v>
      </c>
      <c r="C62" s="116" t="s">
        <v>337</v>
      </c>
      <c r="D62" s="70">
        <v>2</v>
      </c>
      <c r="E62" s="61">
        <v>3.7</v>
      </c>
      <c r="F62" s="61">
        <v>2</v>
      </c>
      <c r="G62" s="64">
        <v>4.0999999999999996</v>
      </c>
      <c r="H62" s="101">
        <v>1.78</v>
      </c>
      <c r="I62" s="105">
        <v>1</v>
      </c>
      <c r="J62" s="62">
        <v>0.96</v>
      </c>
      <c r="K62" s="62">
        <v>1</v>
      </c>
      <c r="L62" s="64">
        <v>1.1599999999999999</v>
      </c>
      <c r="M62" s="62">
        <v>5.26</v>
      </c>
      <c r="N62" s="101">
        <v>0.96</v>
      </c>
      <c r="O62" s="110"/>
      <c r="Q62" t="s">
        <v>372</v>
      </c>
      <c r="R62" t="s">
        <v>372</v>
      </c>
    </row>
    <row r="63" spans="1:18" ht="24.95" customHeight="1" x14ac:dyDescent="0.2">
      <c r="A63" s="114">
        <v>62</v>
      </c>
      <c r="B63" s="63">
        <v>62</v>
      </c>
      <c r="C63" s="116" t="s">
        <v>364</v>
      </c>
      <c r="D63" s="70">
        <v>3</v>
      </c>
      <c r="E63" s="61">
        <v>4.62</v>
      </c>
      <c r="F63" s="61">
        <v>3</v>
      </c>
      <c r="G63" s="64">
        <v>5.22</v>
      </c>
      <c r="H63" s="101">
        <v>1.94</v>
      </c>
      <c r="I63" s="105">
        <v>0</v>
      </c>
      <c r="J63" s="62">
        <v>0</v>
      </c>
      <c r="K63" s="62">
        <v>0</v>
      </c>
      <c r="L63" s="64">
        <v>0</v>
      </c>
      <c r="M63" s="62">
        <v>5.22</v>
      </c>
      <c r="N63" s="101">
        <v>0</v>
      </c>
      <c r="O63" s="110"/>
      <c r="Q63" t="s">
        <v>372</v>
      </c>
    </row>
    <row r="64" spans="1:18" ht="24.95" customHeight="1" x14ac:dyDescent="0.2">
      <c r="A64" s="114">
        <v>63</v>
      </c>
      <c r="B64" s="63">
        <v>41</v>
      </c>
      <c r="C64" s="116" t="s">
        <v>350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4.16</v>
      </c>
      <c r="K64" s="62">
        <v>2</v>
      </c>
      <c r="L64" s="64">
        <v>4.5599999999999996</v>
      </c>
      <c r="M64" s="62">
        <v>4.5599999999999996</v>
      </c>
      <c r="N64" s="101">
        <v>2.34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64</v>
      </c>
      <c r="B65" s="63">
        <v>48</v>
      </c>
      <c r="C65" s="116" t="s">
        <v>316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4.16</v>
      </c>
      <c r="K65" s="62">
        <v>2</v>
      </c>
      <c r="L65" s="64">
        <v>4.5599999999999996</v>
      </c>
      <c r="M65" s="62">
        <v>4.5599999999999996</v>
      </c>
      <c r="N65" s="101">
        <v>2.2400000000000002</v>
      </c>
      <c r="O65" s="110"/>
    </row>
    <row r="66" spans="1:18" ht="24.95" customHeight="1" x14ac:dyDescent="0.2">
      <c r="A66" s="114">
        <v>65</v>
      </c>
      <c r="B66" s="63">
        <v>72</v>
      </c>
      <c r="C66" s="116" t="s">
        <v>369</v>
      </c>
      <c r="D66" s="70">
        <v>2</v>
      </c>
      <c r="E66" s="61">
        <v>3.84</v>
      </c>
      <c r="F66" s="61">
        <v>2</v>
      </c>
      <c r="G66" s="64">
        <v>4.24</v>
      </c>
      <c r="H66" s="101">
        <v>2.02</v>
      </c>
      <c r="I66" s="105">
        <v>0</v>
      </c>
      <c r="J66" s="62">
        <v>0</v>
      </c>
      <c r="K66" s="62">
        <v>0</v>
      </c>
      <c r="L66" s="64">
        <v>0</v>
      </c>
      <c r="M66" s="62">
        <v>4.24</v>
      </c>
      <c r="N66" s="101">
        <v>0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66</v>
      </c>
      <c r="B67" s="63">
        <v>2</v>
      </c>
      <c r="C67" s="116" t="s">
        <v>314</v>
      </c>
      <c r="D67" s="70">
        <v>2</v>
      </c>
      <c r="E67" s="61">
        <v>3.1</v>
      </c>
      <c r="F67" s="61">
        <v>2</v>
      </c>
      <c r="G67" s="64">
        <v>3.5</v>
      </c>
      <c r="H67" s="101">
        <v>2.04</v>
      </c>
      <c r="I67" s="105">
        <v>0</v>
      </c>
      <c r="J67" s="62">
        <v>0</v>
      </c>
      <c r="K67" s="62">
        <v>0</v>
      </c>
      <c r="L67" s="64">
        <v>0</v>
      </c>
      <c r="M67" s="62">
        <v>3.5</v>
      </c>
      <c r="N67" s="101">
        <v>0</v>
      </c>
      <c r="O67" s="110"/>
      <c r="Q67" t="s">
        <v>372</v>
      </c>
      <c r="R67" t="s">
        <v>372</v>
      </c>
    </row>
    <row r="68" spans="1:18" ht="24.95" customHeight="1" x14ac:dyDescent="0.2">
      <c r="A68" s="114">
        <v>67</v>
      </c>
      <c r="B68" s="63">
        <v>38</v>
      </c>
      <c r="C68" s="116" t="s">
        <v>348</v>
      </c>
      <c r="D68" s="70">
        <v>1</v>
      </c>
      <c r="E68" s="61">
        <v>0.92</v>
      </c>
      <c r="F68" s="61">
        <v>1</v>
      </c>
      <c r="G68" s="64">
        <v>1.1200000000000001</v>
      </c>
      <c r="H68" s="101">
        <v>0.92</v>
      </c>
      <c r="I68" s="105">
        <v>1</v>
      </c>
      <c r="J68" s="62">
        <v>1.82</v>
      </c>
      <c r="K68" s="62">
        <v>1</v>
      </c>
      <c r="L68" s="64">
        <v>2.02</v>
      </c>
      <c r="M68" s="62">
        <v>3.14</v>
      </c>
      <c r="N68" s="101">
        <v>1.82</v>
      </c>
      <c r="O68" s="110"/>
      <c r="Q68" t="s">
        <v>372</v>
      </c>
    </row>
    <row r="69" spans="1:18" ht="24.95" customHeight="1" x14ac:dyDescent="0.2">
      <c r="A69" s="114">
        <v>68</v>
      </c>
      <c r="B69" s="63">
        <v>55</v>
      </c>
      <c r="C69" s="116" t="s">
        <v>360</v>
      </c>
      <c r="D69" s="70">
        <v>1</v>
      </c>
      <c r="E69" s="61">
        <v>1.08</v>
      </c>
      <c r="F69" s="61">
        <v>1</v>
      </c>
      <c r="G69" s="64">
        <v>1.28</v>
      </c>
      <c r="H69" s="101">
        <v>1.08</v>
      </c>
      <c r="I69" s="105">
        <v>1</v>
      </c>
      <c r="J69" s="62">
        <v>1.62</v>
      </c>
      <c r="K69" s="62">
        <v>1</v>
      </c>
      <c r="L69" s="64">
        <v>1.82</v>
      </c>
      <c r="M69" s="62">
        <v>3.1</v>
      </c>
      <c r="N69" s="101">
        <v>1.62</v>
      </c>
      <c r="O69" s="110"/>
      <c r="Q69" t="s">
        <v>372</v>
      </c>
      <c r="R69" t="s">
        <v>372</v>
      </c>
    </row>
    <row r="70" spans="1:18" ht="24.95" customHeight="1" x14ac:dyDescent="0.2">
      <c r="A70" s="114">
        <v>69</v>
      </c>
      <c r="B70" s="63">
        <v>15</v>
      </c>
      <c r="C70" s="116" t="s">
        <v>338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1</v>
      </c>
      <c r="J70" s="62">
        <v>2.2599999999999998</v>
      </c>
      <c r="K70" s="62">
        <v>1</v>
      </c>
      <c r="L70" s="64">
        <v>2.46</v>
      </c>
      <c r="M70" s="62">
        <v>2.46</v>
      </c>
      <c r="N70" s="101">
        <v>2.2599999999999998</v>
      </c>
      <c r="O70" s="110"/>
      <c r="Q70" t="s">
        <v>372</v>
      </c>
    </row>
    <row r="71" spans="1:18" ht="24.95" customHeight="1" x14ac:dyDescent="0.2">
      <c r="A71" s="114">
        <v>70</v>
      </c>
      <c r="B71" s="63">
        <v>7</v>
      </c>
      <c r="C71" s="116" t="s">
        <v>336</v>
      </c>
      <c r="D71" s="70">
        <v>1</v>
      </c>
      <c r="E71" s="61">
        <v>2.02</v>
      </c>
      <c r="F71" s="61">
        <v>1</v>
      </c>
      <c r="G71" s="64">
        <v>2.2200000000000002</v>
      </c>
      <c r="H71" s="101">
        <v>2.02</v>
      </c>
      <c r="I71" s="105">
        <v>0</v>
      </c>
      <c r="J71" s="62">
        <v>0</v>
      </c>
      <c r="K71" s="62">
        <v>0</v>
      </c>
      <c r="L71" s="64">
        <v>0</v>
      </c>
      <c r="M71" s="62">
        <v>2.2200000000000002</v>
      </c>
      <c r="N71" s="101">
        <v>0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71</v>
      </c>
      <c r="B72" s="63">
        <v>59</v>
      </c>
      <c r="C72" s="116" t="s">
        <v>211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1</v>
      </c>
      <c r="J72" s="62">
        <v>1.98</v>
      </c>
      <c r="K72" s="62">
        <v>1</v>
      </c>
      <c r="L72" s="64">
        <v>2.1800000000000002</v>
      </c>
      <c r="M72" s="62">
        <v>2.1800000000000002</v>
      </c>
      <c r="N72" s="101">
        <v>1.98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72</v>
      </c>
      <c r="B73" s="63">
        <v>70</v>
      </c>
      <c r="C73" s="116" t="s">
        <v>318</v>
      </c>
      <c r="D73" s="70">
        <v>1</v>
      </c>
      <c r="E73" s="61">
        <v>1.9</v>
      </c>
      <c r="F73" s="61">
        <v>1</v>
      </c>
      <c r="G73" s="64">
        <v>2.1</v>
      </c>
      <c r="H73" s="101">
        <v>1.9</v>
      </c>
      <c r="I73" s="105">
        <v>0</v>
      </c>
      <c r="J73" s="62">
        <v>0</v>
      </c>
      <c r="K73" s="62">
        <v>0</v>
      </c>
      <c r="L73" s="64">
        <v>0</v>
      </c>
      <c r="M73" s="62">
        <v>2.1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73</v>
      </c>
      <c r="B74" s="63">
        <v>60</v>
      </c>
      <c r="C74" s="116" t="s">
        <v>362</v>
      </c>
      <c r="D74" s="70">
        <v>1</v>
      </c>
      <c r="E74" s="61">
        <v>1.8</v>
      </c>
      <c r="F74" s="61">
        <v>1</v>
      </c>
      <c r="G74" s="64">
        <v>2</v>
      </c>
      <c r="H74" s="101">
        <v>1.8</v>
      </c>
      <c r="I74" s="105">
        <v>0</v>
      </c>
      <c r="J74" s="62">
        <v>0</v>
      </c>
      <c r="K74" s="62">
        <v>0</v>
      </c>
      <c r="L74" s="64">
        <v>0</v>
      </c>
      <c r="M74" s="62">
        <v>2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74</v>
      </c>
      <c r="B75" s="63">
        <v>32</v>
      </c>
      <c r="C75" s="116" t="s">
        <v>268</v>
      </c>
      <c r="D75" s="70">
        <v>1</v>
      </c>
      <c r="E75" s="61">
        <v>1.58</v>
      </c>
      <c r="F75" s="61">
        <v>1</v>
      </c>
      <c r="G75" s="64">
        <v>1.78</v>
      </c>
      <c r="H75" s="101">
        <v>1.58</v>
      </c>
      <c r="I75" s="105">
        <v>0</v>
      </c>
      <c r="J75" s="62">
        <v>0</v>
      </c>
      <c r="K75" s="62">
        <v>0</v>
      </c>
      <c r="L75" s="64">
        <v>0</v>
      </c>
      <c r="M75" s="62">
        <v>1.78</v>
      </c>
      <c r="N75" s="101">
        <v>0</v>
      </c>
      <c r="O75" s="110"/>
      <c r="Q75" t="s">
        <v>372</v>
      </c>
    </row>
    <row r="76" spans="1:18" ht="24.95" customHeight="1" x14ac:dyDescent="0.2">
      <c r="A76" s="114">
        <v>75</v>
      </c>
      <c r="B76" s="63">
        <v>19</v>
      </c>
      <c r="C76" s="116" t="s">
        <v>308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</row>
    <row r="77" spans="1:18" ht="24.95" customHeight="1" thickBot="1" x14ac:dyDescent="0.25">
      <c r="A77" s="118">
        <v>76</v>
      </c>
      <c r="B77" s="119">
        <v>31</v>
      </c>
      <c r="C77" s="145" t="s">
        <v>346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  <c r="Q77" t="s">
        <v>372</v>
      </c>
    </row>
    <row r="78" spans="1:18" ht="24.95" customHeight="1" x14ac:dyDescent="0.2">
      <c r="A78" s="50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</row>
    <row r="79" spans="1:18" ht="24.95" customHeight="1" x14ac:dyDescent="0.2">
      <c r="A79" s="63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</row>
    <row r="80" spans="1:18" ht="24.95" customHeight="1" x14ac:dyDescent="0.2">
      <c r="A80" s="63"/>
      <c r="B80" s="63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</row>
    <row r="81" spans="1:15" ht="24.95" customHeight="1" x14ac:dyDescent="0.2">
      <c r="A81" s="63"/>
      <c r="B81" s="63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rgb="FFFF0000"/>
  </sheetPr>
  <dimension ref="A1:S651"/>
  <sheetViews>
    <sheetView zoomScaleNormal="100" workbookViewId="0">
      <selection activeCell="F17" sqref="F1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/>
      <c r="B2" s="50"/>
      <c r="C2" s="133"/>
      <c r="D2" s="92"/>
      <c r="E2" s="49"/>
      <c r="F2" s="49"/>
      <c r="G2" s="57"/>
      <c r="H2" s="100"/>
      <c r="I2" s="104"/>
      <c r="J2" s="53"/>
      <c r="K2" s="53"/>
      <c r="L2" s="57"/>
      <c r="M2" s="53"/>
      <c r="N2" s="100"/>
      <c r="O2" s="109"/>
    </row>
    <row r="3" spans="1:19" ht="24.95" customHeight="1" x14ac:dyDescent="0.2">
      <c r="A3" s="114"/>
      <c r="B3" s="63"/>
      <c r="C3" s="116"/>
      <c r="D3" s="70"/>
      <c r="E3" s="61"/>
      <c r="F3" s="61"/>
      <c r="G3" s="64"/>
      <c r="H3" s="101"/>
      <c r="I3" s="105"/>
      <c r="J3" s="62"/>
      <c r="K3" s="62"/>
      <c r="L3" s="64"/>
      <c r="M3" s="62"/>
      <c r="N3" s="101"/>
      <c r="O3" s="110"/>
    </row>
    <row r="4" spans="1:19" ht="24.95" customHeight="1" x14ac:dyDescent="0.2">
      <c r="A4" s="114"/>
      <c r="B4" s="63"/>
      <c r="C4" s="116"/>
      <c r="D4" s="70"/>
      <c r="E4" s="61"/>
      <c r="F4" s="61"/>
      <c r="G4" s="64"/>
      <c r="H4" s="101"/>
      <c r="I4" s="105"/>
      <c r="J4" s="62"/>
      <c r="K4" s="62"/>
      <c r="L4" s="64"/>
      <c r="M4" s="62"/>
      <c r="N4" s="101"/>
      <c r="O4" s="110"/>
    </row>
    <row r="5" spans="1:19" ht="24.95" customHeight="1" x14ac:dyDescent="0.2">
      <c r="A5" s="114"/>
      <c r="B5" s="63"/>
      <c r="C5" s="115"/>
      <c r="D5" s="70"/>
      <c r="E5" s="61"/>
      <c r="F5" s="61"/>
      <c r="G5" s="64"/>
      <c r="H5" s="101"/>
      <c r="I5" s="105"/>
      <c r="J5" s="62"/>
      <c r="K5" s="62"/>
      <c r="L5" s="64"/>
      <c r="M5" s="62"/>
      <c r="N5" s="101"/>
      <c r="O5" s="110"/>
    </row>
    <row r="6" spans="1:19" ht="24.95" customHeight="1" x14ac:dyDescent="0.2">
      <c r="A6" s="114"/>
      <c r="B6" s="63"/>
      <c r="C6" s="116"/>
      <c r="D6" s="70"/>
      <c r="E6" s="61"/>
      <c r="F6" s="61"/>
      <c r="G6" s="64"/>
      <c r="H6" s="101"/>
      <c r="I6" s="105"/>
      <c r="J6" s="62"/>
      <c r="K6" s="62"/>
      <c r="L6" s="64"/>
      <c r="M6" s="62"/>
      <c r="N6" s="101"/>
      <c r="O6" s="110"/>
    </row>
    <row r="7" spans="1:19" ht="24.95" customHeight="1" x14ac:dyDescent="0.2">
      <c r="A7" s="114"/>
      <c r="B7" s="63"/>
      <c r="C7" s="115"/>
      <c r="D7" s="70"/>
      <c r="E7" s="61"/>
      <c r="F7" s="61"/>
      <c r="G7" s="64"/>
      <c r="H7" s="101"/>
      <c r="I7" s="105"/>
      <c r="J7" s="62"/>
      <c r="K7" s="62"/>
      <c r="L7" s="64"/>
      <c r="M7" s="62"/>
      <c r="N7" s="101"/>
      <c r="O7" s="110"/>
    </row>
    <row r="8" spans="1:19" ht="24.95" customHeight="1" x14ac:dyDescent="0.2">
      <c r="A8" s="114"/>
      <c r="B8" s="63"/>
      <c r="C8" s="116"/>
      <c r="D8" s="70"/>
      <c r="E8" s="61"/>
      <c r="F8" s="61"/>
      <c r="G8" s="64"/>
      <c r="H8" s="101"/>
      <c r="I8" s="105"/>
      <c r="J8" s="62"/>
      <c r="K8" s="62"/>
      <c r="L8" s="64"/>
      <c r="M8" s="62"/>
      <c r="N8" s="101"/>
      <c r="O8" s="110"/>
    </row>
    <row r="9" spans="1:19" ht="24.95" customHeight="1" x14ac:dyDescent="0.2">
      <c r="A9" s="114"/>
      <c r="B9" s="63"/>
      <c r="C9" s="115"/>
      <c r="D9" s="70"/>
      <c r="E9" s="61"/>
      <c r="F9" s="61"/>
      <c r="G9" s="64"/>
      <c r="H9" s="101"/>
      <c r="I9" s="105"/>
      <c r="J9" s="62"/>
      <c r="K9" s="62"/>
      <c r="L9" s="64"/>
      <c r="M9" s="62"/>
      <c r="N9" s="101"/>
      <c r="O9" s="110"/>
    </row>
    <row r="10" spans="1:19" ht="24.95" customHeight="1" x14ac:dyDescent="0.2">
      <c r="A10" s="114"/>
      <c r="B10" s="63"/>
      <c r="C10" s="115"/>
      <c r="D10" s="70"/>
      <c r="E10" s="61"/>
      <c r="F10" s="61"/>
      <c r="G10" s="64"/>
      <c r="H10" s="101"/>
      <c r="I10" s="105"/>
      <c r="J10" s="62"/>
      <c r="K10" s="62"/>
      <c r="L10" s="64"/>
      <c r="M10" s="62"/>
      <c r="N10" s="101"/>
      <c r="O10" s="110"/>
    </row>
    <row r="11" spans="1:19" ht="24.95" customHeight="1" x14ac:dyDescent="0.2">
      <c r="A11" s="114"/>
      <c r="B11" s="63"/>
      <c r="C11" s="116"/>
      <c r="D11" s="70"/>
      <c r="E11" s="61"/>
      <c r="F11" s="61"/>
      <c r="G11" s="64"/>
      <c r="H11" s="101"/>
      <c r="I11" s="105"/>
      <c r="J11" s="62"/>
      <c r="K11" s="62"/>
      <c r="L11" s="64"/>
      <c r="M11" s="62"/>
      <c r="N11" s="101"/>
      <c r="O11" s="110"/>
    </row>
    <row r="12" spans="1:19" ht="24.95" customHeight="1" x14ac:dyDescent="0.2">
      <c r="A12" s="114"/>
      <c r="B12" s="63"/>
      <c r="C12" s="116"/>
      <c r="D12" s="70"/>
      <c r="E12" s="61"/>
      <c r="F12" s="61"/>
      <c r="G12" s="64"/>
      <c r="H12" s="101"/>
      <c r="I12" s="105"/>
      <c r="J12" s="62"/>
      <c r="K12" s="62"/>
      <c r="L12" s="64"/>
      <c r="M12" s="62"/>
      <c r="N12" s="101"/>
      <c r="O12" s="110"/>
    </row>
    <row r="13" spans="1:19" ht="24.95" customHeight="1" x14ac:dyDescent="0.2">
      <c r="A13" s="114"/>
      <c r="B13" s="63"/>
      <c r="C13" s="116"/>
      <c r="D13" s="70"/>
      <c r="E13" s="61"/>
      <c r="F13" s="61"/>
      <c r="G13" s="64"/>
      <c r="H13" s="101"/>
      <c r="I13" s="105"/>
      <c r="J13" s="62"/>
      <c r="K13" s="62"/>
      <c r="L13" s="64"/>
      <c r="M13" s="62"/>
      <c r="N13" s="101"/>
      <c r="O13" s="110"/>
    </row>
    <row r="14" spans="1:19" ht="24.95" customHeight="1" x14ac:dyDescent="0.2">
      <c r="A14" s="114"/>
      <c r="B14" s="63"/>
      <c r="C14" s="117"/>
      <c r="D14" s="70"/>
      <c r="E14" s="61"/>
      <c r="F14" s="61"/>
      <c r="G14" s="64"/>
      <c r="H14" s="101"/>
      <c r="I14" s="105"/>
      <c r="J14" s="62"/>
      <c r="K14" s="62"/>
      <c r="L14" s="64"/>
      <c r="M14" s="62"/>
      <c r="N14" s="101"/>
      <c r="O14" s="110"/>
    </row>
    <row r="15" spans="1:19" ht="24.95" customHeight="1" x14ac:dyDescent="0.2">
      <c r="A15" s="114"/>
      <c r="B15" s="63"/>
      <c r="C15" s="117"/>
      <c r="D15" s="70"/>
      <c r="E15" s="61"/>
      <c r="F15" s="61"/>
      <c r="G15" s="64"/>
      <c r="H15" s="101"/>
      <c r="I15" s="105"/>
      <c r="J15" s="62"/>
      <c r="K15" s="62"/>
      <c r="L15" s="64"/>
      <c r="M15" s="62"/>
      <c r="N15" s="101"/>
      <c r="O15" s="110"/>
    </row>
    <row r="16" spans="1:19" ht="24.95" customHeight="1" x14ac:dyDescent="0.2">
      <c r="A16" s="114"/>
      <c r="B16" s="63"/>
      <c r="C16" s="117"/>
      <c r="D16" s="70"/>
      <c r="E16" s="61"/>
      <c r="F16" s="61"/>
      <c r="G16" s="64"/>
      <c r="H16" s="101"/>
      <c r="I16" s="105"/>
      <c r="J16" s="62"/>
      <c r="K16" s="62"/>
      <c r="L16" s="64"/>
      <c r="M16" s="62"/>
      <c r="N16" s="101"/>
      <c r="O16" s="110"/>
    </row>
    <row r="17" spans="1:15" ht="24.95" customHeight="1" x14ac:dyDescent="0.2">
      <c r="A17" s="114"/>
      <c r="B17" s="63"/>
      <c r="C17" s="117"/>
      <c r="D17" s="70"/>
      <c r="E17" s="61"/>
      <c r="F17" s="61"/>
      <c r="G17" s="64"/>
      <c r="H17" s="101"/>
      <c r="I17" s="105"/>
      <c r="J17" s="62"/>
      <c r="K17" s="62"/>
      <c r="L17" s="64"/>
      <c r="M17" s="62"/>
      <c r="N17" s="101"/>
      <c r="O17" s="110"/>
    </row>
    <row r="18" spans="1:15" ht="24.95" customHeight="1" x14ac:dyDescent="0.2">
      <c r="A18" s="114"/>
      <c r="B18" s="63"/>
      <c r="C18" s="117"/>
      <c r="D18" s="70"/>
      <c r="E18" s="61"/>
      <c r="F18" s="61"/>
      <c r="G18" s="64"/>
      <c r="H18" s="101"/>
      <c r="I18" s="105"/>
      <c r="J18" s="62"/>
      <c r="K18" s="62"/>
      <c r="L18" s="64"/>
      <c r="M18" s="62"/>
      <c r="N18" s="101"/>
      <c r="O18" s="110"/>
    </row>
    <row r="19" spans="1:15" ht="24.95" customHeight="1" x14ac:dyDescent="0.2">
      <c r="A19" s="114"/>
      <c r="B19" s="63"/>
      <c r="C19" s="117"/>
      <c r="D19" s="70"/>
      <c r="E19" s="61"/>
      <c r="F19" s="61"/>
      <c r="G19" s="64"/>
      <c r="H19" s="101"/>
      <c r="I19" s="105"/>
      <c r="J19" s="62"/>
      <c r="K19" s="62"/>
      <c r="L19" s="64"/>
      <c r="M19" s="62"/>
      <c r="N19" s="101"/>
      <c r="O19" s="110"/>
    </row>
    <row r="20" spans="1:15" ht="24.95" customHeight="1" x14ac:dyDescent="0.2">
      <c r="A20" s="114"/>
      <c r="B20" s="63"/>
      <c r="C20" s="117"/>
      <c r="D20" s="70"/>
      <c r="E20" s="61"/>
      <c r="F20" s="61"/>
      <c r="G20" s="64"/>
      <c r="H20" s="101"/>
      <c r="I20" s="105"/>
      <c r="J20" s="62"/>
      <c r="K20" s="62"/>
      <c r="L20" s="64"/>
      <c r="M20" s="62"/>
      <c r="N20" s="101"/>
      <c r="O20" s="110"/>
    </row>
    <row r="21" spans="1:15" ht="24.95" customHeight="1" x14ac:dyDescent="0.2">
      <c r="A21" s="114"/>
      <c r="B21" s="63"/>
      <c r="C21" s="117"/>
      <c r="D21" s="70"/>
      <c r="E21" s="61"/>
      <c r="F21" s="61"/>
      <c r="G21" s="64"/>
      <c r="H21" s="101"/>
      <c r="I21" s="105"/>
      <c r="J21" s="62"/>
      <c r="K21" s="62"/>
      <c r="L21" s="64"/>
      <c r="M21" s="62"/>
      <c r="N21" s="101"/>
      <c r="O21" s="110"/>
    </row>
    <row r="22" spans="1:15" ht="24.95" customHeight="1" x14ac:dyDescent="0.2">
      <c r="A22" s="114"/>
      <c r="B22" s="63"/>
      <c r="C22" s="117"/>
      <c r="D22" s="70"/>
      <c r="E22" s="61"/>
      <c r="F22" s="61"/>
      <c r="G22" s="64"/>
      <c r="H22" s="101"/>
      <c r="I22" s="105"/>
      <c r="J22" s="62"/>
      <c r="K22" s="62"/>
      <c r="L22" s="64"/>
      <c r="M22" s="62"/>
      <c r="N22" s="101"/>
      <c r="O22" s="110"/>
    </row>
    <row r="23" spans="1:15" ht="24.95" customHeight="1" x14ac:dyDescent="0.2">
      <c r="A23" s="114"/>
      <c r="B23" s="63"/>
      <c r="C23" s="117"/>
      <c r="D23" s="70"/>
      <c r="E23" s="61"/>
      <c r="F23" s="61"/>
      <c r="G23" s="64"/>
      <c r="H23" s="101"/>
      <c r="I23" s="105"/>
      <c r="J23" s="62"/>
      <c r="K23" s="62"/>
      <c r="L23" s="64"/>
      <c r="M23" s="62"/>
      <c r="N23" s="101"/>
      <c r="O23" s="110"/>
    </row>
    <row r="24" spans="1:15" ht="24.95" customHeight="1" x14ac:dyDescent="0.2">
      <c r="A24" s="114"/>
      <c r="B24" s="63"/>
      <c r="C24" s="117"/>
      <c r="D24" s="70"/>
      <c r="E24" s="61"/>
      <c r="F24" s="61"/>
      <c r="G24" s="64"/>
      <c r="H24" s="101"/>
      <c r="I24" s="105"/>
      <c r="J24" s="62"/>
      <c r="K24" s="62"/>
      <c r="L24" s="64"/>
      <c r="M24" s="62"/>
      <c r="N24" s="101"/>
      <c r="O24" s="110"/>
    </row>
    <row r="25" spans="1:15" ht="24.95" customHeight="1" x14ac:dyDescent="0.2">
      <c r="A25" s="114"/>
      <c r="B25" s="63"/>
      <c r="C25" s="117"/>
      <c r="D25" s="70"/>
      <c r="E25" s="61"/>
      <c r="F25" s="61"/>
      <c r="G25" s="64"/>
      <c r="H25" s="101"/>
      <c r="I25" s="105"/>
      <c r="J25" s="62"/>
      <c r="K25" s="62"/>
      <c r="L25" s="64"/>
      <c r="M25" s="62"/>
      <c r="N25" s="101"/>
      <c r="O25" s="110"/>
    </row>
    <row r="26" spans="1:15" ht="24.95" customHeight="1" x14ac:dyDescent="0.2">
      <c r="A26" s="114"/>
      <c r="B26" s="63"/>
      <c r="C26" s="117"/>
      <c r="D26" s="70"/>
      <c r="E26" s="61"/>
      <c r="F26" s="61"/>
      <c r="G26" s="64"/>
      <c r="H26" s="101"/>
      <c r="I26" s="105"/>
      <c r="J26" s="62"/>
      <c r="K26" s="62"/>
      <c r="L26" s="64"/>
      <c r="M26" s="62"/>
      <c r="N26" s="101"/>
      <c r="O26" s="110"/>
    </row>
    <row r="27" spans="1:15" ht="24.95" customHeight="1" x14ac:dyDescent="0.2">
      <c r="A27" s="114"/>
      <c r="B27" s="63"/>
      <c r="C27" s="117"/>
      <c r="D27" s="70"/>
      <c r="E27" s="61"/>
      <c r="F27" s="61"/>
      <c r="G27" s="64"/>
      <c r="H27" s="101"/>
      <c r="I27" s="105"/>
      <c r="J27" s="62"/>
      <c r="K27" s="62"/>
      <c r="L27" s="64"/>
      <c r="M27" s="62"/>
      <c r="N27" s="101"/>
      <c r="O27" s="110"/>
    </row>
    <row r="28" spans="1:15" ht="24.95" customHeight="1" x14ac:dyDescent="0.2">
      <c r="A28" s="114"/>
      <c r="B28" s="63"/>
      <c r="C28" s="117"/>
      <c r="D28" s="70"/>
      <c r="E28" s="61"/>
      <c r="F28" s="61"/>
      <c r="G28" s="64"/>
      <c r="H28" s="101"/>
      <c r="I28" s="105"/>
      <c r="J28" s="62"/>
      <c r="K28" s="62"/>
      <c r="L28" s="64"/>
      <c r="M28" s="62"/>
      <c r="N28" s="101"/>
      <c r="O28" s="110"/>
    </row>
    <row r="29" spans="1:15" ht="24.95" customHeight="1" x14ac:dyDescent="0.2">
      <c r="A29" s="114"/>
      <c r="B29" s="63"/>
      <c r="C29" s="117"/>
      <c r="D29" s="70"/>
      <c r="E29" s="61"/>
      <c r="F29" s="61"/>
      <c r="G29" s="64"/>
      <c r="H29" s="101"/>
      <c r="I29" s="105"/>
      <c r="J29" s="62"/>
      <c r="K29" s="62"/>
      <c r="L29" s="64"/>
      <c r="M29" s="62"/>
      <c r="N29" s="101"/>
      <c r="O29" s="110"/>
    </row>
    <row r="30" spans="1:15" ht="24.95" customHeight="1" x14ac:dyDescent="0.2">
      <c r="A30" s="114"/>
      <c r="B30" s="63"/>
      <c r="C30" s="117"/>
      <c r="D30" s="70"/>
      <c r="E30" s="61"/>
      <c r="F30" s="61"/>
      <c r="G30" s="64"/>
      <c r="H30" s="101"/>
      <c r="I30" s="105"/>
      <c r="J30" s="62"/>
      <c r="K30" s="62"/>
      <c r="L30" s="64"/>
      <c r="M30" s="62"/>
      <c r="N30" s="101"/>
      <c r="O30" s="110"/>
    </row>
    <row r="31" spans="1:15" ht="24.95" customHeight="1" x14ac:dyDescent="0.2">
      <c r="A31" s="114"/>
      <c r="B31" s="63"/>
      <c r="C31" s="117"/>
      <c r="D31" s="70"/>
      <c r="E31" s="61"/>
      <c r="F31" s="61"/>
      <c r="G31" s="64"/>
      <c r="H31" s="101"/>
      <c r="I31" s="105"/>
      <c r="J31" s="62"/>
      <c r="K31" s="62"/>
      <c r="L31" s="64"/>
      <c r="M31" s="62"/>
      <c r="N31" s="101"/>
      <c r="O31" s="110"/>
    </row>
    <row r="32" spans="1:15" ht="24.95" customHeight="1" x14ac:dyDescent="0.2">
      <c r="A32" s="114"/>
      <c r="B32" s="63"/>
      <c r="C32" s="117"/>
      <c r="D32" s="70"/>
      <c r="E32" s="61"/>
      <c r="F32" s="61"/>
      <c r="G32" s="64"/>
      <c r="H32" s="101"/>
      <c r="I32" s="105"/>
      <c r="J32" s="62"/>
      <c r="K32" s="62"/>
      <c r="L32" s="64"/>
      <c r="M32" s="62"/>
      <c r="N32" s="101"/>
      <c r="O32" s="110"/>
    </row>
    <row r="33" spans="1:15" ht="24.95" customHeight="1" x14ac:dyDescent="0.2">
      <c r="A33" s="114"/>
      <c r="B33" s="63"/>
      <c r="C33" s="117"/>
      <c r="D33" s="70"/>
      <c r="E33" s="61"/>
      <c r="F33" s="61"/>
      <c r="G33" s="64"/>
      <c r="H33" s="101"/>
      <c r="I33" s="105"/>
      <c r="J33" s="62"/>
      <c r="K33" s="62"/>
      <c r="L33" s="64"/>
      <c r="M33" s="62"/>
      <c r="N33" s="101"/>
      <c r="O33" s="110"/>
    </row>
    <row r="34" spans="1:15" ht="24.95" customHeight="1" x14ac:dyDescent="0.2">
      <c r="A34" s="114"/>
      <c r="B34" s="63"/>
      <c r="C34" s="117"/>
      <c r="D34" s="70"/>
      <c r="E34" s="61"/>
      <c r="F34" s="61"/>
      <c r="G34" s="64"/>
      <c r="H34" s="101"/>
      <c r="I34" s="105"/>
      <c r="J34" s="62"/>
      <c r="K34" s="62"/>
      <c r="L34" s="64"/>
      <c r="M34" s="62"/>
      <c r="N34" s="101"/>
      <c r="O34" s="110"/>
    </row>
    <row r="35" spans="1:15" ht="24.95" customHeight="1" x14ac:dyDescent="0.2">
      <c r="A35" s="114"/>
      <c r="B35" s="63"/>
      <c r="C35" s="117"/>
      <c r="D35" s="70"/>
      <c r="E35" s="61"/>
      <c r="F35" s="61"/>
      <c r="G35" s="64"/>
      <c r="H35" s="101"/>
      <c r="I35" s="105"/>
      <c r="J35" s="62"/>
      <c r="K35" s="62"/>
      <c r="L35" s="64"/>
      <c r="M35" s="62"/>
      <c r="N35" s="101"/>
      <c r="O35" s="110"/>
    </row>
    <row r="36" spans="1:15" ht="24.95" customHeight="1" x14ac:dyDescent="0.2">
      <c r="A36" s="114"/>
      <c r="B36" s="63"/>
      <c r="C36" s="117"/>
      <c r="D36" s="70"/>
      <c r="E36" s="61"/>
      <c r="F36" s="61"/>
      <c r="G36" s="64"/>
      <c r="H36" s="101"/>
      <c r="I36" s="105"/>
      <c r="J36" s="62"/>
      <c r="K36" s="62"/>
      <c r="L36" s="64"/>
      <c r="M36" s="62"/>
      <c r="N36" s="101"/>
      <c r="O36" s="110"/>
    </row>
    <row r="37" spans="1:15" ht="24.95" customHeight="1" x14ac:dyDescent="0.2">
      <c r="A37" s="114"/>
      <c r="B37" s="63"/>
      <c r="C37" s="117"/>
      <c r="D37" s="70"/>
      <c r="E37" s="61"/>
      <c r="F37" s="61"/>
      <c r="G37" s="64"/>
      <c r="H37" s="101"/>
      <c r="I37" s="105"/>
      <c r="J37" s="62"/>
      <c r="K37" s="62"/>
      <c r="L37" s="64"/>
      <c r="M37" s="62"/>
      <c r="N37" s="101"/>
      <c r="O37" s="110"/>
    </row>
    <row r="38" spans="1:15" ht="24.95" customHeight="1" x14ac:dyDescent="0.2">
      <c r="A38" s="114"/>
      <c r="B38" s="63"/>
      <c r="C38" s="117"/>
      <c r="D38" s="70"/>
      <c r="E38" s="61"/>
      <c r="F38" s="61"/>
      <c r="G38" s="64"/>
      <c r="H38" s="101"/>
      <c r="I38" s="105"/>
      <c r="J38" s="62"/>
      <c r="K38" s="62"/>
      <c r="L38" s="64"/>
      <c r="M38" s="62"/>
      <c r="N38" s="101"/>
      <c r="O38" s="110"/>
    </row>
    <row r="39" spans="1:15" ht="24.95" customHeight="1" x14ac:dyDescent="0.2">
      <c r="A39" s="114"/>
      <c r="B39" s="63"/>
      <c r="C39" s="117"/>
      <c r="D39" s="70"/>
      <c r="E39" s="61"/>
      <c r="F39" s="61"/>
      <c r="G39" s="64"/>
      <c r="H39" s="101"/>
      <c r="I39" s="105"/>
      <c r="J39" s="62"/>
      <c r="K39" s="62"/>
      <c r="L39" s="64"/>
      <c r="M39" s="62"/>
      <c r="N39" s="101"/>
      <c r="O39" s="110"/>
    </row>
    <row r="40" spans="1:15" ht="24.95" customHeight="1" x14ac:dyDescent="0.2">
      <c r="A40" s="114"/>
      <c r="B40" s="63"/>
      <c r="C40" s="117"/>
      <c r="D40" s="70"/>
      <c r="E40" s="61"/>
      <c r="F40" s="61"/>
      <c r="G40" s="64"/>
      <c r="H40" s="101"/>
      <c r="I40" s="105"/>
      <c r="J40" s="62"/>
      <c r="K40" s="62"/>
      <c r="L40" s="64"/>
      <c r="M40" s="62"/>
      <c r="N40" s="101"/>
      <c r="O40" s="110"/>
    </row>
    <row r="41" spans="1:15" ht="24.95" customHeight="1" x14ac:dyDescent="0.2">
      <c r="A41" s="114"/>
      <c r="B41" s="63"/>
      <c r="C41" s="117"/>
      <c r="D41" s="70"/>
      <c r="E41" s="61"/>
      <c r="F41" s="61"/>
      <c r="G41" s="64"/>
      <c r="H41" s="101"/>
      <c r="I41" s="105"/>
      <c r="J41" s="62"/>
      <c r="K41" s="62"/>
      <c r="L41" s="64"/>
      <c r="M41" s="62"/>
      <c r="N41" s="101"/>
      <c r="O41" s="110"/>
    </row>
    <row r="42" spans="1:15" ht="24.95" customHeight="1" x14ac:dyDescent="0.2">
      <c r="A42" s="114"/>
      <c r="B42" s="63"/>
      <c r="C42" s="117"/>
      <c r="D42" s="70"/>
      <c r="E42" s="61"/>
      <c r="F42" s="61"/>
      <c r="G42" s="64"/>
      <c r="H42" s="101"/>
      <c r="I42" s="105"/>
      <c r="J42" s="62"/>
      <c r="K42" s="62"/>
      <c r="L42" s="64"/>
      <c r="M42" s="62"/>
      <c r="N42" s="101"/>
      <c r="O42" s="110"/>
    </row>
    <row r="43" spans="1:15" ht="24.95" customHeight="1" x14ac:dyDescent="0.2">
      <c r="A43" s="114"/>
      <c r="B43" s="63"/>
      <c r="C43" s="117"/>
      <c r="D43" s="70"/>
      <c r="E43" s="61"/>
      <c r="F43" s="61"/>
      <c r="G43" s="64"/>
      <c r="H43" s="101"/>
      <c r="I43" s="105"/>
      <c r="J43" s="62"/>
      <c r="K43" s="62"/>
      <c r="L43" s="64"/>
      <c r="M43" s="62"/>
      <c r="N43" s="101"/>
      <c r="O43" s="110"/>
    </row>
    <row r="44" spans="1:15" ht="24.95" customHeight="1" x14ac:dyDescent="0.2">
      <c r="A44" s="114"/>
      <c r="B44" s="63"/>
      <c r="C44" s="117"/>
      <c r="D44" s="70"/>
      <c r="E44" s="61"/>
      <c r="F44" s="61"/>
      <c r="G44" s="64"/>
      <c r="H44" s="101"/>
      <c r="I44" s="105"/>
      <c r="J44" s="62"/>
      <c r="K44" s="62"/>
      <c r="L44" s="64"/>
      <c r="M44" s="62"/>
      <c r="N44" s="101"/>
      <c r="O44" s="110"/>
    </row>
    <row r="45" spans="1:15" ht="24.95" customHeight="1" x14ac:dyDescent="0.2">
      <c r="A45" s="114"/>
      <c r="B45" s="63"/>
      <c r="C45" s="117"/>
      <c r="D45" s="70"/>
      <c r="E45" s="61"/>
      <c r="F45" s="61"/>
      <c r="G45" s="64"/>
      <c r="H45" s="101"/>
      <c r="I45" s="105"/>
      <c r="J45" s="62"/>
      <c r="K45" s="62"/>
      <c r="L45" s="64"/>
      <c r="M45" s="62"/>
      <c r="N45" s="101"/>
      <c r="O45" s="110"/>
    </row>
    <row r="46" spans="1:15" ht="24.95" customHeight="1" x14ac:dyDescent="0.2">
      <c r="A46" s="114"/>
      <c r="B46" s="63"/>
      <c r="C46" s="117"/>
      <c r="D46" s="70"/>
      <c r="E46" s="61"/>
      <c r="F46" s="61"/>
      <c r="G46" s="64"/>
      <c r="H46" s="101"/>
      <c r="I46" s="105"/>
      <c r="J46" s="62"/>
      <c r="K46" s="62"/>
      <c r="L46" s="64"/>
      <c r="M46" s="62"/>
      <c r="N46" s="101"/>
      <c r="O46" s="110"/>
    </row>
    <row r="47" spans="1:15" ht="24.95" customHeight="1" x14ac:dyDescent="0.2">
      <c r="A47" s="114"/>
      <c r="B47" s="63"/>
      <c r="C47" s="117"/>
      <c r="D47" s="70"/>
      <c r="E47" s="61"/>
      <c r="F47" s="61"/>
      <c r="G47" s="64"/>
      <c r="H47" s="101"/>
      <c r="I47" s="105"/>
      <c r="J47" s="62"/>
      <c r="K47" s="62"/>
      <c r="L47" s="64"/>
      <c r="M47" s="62"/>
      <c r="N47" s="101"/>
      <c r="O47" s="110"/>
    </row>
    <row r="48" spans="1:15" ht="24.95" customHeight="1" x14ac:dyDescent="0.2">
      <c r="A48" s="114"/>
      <c r="B48" s="63"/>
      <c r="C48" s="117"/>
      <c r="D48" s="70"/>
      <c r="E48" s="61"/>
      <c r="F48" s="61"/>
      <c r="G48" s="64"/>
      <c r="H48" s="101"/>
      <c r="I48" s="105"/>
      <c r="J48" s="62"/>
      <c r="K48" s="62"/>
      <c r="L48" s="64"/>
      <c r="M48" s="62"/>
      <c r="N48" s="101"/>
      <c r="O48" s="110"/>
    </row>
    <row r="49" spans="1:15" ht="24.95" customHeight="1" x14ac:dyDescent="0.2">
      <c r="A49" s="114"/>
      <c r="B49" s="63"/>
      <c r="C49" s="117"/>
      <c r="D49" s="70"/>
      <c r="E49" s="61"/>
      <c r="F49" s="61"/>
      <c r="G49" s="64"/>
      <c r="H49" s="101"/>
      <c r="I49" s="105"/>
      <c r="J49" s="62"/>
      <c r="K49" s="62"/>
      <c r="L49" s="64"/>
      <c r="M49" s="62"/>
      <c r="N49" s="101"/>
      <c r="O49" s="110"/>
    </row>
    <row r="50" spans="1:15" ht="24.95" customHeight="1" x14ac:dyDescent="0.2">
      <c r="A50" s="114"/>
      <c r="B50" s="63"/>
      <c r="C50" s="117"/>
      <c r="D50" s="70"/>
      <c r="E50" s="61"/>
      <c r="F50" s="61"/>
      <c r="G50" s="64"/>
      <c r="H50" s="101"/>
      <c r="I50" s="105"/>
      <c r="J50" s="62"/>
      <c r="K50" s="62"/>
      <c r="L50" s="64"/>
      <c r="M50" s="62"/>
      <c r="N50" s="101"/>
      <c r="O50" s="110"/>
    </row>
    <row r="51" spans="1:15" ht="24.95" customHeight="1" x14ac:dyDescent="0.2">
      <c r="A51" s="114"/>
      <c r="B51" s="63"/>
      <c r="C51" s="117"/>
      <c r="D51" s="70"/>
      <c r="E51" s="61"/>
      <c r="F51" s="61"/>
      <c r="G51" s="64"/>
      <c r="H51" s="101"/>
      <c r="I51" s="105"/>
      <c r="J51" s="62"/>
      <c r="K51" s="62"/>
      <c r="L51" s="64"/>
      <c r="M51" s="62"/>
      <c r="N51" s="101"/>
      <c r="O51" s="110"/>
    </row>
    <row r="52" spans="1:15" ht="24.95" customHeight="1" x14ac:dyDescent="0.2">
      <c r="A52" s="114"/>
      <c r="B52" s="63"/>
      <c r="C52" s="117"/>
      <c r="D52" s="70"/>
      <c r="E52" s="61"/>
      <c r="F52" s="61"/>
      <c r="G52" s="64"/>
      <c r="H52" s="101"/>
      <c r="I52" s="105"/>
      <c r="J52" s="62"/>
      <c r="K52" s="62"/>
      <c r="L52" s="64"/>
      <c r="M52" s="62"/>
      <c r="N52" s="101"/>
      <c r="O52" s="110"/>
    </row>
    <row r="53" spans="1:15" ht="24.95" customHeight="1" x14ac:dyDescent="0.2">
      <c r="A53" s="114"/>
      <c r="B53" s="63"/>
      <c r="C53" s="117"/>
      <c r="D53" s="70"/>
      <c r="E53" s="61"/>
      <c r="F53" s="61"/>
      <c r="G53" s="64"/>
      <c r="H53" s="101"/>
      <c r="I53" s="105"/>
      <c r="J53" s="62"/>
      <c r="K53" s="62"/>
      <c r="L53" s="64"/>
      <c r="M53" s="62"/>
      <c r="N53" s="101"/>
      <c r="O53" s="110"/>
    </row>
    <row r="54" spans="1:15" ht="24.95" customHeight="1" x14ac:dyDescent="0.2">
      <c r="A54" s="114"/>
      <c r="B54" s="63"/>
      <c r="C54" s="117"/>
      <c r="D54" s="70"/>
      <c r="E54" s="61"/>
      <c r="F54" s="61"/>
      <c r="G54" s="64"/>
      <c r="H54" s="101"/>
      <c r="I54" s="105"/>
      <c r="J54" s="62"/>
      <c r="K54" s="62"/>
      <c r="L54" s="64"/>
      <c r="M54" s="62"/>
      <c r="N54" s="101"/>
      <c r="O54" s="110"/>
    </row>
    <row r="55" spans="1:15" ht="24.95" customHeight="1" x14ac:dyDescent="0.2">
      <c r="A55" s="114"/>
      <c r="B55" s="63"/>
      <c r="C55" s="117"/>
      <c r="D55" s="70"/>
      <c r="E55" s="61"/>
      <c r="F55" s="61"/>
      <c r="G55" s="64"/>
      <c r="H55" s="101"/>
      <c r="I55" s="105"/>
      <c r="J55" s="62"/>
      <c r="K55" s="62"/>
      <c r="L55" s="64"/>
      <c r="M55" s="62"/>
      <c r="N55" s="101"/>
      <c r="O55" s="110"/>
    </row>
    <row r="56" spans="1:15" ht="24.95" customHeight="1" x14ac:dyDescent="0.2">
      <c r="A56" s="114"/>
      <c r="B56" s="63"/>
      <c r="C56" s="117"/>
      <c r="D56" s="70"/>
      <c r="E56" s="61"/>
      <c r="F56" s="61"/>
      <c r="G56" s="64"/>
      <c r="H56" s="101"/>
      <c r="I56" s="105"/>
      <c r="J56" s="62"/>
      <c r="K56" s="62"/>
      <c r="L56" s="64"/>
      <c r="M56" s="62"/>
      <c r="N56" s="101"/>
      <c r="O56" s="110"/>
    </row>
    <row r="57" spans="1:15" ht="24.95" customHeight="1" x14ac:dyDescent="0.2">
      <c r="A57" s="114"/>
      <c r="B57" s="63"/>
      <c r="C57" s="117"/>
      <c r="D57" s="70"/>
      <c r="E57" s="61"/>
      <c r="F57" s="61"/>
      <c r="G57" s="64"/>
      <c r="H57" s="101"/>
      <c r="I57" s="105"/>
      <c r="J57" s="62"/>
      <c r="K57" s="62"/>
      <c r="L57" s="64"/>
      <c r="M57" s="62"/>
      <c r="N57" s="101"/>
      <c r="O57" s="110"/>
    </row>
    <row r="58" spans="1:15" ht="24.95" customHeight="1" x14ac:dyDescent="0.2">
      <c r="A58" s="114"/>
      <c r="B58" s="63"/>
      <c r="C58" s="117"/>
      <c r="D58" s="70"/>
      <c r="E58" s="61"/>
      <c r="F58" s="61"/>
      <c r="G58" s="64"/>
      <c r="H58" s="101"/>
      <c r="I58" s="105"/>
      <c r="J58" s="62"/>
      <c r="K58" s="62"/>
      <c r="L58" s="64"/>
      <c r="M58" s="62"/>
      <c r="N58" s="101"/>
      <c r="O58" s="110"/>
    </row>
    <row r="59" spans="1:15" ht="24.95" customHeight="1" x14ac:dyDescent="0.2">
      <c r="A59" s="114"/>
      <c r="B59" s="63"/>
      <c r="C59" s="117"/>
      <c r="D59" s="70"/>
      <c r="E59" s="61"/>
      <c r="F59" s="61"/>
      <c r="G59" s="64"/>
      <c r="H59" s="101"/>
      <c r="I59" s="105"/>
      <c r="J59" s="62"/>
      <c r="K59" s="62"/>
      <c r="L59" s="64"/>
      <c r="M59" s="62"/>
      <c r="N59" s="101"/>
      <c r="O59" s="110"/>
    </row>
    <row r="60" spans="1:15" ht="24.95" customHeight="1" x14ac:dyDescent="0.2">
      <c r="A60" s="114"/>
      <c r="B60" s="63"/>
      <c r="C60" s="117"/>
      <c r="D60" s="70"/>
      <c r="E60" s="61"/>
      <c r="F60" s="61"/>
      <c r="G60" s="64"/>
      <c r="H60" s="101"/>
      <c r="I60" s="105"/>
      <c r="J60" s="62"/>
      <c r="K60" s="62"/>
      <c r="L60" s="64"/>
      <c r="M60" s="62"/>
      <c r="N60" s="101"/>
      <c r="O60" s="110"/>
    </row>
    <row r="61" spans="1:15" ht="24.95" customHeight="1" x14ac:dyDescent="0.2">
      <c r="A61" s="114"/>
      <c r="B61" s="63"/>
      <c r="C61" s="117"/>
      <c r="D61" s="70"/>
      <c r="E61" s="61"/>
      <c r="F61" s="61"/>
      <c r="G61" s="64"/>
      <c r="H61" s="101"/>
      <c r="I61" s="105"/>
      <c r="J61" s="62"/>
      <c r="K61" s="62"/>
      <c r="L61" s="64"/>
      <c r="M61" s="62"/>
      <c r="N61" s="101"/>
      <c r="O61" s="110"/>
    </row>
    <row r="62" spans="1:15" ht="24.95" customHeight="1" x14ac:dyDescent="0.2">
      <c r="A62" s="114"/>
      <c r="B62" s="63"/>
      <c r="C62" s="117"/>
      <c r="D62" s="70"/>
      <c r="E62" s="61"/>
      <c r="F62" s="61"/>
      <c r="G62" s="64"/>
      <c r="H62" s="101"/>
      <c r="I62" s="105"/>
      <c r="J62" s="62"/>
      <c r="K62" s="62"/>
      <c r="L62" s="64"/>
      <c r="M62" s="62"/>
      <c r="N62" s="101"/>
      <c r="O62" s="110"/>
    </row>
    <row r="63" spans="1:15" ht="24.95" customHeight="1" x14ac:dyDescent="0.2">
      <c r="A63" s="114"/>
      <c r="B63" s="63"/>
      <c r="C63" s="117"/>
      <c r="D63" s="70"/>
      <c r="E63" s="61"/>
      <c r="F63" s="61"/>
      <c r="G63" s="64"/>
      <c r="H63" s="101"/>
      <c r="I63" s="105"/>
      <c r="J63" s="62"/>
      <c r="K63" s="62"/>
      <c r="L63" s="64"/>
      <c r="M63" s="62"/>
      <c r="N63" s="101"/>
      <c r="O63" s="110"/>
    </row>
    <row r="64" spans="1:15" ht="24.95" customHeight="1" x14ac:dyDescent="0.2">
      <c r="A64" s="114"/>
      <c r="B64" s="63"/>
      <c r="C64" s="117"/>
      <c r="D64" s="70"/>
      <c r="E64" s="61"/>
      <c r="F64" s="61"/>
      <c r="G64" s="64"/>
      <c r="H64" s="101"/>
      <c r="I64" s="105"/>
      <c r="J64" s="62"/>
      <c r="K64" s="62"/>
      <c r="L64" s="64"/>
      <c r="M64" s="62"/>
      <c r="N64" s="101"/>
      <c r="O64" s="110"/>
    </row>
    <row r="65" spans="1:15" ht="24.95" customHeight="1" x14ac:dyDescent="0.2">
      <c r="A65" s="114"/>
      <c r="B65" s="63"/>
      <c r="C65" s="117"/>
      <c r="D65" s="70"/>
      <c r="E65" s="61"/>
      <c r="F65" s="61"/>
      <c r="G65" s="64"/>
      <c r="H65" s="101"/>
      <c r="I65" s="105"/>
      <c r="J65" s="62"/>
      <c r="K65" s="62"/>
      <c r="L65" s="64"/>
      <c r="M65" s="62"/>
      <c r="N65" s="101"/>
      <c r="O65" s="110"/>
    </row>
    <row r="66" spans="1:15" ht="24.95" customHeight="1" x14ac:dyDescent="0.2">
      <c r="A66" s="114"/>
      <c r="B66" s="63"/>
      <c r="C66" s="117"/>
      <c r="D66" s="70"/>
      <c r="E66" s="61"/>
      <c r="F66" s="61"/>
      <c r="G66" s="64"/>
      <c r="H66" s="101"/>
      <c r="I66" s="105"/>
      <c r="J66" s="62"/>
      <c r="K66" s="62"/>
      <c r="L66" s="64"/>
      <c r="M66" s="62"/>
      <c r="N66" s="101"/>
      <c r="O66" s="110"/>
    </row>
    <row r="67" spans="1:15" ht="24.95" customHeight="1" x14ac:dyDescent="0.2">
      <c r="A67" s="114"/>
      <c r="B67" s="63"/>
      <c r="C67" s="117"/>
      <c r="D67" s="70"/>
      <c r="E67" s="61"/>
      <c r="F67" s="61"/>
      <c r="G67" s="64"/>
      <c r="H67" s="101"/>
      <c r="I67" s="105"/>
      <c r="J67" s="62"/>
      <c r="K67" s="62"/>
      <c r="L67" s="64"/>
      <c r="M67" s="62"/>
      <c r="N67" s="101"/>
      <c r="O67" s="110"/>
    </row>
    <row r="68" spans="1:15" ht="24.95" customHeight="1" x14ac:dyDescent="0.2">
      <c r="A68" s="114"/>
      <c r="B68" s="63"/>
      <c r="C68" s="117"/>
      <c r="D68" s="70"/>
      <c r="E68" s="61"/>
      <c r="F68" s="61"/>
      <c r="G68" s="64"/>
      <c r="H68" s="101"/>
      <c r="I68" s="105"/>
      <c r="J68" s="62"/>
      <c r="K68" s="62"/>
      <c r="L68" s="64"/>
      <c r="M68" s="62"/>
      <c r="N68" s="101"/>
      <c r="O68" s="110"/>
    </row>
    <row r="69" spans="1:15" ht="24.95" customHeight="1" x14ac:dyDescent="0.2">
      <c r="A69" s="114"/>
      <c r="B69" s="63"/>
      <c r="C69" s="117"/>
      <c r="D69" s="70"/>
      <c r="E69" s="61"/>
      <c r="F69" s="61"/>
      <c r="G69" s="64"/>
      <c r="H69" s="101"/>
      <c r="I69" s="105"/>
      <c r="J69" s="62"/>
      <c r="K69" s="62"/>
      <c r="L69" s="64"/>
      <c r="M69" s="62"/>
      <c r="N69" s="101"/>
      <c r="O69" s="110"/>
    </row>
    <row r="70" spans="1:15" ht="24.95" customHeight="1" x14ac:dyDescent="0.2">
      <c r="A70" s="114"/>
      <c r="B70" s="63"/>
      <c r="C70" s="117"/>
      <c r="D70" s="70"/>
      <c r="E70" s="61"/>
      <c r="F70" s="61"/>
      <c r="G70" s="64"/>
      <c r="H70" s="101"/>
      <c r="I70" s="105"/>
      <c r="J70" s="62"/>
      <c r="K70" s="62"/>
      <c r="L70" s="64"/>
      <c r="M70" s="62"/>
      <c r="N70" s="101"/>
      <c r="O70" s="110"/>
    </row>
    <row r="71" spans="1:15" ht="24.95" customHeight="1" x14ac:dyDescent="0.2">
      <c r="A71" s="114"/>
      <c r="B71" s="63"/>
      <c r="C71" s="117"/>
      <c r="D71" s="70"/>
      <c r="E71" s="61"/>
      <c r="F71" s="61"/>
      <c r="G71" s="64"/>
      <c r="H71" s="101"/>
      <c r="I71" s="105"/>
      <c r="J71" s="62"/>
      <c r="K71" s="62"/>
      <c r="L71" s="64"/>
      <c r="M71" s="62"/>
      <c r="N71" s="101"/>
      <c r="O71" s="110"/>
    </row>
    <row r="72" spans="1:15" ht="24.95" customHeight="1" x14ac:dyDescent="0.2">
      <c r="A72" s="114"/>
      <c r="B72" s="63"/>
      <c r="C72" s="117"/>
      <c r="D72" s="70"/>
      <c r="E72" s="61"/>
      <c r="F72" s="61"/>
      <c r="G72" s="64"/>
      <c r="H72" s="101"/>
      <c r="I72" s="105"/>
      <c r="J72" s="62"/>
      <c r="K72" s="62"/>
      <c r="L72" s="64"/>
      <c r="M72" s="62"/>
      <c r="N72" s="101"/>
      <c r="O72" s="110"/>
    </row>
    <row r="73" spans="1:15" ht="24.95" customHeight="1" x14ac:dyDescent="0.2">
      <c r="A73" s="114"/>
      <c r="B73" s="63"/>
      <c r="C73" s="117"/>
      <c r="D73" s="70"/>
      <c r="E73" s="61"/>
      <c r="F73" s="61"/>
      <c r="G73" s="64"/>
      <c r="H73" s="101"/>
      <c r="I73" s="105"/>
      <c r="J73" s="62"/>
      <c r="K73" s="62"/>
      <c r="L73" s="64"/>
      <c r="M73" s="62"/>
      <c r="N73" s="101"/>
      <c r="O73" s="110"/>
    </row>
    <row r="74" spans="1:15" ht="24.95" customHeight="1" x14ac:dyDescent="0.2">
      <c r="A74" s="114"/>
      <c r="B74" s="63"/>
      <c r="C74" s="117"/>
      <c r="D74" s="70"/>
      <c r="E74" s="61"/>
      <c r="F74" s="61"/>
      <c r="G74" s="64"/>
      <c r="H74" s="101"/>
      <c r="I74" s="105"/>
      <c r="J74" s="62"/>
      <c r="K74" s="62"/>
      <c r="L74" s="64"/>
      <c r="M74" s="62"/>
      <c r="N74" s="101"/>
      <c r="O74" s="110"/>
    </row>
    <row r="75" spans="1:15" ht="24.95" customHeight="1" x14ac:dyDescent="0.2">
      <c r="A75" s="114"/>
      <c r="B75" s="63"/>
      <c r="C75" s="117"/>
      <c r="D75" s="70"/>
      <c r="E75" s="61"/>
      <c r="F75" s="61"/>
      <c r="G75" s="64"/>
      <c r="H75" s="101"/>
      <c r="I75" s="105"/>
      <c r="J75" s="62"/>
      <c r="K75" s="62"/>
      <c r="L75" s="64"/>
      <c r="M75" s="62"/>
      <c r="N75" s="101"/>
      <c r="O75" s="110"/>
    </row>
    <row r="76" spans="1:15" ht="24.95" customHeight="1" x14ac:dyDescent="0.2">
      <c r="A76" s="114"/>
      <c r="B76" s="63"/>
      <c r="C76" s="117"/>
      <c r="D76" s="70"/>
      <c r="E76" s="61"/>
      <c r="F76" s="61"/>
      <c r="G76" s="64"/>
      <c r="H76" s="101"/>
      <c r="I76" s="105"/>
      <c r="J76" s="62"/>
      <c r="K76" s="62"/>
      <c r="L76" s="64"/>
      <c r="M76" s="62"/>
      <c r="N76" s="101"/>
      <c r="O76" s="110"/>
    </row>
    <row r="77" spans="1:15" ht="24.95" customHeight="1" thickBot="1" x14ac:dyDescent="0.25">
      <c r="A77" s="118"/>
      <c r="B77" s="119"/>
      <c r="C77" s="120"/>
      <c r="D77" s="71"/>
      <c r="E77" s="69"/>
      <c r="F77" s="69"/>
      <c r="G77" s="102"/>
      <c r="H77" s="103"/>
      <c r="I77" s="106"/>
      <c r="J77" s="107"/>
      <c r="K77" s="107"/>
      <c r="L77" s="102"/>
      <c r="M77" s="107"/>
      <c r="N77" s="103"/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pageMargins left="0.7" right="0.7" top="0.75" bottom="0.75" header="0.3" footer="0.3"/>
  <pageSetup scale="6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E637-66DF-4A0E-987E-00B74EA8D2BC}">
  <sheetPr codeName="Sheet15">
    <tabColor rgb="FFFF0000"/>
  </sheetPr>
  <dimension ref="A1:S651"/>
  <sheetViews>
    <sheetView zoomScaleNormal="100" workbookViewId="0">
      <selection activeCell="AA8" sqref="AA8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  <col min="17" max="18" width="9.140625" style="147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146" t="s">
        <v>333</v>
      </c>
      <c r="R1" s="146" t="s">
        <v>334</v>
      </c>
      <c r="S1" s="1"/>
    </row>
    <row r="2" spans="1:19" ht="24.95" customHeight="1" x14ac:dyDescent="0.2">
      <c r="A2" s="113">
        <v>1</v>
      </c>
      <c r="B2" s="50">
        <v>30</v>
      </c>
      <c r="C2" s="134" t="s">
        <v>295</v>
      </c>
      <c r="D2" s="92">
        <v>3</v>
      </c>
      <c r="E2" s="49">
        <v>5.92</v>
      </c>
      <c r="F2" s="49">
        <v>3</v>
      </c>
      <c r="G2" s="57">
        <v>6.52</v>
      </c>
      <c r="H2" s="100">
        <v>2.48</v>
      </c>
      <c r="I2" s="104">
        <v>5</v>
      </c>
      <c r="J2" s="53">
        <v>8.7200000000000006</v>
      </c>
      <c r="K2" s="53">
        <v>5</v>
      </c>
      <c r="L2" s="57">
        <v>9.7200000000000006</v>
      </c>
      <c r="M2" s="53">
        <v>16.239999999999998</v>
      </c>
      <c r="N2" s="100">
        <v>1</v>
      </c>
      <c r="O2" s="109"/>
    </row>
    <row r="3" spans="1:19" ht="24.95" customHeight="1" x14ac:dyDescent="0.2">
      <c r="A3" s="114">
        <v>2</v>
      </c>
      <c r="B3" s="63">
        <v>58</v>
      </c>
      <c r="C3" s="116" t="s">
        <v>212</v>
      </c>
      <c r="D3" s="70">
        <v>3</v>
      </c>
      <c r="E3" s="61">
        <v>4.8</v>
      </c>
      <c r="F3" s="61">
        <v>3</v>
      </c>
      <c r="G3" s="64">
        <v>5.4</v>
      </c>
      <c r="H3" s="101">
        <v>2.12</v>
      </c>
      <c r="I3" s="105">
        <v>7</v>
      </c>
      <c r="J3" s="62">
        <v>7.24</v>
      </c>
      <c r="K3" s="62">
        <v>7</v>
      </c>
      <c r="L3" s="64">
        <v>8.64</v>
      </c>
      <c r="M3" s="62">
        <v>14.04</v>
      </c>
      <c r="N3" s="101">
        <v>2</v>
      </c>
      <c r="O3" s="110"/>
    </row>
    <row r="4" spans="1:19" ht="24.95" customHeight="1" x14ac:dyDescent="0.2">
      <c r="A4" s="114">
        <v>3</v>
      </c>
      <c r="B4" s="63">
        <v>23</v>
      </c>
      <c r="C4" s="116" t="s">
        <v>251</v>
      </c>
      <c r="D4" s="70">
        <v>2</v>
      </c>
      <c r="E4" s="61">
        <v>4.92</v>
      </c>
      <c r="F4" s="61">
        <v>2</v>
      </c>
      <c r="G4" s="64">
        <v>5.32</v>
      </c>
      <c r="H4" s="101">
        <v>2.56</v>
      </c>
      <c r="I4" s="105">
        <v>5</v>
      </c>
      <c r="J4" s="62">
        <v>7.44</v>
      </c>
      <c r="K4" s="62">
        <v>5</v>
      </c>
      <c r="L4" s="64">
        <v>8.44</v>
      </c>
      <c r="M4" s="62">
        <v>13.76</v>
      </c>
      <c r="N4" s="101">
        <v>0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320</v>
      </c>
      <c r="D5" s="70">
        <v>2</v>
      </c>
      <c r="E5" s="61">
        <v>4</v>
      </c>
      <c r="F5" s="61">
        <v>2</v>
      </c>
      <c r="G5" s="64">
        <v>4.4000000000000004</v>
      </c>
      <c r="H5" s="101">
        <v>2</v>
      </c>
      <c r="I5" s="105">
        <v>4</v>
      </c>
      <c r="J5" s="62">
        <v>7.7</v>
      </c>
      <c r="K5" s="62">
        <v>4</v>
      </c>
      <c r="L5" s="64">
        <v>8.5</v>
      </c>
      <c r="M5" s="62">
        <v>12.9</v>
      </c>
      <c r="N5" s="101">
        <v>0</v>
      </c>
      <c r="O5" s="110"/>
    </row>
    <row r="6" spans="1:19" ht="24.95" customHeight="1" x14ac:dyDescent="0.2">
      <c r="A6" s="114">
        <v>5</v>
      </c>
      <c r="B6" s="63">
        <v>33</v>
      </c>
      <c r="C6" s="116" t="s">
        <v>298</v>
      </c>
      <c r="D6" s="70">
        <v>4</v>
      </c>
      <c r="E6" s="61">
        <v>5.84</v>
      </c>
      <c r="F6" s="61">
        <v>4</v>
      </c>
      <c r="G6" s="64">
        <v>6.64</v>
      </c>
      <c r="H6" s="101">
        <v>2.25</v>
      </c>
      <c r="I6" s="105">
        <v>4</v>
      </c>
      <c r="J6" s="62">
        <v>5</v>
      </c>
      <c r="K6" s="62">
        <v>4</v>
      </c>
      <c r="L6" s="64">
        <v>5.8</v>
      </c>
      <c r="M6" s="62">
        <v>12.44</v>
      </c>
      <c r="N6" s="101">
        <v>0</v>
      </c>
      <c r="O6" s="110"/>
    </row>
    <row r="7" spans="1:19" ht="24.95" customHeight="1" x14ac:dyDescent="0.2">
      <c r="A7" s="114">
        <v>6</v>
      </c>
      <c r="B7" s="63">
        <v>69</v>
      </c>
      <c r="C7" s="116" t="s">
        <v>224</v>
      </c>
      <c r="D7" s="70">
        <v>4</v>
      </c>
      <c r="E7" s="61">
        <v>6</v>
      </c>
      <c r="F7" s="61">
        <v>4</v>
      </c>
      <c r="G7" s="64">
        <v>6.8</v>
      </c>
      <c r="H7" s="101">
        <v>2.1800000000000002</v>
      </c>
      <c r="I7" s="105">
        <v>2</v>
      </c>
      <c r="J7" s="62">
        <v>4.04</v>
      </c>
      <c r="K7" s="62">
        <v>2</v>
      </c>
      <c r="L7" s="64">
        <v>4.4400000000000004</v>
      </c>
      <c r="M7" s="62">
        <v>11.24</v>
      </c>
      <c r="N7" s="101">
        <v>0</v>
      </c>
      <c r="O7" s="110"/>
    </row>
    <row r="8" spans="1:19" ht="24.95" customHeight="1" x14ac:dyDescent="0.2">
      <c r="A8" s="114">
        <v>7</v>
      </c>
      <c r="B8" s="63">
        <v>1</v>
      </c>
      <c r="C8" s="115" t="s">
        <v>197</v>
      </c>
      <c r="D8" s="70">
        <v>4</v>
      </c>
      <c r="E8" s="61">
        <v>6.28</v>
      </c>
      <c r="F8" s="61">
        <v>4</v>
      </c>
      <c r="G8" s="64">
        <v>7.08</v>
      </c>
      <c r="H8" s="101">
        <v>2.1800000000000002</v>
      </c>
      <c r="I8" s="105">
        <v>2</v>
      </c>
      <c r="J8" s="62">
        <v>3.72</v>
      </c>
      <c r="K8" s="62">
        <v>2</v>
      </c>
      <c r="L8" s="64">
        <v>4.12</v>
      </c>
      <c r="M8" s="62">
        <v>11.2</v>
      </c>
      <c r="N8" s="101">
        <v>0</v>
      </c>
      <c r="O8" s="110"/>
    </row>
    <row r="9" spans="1:19" ht="24.95" customHeight="1" x14ac:dyDescent="0.2">
      <c r="A9" s="114">
        <v>8</v>
      </c>
      <c r="B9" s="63">
        <v>35</v>
      </c>
      <c r="C9" s="116" t="s">
        <v>208</v>
      </c>
      <c r="D9" s="70">
        <v>3</v>
      </c>
      <c r="E9" s="61">
        <v>5.32</v>
      </c>
      <c r="F9" s="61">
        <v>3</v>
      </c>
      <c r="G9" s="64">
        <v>5.92</v>
      </c>
      <c r="H9" s="101">
        <v>2.4</v>
      </c>
      <c r="I9" s="105">
        <v>2</v>
      </c>
      <c r="J9" s="62">
        <v>4.84</v>
      </c>
      <c r="K9" s="62">
        <v>2</v>
      </c>
      <c r="L9" s="64">
        <v>5.24</v>
      </c>
      <c r="M9" s="62">
        <v>11.16</v>
      </c>
      <c r="N9" s="101">
        <v>0</v>
      </c>
      <c r="O9" s="110"/>
    </row>
    <row r="10" spans="1:19" ht="24.95" customHeight="1" x14ac:dyDescent="0.2">
      <c r="A10" s="114">
        <v>9</v>
      </c>
      <c r="B10" s="63">
        <v>27</v>
      </c>
      <c r="C10" s="116" t="s">
        <v>234</v>
      </c>
      <c r="D10" s="70">
        <v>3</v>
      </c>
      <c r="E10" s="61">
        <v>4.7</v>
      </c>
      <c r="F10" s="61">
        <v>3</v>
      </c>
      <c r="G10" s="64">
        <v>5.3</v>
      </c>
      <c r="H10" s="101">
        <v>2.2000000000000002</v>
      </c>
      <c r="I10" s="105">
        <v>3</v>
      </c>
      <c r="J10" s="62">
        <v>5.14</v>
      </c>
      <c r="K10" s="62">
        <v>3</v>
      </c>
      <c r="L10" s="64">
        <v>5.74</v>
      </c>
      <c r="M10" s="62">
        <v>11.04</v>
      </c>
      <c r="N10" s="101">
        <v>0</v>
      </c>
      <c r="O10" s="110"/>
    </row>
    <row r="11" spans="1:19" ht="24.95" customHeight="1" x14ac:dyDescent="0.2">
      <c r="A11" s="114">
        <v>10</v>
      </c>
      <c r="B11" s="63">
        <v>42</v>
      </c>
      <c r="C11" s="116" t="s">
        <v>305</v>
      </c>
      <c r="D11" s="70">
        <v>3</v>
      </c>
      <c r="E11" s="61">
        <v>5.38</v>
      </c>
      <c r="F11" s="61">
        <v>3</v>
      </c>
      <c r="G11" s="64">
        <v>5.98</v>
      </c>
      <c r="H11" s="101">
        <v>2.2999999999999998</v>
      </c>
      <c r="I11" s="105">
        <v>2</v>
      </c>
      <c r="J11" s="62">
        <v>4.5999999999999996</v>
      </c>
      <c r="K11" s="62">
        <v>2</v>
      </c>
      <c r="L11" s="64">
        <v>5</v>
      </c>
      <c r="M11" s="62">
        <v>10.98</v>
      </c>
      <c r="N11" s="101">
        <v>0</v>
      </c>
      <c r="O11" s="110"/>
    </row>
    <row r="12" spans="1:19" ht="24.95" customHeight="1" x14ac:dyDescent="0.2">
      <c r="A12" s="114">
        <v>11</v>
      </c>
      <c r="B12" s="63">
        <v>68</v>
      </c>
      <c r="C12" s="116" t="s">
        <v>323</v>
      </c>
      <c r="D12" s="70">
        <v>4</v>
      </c>
      <c r="E12" s="61">
        <v>5.98</v>
      </c>
      <c r="F12" s="61">
        <v>4</v>
      </c>
      <c r="G12" s="64">
        <v>6.78</v>
      </c>
      <c r="H12" s="101">
        <v>2.2000000000000002</v>
      </c>
      <c r="I12" s="105">
        <v>2</v>
      </c>
      <c r="J12" s="62">
        <v>3.78</v>
      </c>
      <c r="K12" s="62">
        <v>2</v>
      </c>
      <c r="L12" s="64">
        <v>4.18</v>
      </c>
      <c r="M12" s="62">
        <v>10.96</v>
      </c>
      <c r="N12" s="101">
        <v>0</v>
      </c>
      <c r="O12" s="110"/>
    </row>
    <row r="13" spans="1:19" ht="24.95" customHeight="1" x14ac:dyDescent="0.2">
      <c r="A13" s="114">
        <v>12</v>
      </c>
      <c r="B13" s="63">
        <v>16</v>
      </c>
      <c r="C13" s="116" t="s">
        <v>330</v>
      </c>
      <c r="D13" s="70">
        <v>2</v>
      </c>
      <c r="E13" s="61">
        <v>4.22</v>
      </c>
      <c r="F13" s="61">
        <v>2</v>
      </c>
      <c r="G13" s="64">
        <v>4.62</v>
      </c>
      <c r="H13" s="101">
        <v>2.1800000000000002</v>
      </c>
      <c r="I13" s="105">
        <v>4</v>
      </c>
      <c r="J13" s="62">
        <v>5.2</v>
      </c>
      <c r="K13" s="62">
        <v>4</v>
      </c>
      <c r="L13" s="64">
        <v>6</v>
      </c>
      <c r="M13" s="62">
        <v>10.62</v>
      </c>
      <c r="N13" s="101">
        <v>0</v>
      </c>
      <c r="O13" s="110"/>
    </row>
    <row r="14" spans="1:19" ht="24.95" customHeight="1" x14ac:dyDescent="0.2">
      <c r="A14" s="114">
        <v>13</v>
      </c>
      <c r="B14" s="63">
        <v>44</v>
      </c>
      <c r="C14" s="116" t="s">
        <v>307</v>
      </c>
      <c r="D14" s="70">
        <v>3</v>
      </c>
      <c r="E14" s="61">
        <v>5.08</v>
      </c>
      <c r="F14" s="61">
        <v>3</v>
      </c>
      <c r="G14" s="64">
        <v>5.68</v>
      </c>
      <c r="H14" s="101">
        <v>2.12</v>
      </c>
      <c r="I14" s="105">
        <v>2</v>
      </c>
      <c r="J14" s="62">
        <v>4.24</v>
      </c>
      <c r="K14" s="62">
        <v>2</v>
      </c>
      <c r="L14" s="64">
        <v>4.6399999999999997</v>
      </c>
      <c r="M14" s="62">
        <v>10.32</v>
      </c>
      <c r="N14" s="101">
        <v>0</v>
      </c>
      <c r="O14" s="110"/>
    </row>
    <row r="15" spans="1:19" ht="24.95" customHeight="1" x14ac:dyDescent="0.2">
      <c r="A15" s="114">
        <v>14</v>
      </c>
      <c r="B15" s="63">
        <v>56</v>
      </c>
      <c r="C15" s="116" t="s">
        <v>200</v>
      </c>
      <c r="D15" s="70">
        <v>2</v>
      </c>
      <c r="E15" s="61">
        <v>4.16</v>
      </c>
      <c r="F15" s="61">
        <v>2</v>
      </c>
      <c r="G15" s="64">
        <v>4.5599999999999996</v>
      </c>
      <c r="H15" s="101">
        <v>2.08</v>
      </c>
      <c r="I15" s="105">
        <v>3</v>
      </c>
      <c r="J15" s="62">
        <v>4.6399999999999997</v>
      </c>
      <c r="K15" s="62">
        <v>3</v>
      </c>
      <c r="L15" s="64">
        <v>5.24</v>
      </c>
      <c r="M15" s="62">
        <v>9.8000000000000007</v>
      </c>
      <c r="N15" s="101">
        <v>0</v>
      </c>
      <c r="O15" s="110"/>
    </row>
    <row r="16" spans="1:19" ht="24.95" customHeight="1" x14ac:dyDescent="0.2">
      <c r="A16" s="114">
        <v>15</v>
      </c>
      <c r="B16" s="63">
        <v>63</v>
      </c>
      <c r="C16" s="116" t="s">
        <v>238</v>
      </c>
      <c r="D16" s="70">
        <v>1</v>
      </c>
      <c r="E16" s="61">
        <v>2.34</v>
      </c>
      <c r="F16" s="61">
        <v>1</v>
      </c>
      <c r="G16" s="64">
        <v>2.54</v>
      </c>
      <c r="H16" s="101">
        <v>2.34</v>
      </c>
      <c r="I16" s="105">
        <v>5</v>
      </c>
      <c r="J16" s="62">
        <v>6</v>
      </c>
      <c r="K16" s="62">
        <v>5</v>
      </c>
      <c r="L16" s="64">
        <v>7</v>
      </c>
      <c r="M16" s="62">
        <v>9.5399999999999991</v>
      </c>
      <c r="N16" s="101">
        <v>0</v>
      </c>
      <c r="O16" s="110"/>
    </row>
    <row r="17" spans="1:15" ht="24.95" customHeight="1" x14ac:dyDescent="0.2">
      <c r="A17" s="114">
        <v>16</v>
      </c>
      <c r="B17" s="63">
        <v>59</v>
      </c>
      <c r="C17" s="116" t="s">
        <v>231</v>
      </c>
      <c r="D17" s="70">
        <v>1</v>
      </c>
      <c r="E17" s="61">
        <v>2.2400000000000002</v>
      </c>
      <c r="F17" s="61">
        <v>1</v>
      </c>
      <c r="G17" s="64">
        <v>2.44</v>
      </c>
      <c r="H17" s="101">
        <v>2.2400000000000002</v>
      </c>
      <c r="I17" s="105">
        <v>4</v>
      </c>
      <c r="J17" s="62">
        <v>6.2</v>
      </c>
      <c r="K17" s="62">
        <v>4</v>
      </c>
      <c r="L17" s="64">
        <v>7</v>
      </c>
      <c r="M17" s="62">
        <v>9.44</v>
      </c>
      <c r="N17" s="101">
        <v>0</v>
      </c>
      <c r="O17" s="110"/>
    </row>
    <row r="18" spans="1:15" ht="24.95" customHeight="1" x14ac:dyDescent="0.2">
      <c r="A18" s="114">
        <v>17</v>
      </c>
      <c r="B18" s="63">
        <v>18</v>
      </c>
      <c r="C18" s="116" t="s">
        <v>242</v>
      </c>
      <c r="D18" s="70">
        <v>2</v>
      </c>
      <c r="E18" s="61">
        <v>4.3600000000000003</v>
      </c>
      <c r="F18" s="61">
        <v>2</v>
      </c>
      <c r="G18" s="64">
        <v>4.76</v>
      </c>
      <c r="H18" s="101">
        <v>2.0299999999999998</v>
      </c>
      <c r="I18" s="105">
        <v>2</v>
      </c>
      <c r="J18" s="62" t="s">
        <v>331</v>
      </c>
      <c r="K18" s="62">
        <v>2</v>
      </c>
      <c r="L18" s="64">
        <v>4.5599999999999996</v>
      </c>
      <c r="M18" s="62">
        <v>9.32</v>
      </c>
      <c r="N18" s="101">
        <v>0</v>
      </c>
      <c r="O18" s="110"/>
    </row>
    <row r="19" spans="1:15" ht="24.95" customHeight="1" x14ac:dyDescent="0.2">
      <c r="A19" s="114">
        <v>18</v>
      </c>
      <c r="B19" s="63">
        <v>34</v>
      </c>
      <c r="C19" s="116" t="s">
        <v>228</v>
      </c>
      <c r="D19" s="70">
        <v>2</v>
      </c>
      <c r="E19" s="61">
        <v>4.0999999999999996</v>
      </c>
      <c r="F19" s="61">
        <v>2</v>
      </c>
      <c r="G19" s="64">
        <v>4.5</v>
      </c>
      <c r="H19" s="101">
        <v>2.08</v>
      </c>
      <c r="I19" s="105">
        <v>6</v>
      </c>
      <c r="J19" s="62">
        <v>3.54</v>
      </c>
      <c r="K19" s="62">
        <v>6</v>
      </c>
      <c r="L19" s="64">
        <v>4.74</v>
      </c>
      <c r="M19" s="62">
        <v>9.24</v>
      </c>
      <c r="N19" s="101">
        <v>0</v>
      </c>
      <c r="O19" s="110"/>
    </row>
    <row r="20" spans="1:15" ht="24.95" customHeight="1" x14ac:dyDescent="0.2">
      <c r="A20" s="114">
        <v>19</v>
      </c>
      <c r="B20" s="63">
        <v>50</v>
      </c>
      <c r="C20" s="116" t="s">
        <v>312</v>
      </c>
      <c r="D20" s="70">
        <v>3</v>
      </c>
      <c r="E20" s="61">
        <v>5.0599999999999996</v>
      </c>
      <c r="F20" s="61">
        <v>3</v>
      </c>
      <c r="G20" s="64">
        <v>5.66</v>
      </c>
      <c r="H20" s="101">
        <v>2.08</v>
      </c>
      <c r="I20" s="105">
        <v>2</v>
      </c>
      <c r="J20" s="62">
        <v>3.12</v>
      </c>
      <c r="K20" s="62">
        <v>2</v>
      </c>
      <c r="L20" s="64">
        <v>3.52</v>
      </c>
      <c r="M20" s="62">
        <v>9.18</v>
      </c>
      <c r="N20" s="101">
        <v>0</v>
      </c>
      <c r="O20" s="110"/>
    </row>
    <row r="21" spans="1:15" ht="24.95" customHeight="1" x14ac:dyDescent="0.2">
      <c r="A21" s="114">
        <v>20</v>
      </c>
      <c r="B21" s="63">
        <v>74</v>
      </c>
      <c r="C21" s="116" t="s">
        <v>327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1.84</v>
      </c>
      <c r="I21" s="105">
        <v>2</v>
      </c>
      <c r="J21" s="62">
        <v>4.12</v>
      </c>
      <c r="K21" s="62">
        <v>2</v>
      </c>
      <c r="L21" s="64">
        <v>4.5199999999999996</v>
      </c>
      <c r="M21" s="62">
        <v>9.02</v>
      </c>
      <c r="N21" s="101">
        <v>0</v>
      </c>
      <c r="O21" s="110"/>
    </row>
    <row r="22" spans="1:15" ht="24.95" customHeight="1" x14ac:dyDescent="0.2">
      <c r="A22" s="114">
        <v>21</v>
      </c>
      <c r="B22" s="63">
        <v>72</v>
      </c>
      <c r="C22" s="116" t="s">
        <v>326</v>
      </c>
      <c r="D22" s="70">
        <v>2</v>
      </c>
      <c r="E22" s="61">
        <v>4.16</v>
      </c>
      <c r="F22" s="61">
        <v>2</v>
      </c>
      <c r="G22" s="64">
        <v>4.5599999999999996</v>
      </c>
      <c r="H22" s="101">
        <v>2.12</v>
      </c>
      <c r="I22" s="105">
        <v>2</v>
      </c>
      <c r="J22" s="62">
        <v>3.84</v>
      </c>
      <c r="K22" s="62">
        <v>2</v>
      </c>
      <c r="L22" s="64">
        <v>4.24</v>
      </c>
      <c r="M22" s="62">
        <v>8.8000000000000007</v>
      </c>
      <c r="N22" s="101">
        <v>0</v>
      </c>
      <c r="O22" s="110"/>
    </row>
    <row r="23" spans="1:15" ht="24.95" customHeight="1" x14ac:dyDescent="0.2">
      <c r="A23" s="114">
        <v>22</v>
      </c>
      <c r="B23" s="63">
        <v>43</v>
      </c>
      <c r="C23" s="116" t="s">
        <v>306</v>
      </c>
      <c r="D23" s="70">
        <v>2</v>
      </c>
      <c r="E23" s="61">
        <v>4.04</v>
      </c>
      <c r="F23" s="61">
        <v>2</v>
      </c>
      <c r="G23" s="64">
        <v>4.4400000000000004</v>
      </c>
      <c r="H23" s="101">
        <v>2.06</v>
      </c>
      <c r="I23" s="105">
        <v>2</v>
      </c>
      <c r="J23" s="62">
        <v>3.92</v>
      </c>
      <c r="K23" s="62">
        <v>2</v>
      </c>
      <c r="L23" s="64">
        <v>4.32</v>
      </c>
      <c r="M23" s="62">
        <v>8.76</v>
      </c>
      <c r="N23" s="101">
        <v>0</v>
      </c>
      <c r="O23" s="110"/>
    </row>
    <row r="24" spans="1:15" ht="24.95" customHeight="1" x14ac:dyDescent="0.2">
      <c r="A24" s="114">
        <v>23</v>
      </c>
      <c r="B24" s="63">
        <v>9</v>
      </c>
      <c r="C24" s="115" t="s">
        <v>283</v>
      </c>
      <c r="D24" s="70">
        <v>1</v>
      </c>
      <c r="E24" s="61">
        <v>1.84</v>
      </c>
      <c r="F24" s="61">
        <v>1</v>
      </c>
      <c r="G24" s="64">
        <v>2.04</v>
      </c>
      <c r="H24" s="101">
        <v>1.84</v>
      </c>
      <c r="I24" s="105">
        <v>3</v>
      </c>
      <c r="J24" s="62">
        <v>5.54</v>
      </c>
      <c r="K24" s="62">
        <v>3</v>
      </c>
      <c r="L24" s="64">
        <v>6.14</v>
      </c>
      <c r="M24" s="62">
        <v>8.18</v>
      </c>
      <c r="N24" s="101">
        <v>0</v>
      </c>
      <c r="O24" s="110"/>
    </row>
    <row r="25" spans="1:15" ht="24.95" customHeight="1" x14ac:dyDescent="0.2">
      <c r="A25" s="114">
        <v>24</v>
      </c>
      <c r="B25" s="63">
        <v>38</v>
      </c>
      <c r="C25" s="116" t="s">
        <v>301</v>
      </c>
      <c r="D25" s="70">
        <v>0</v>
      </c>
      <c r="E25" s="61">
        <v>0</v>
      </c>
      <c r="F25" s="61">
        <v>0</v>
      </c>
      <c r="G25" s="64">
        <v>0</v>
      </c>
      <c r="H25" s="101">
        <v>0</v>
      </c>
      <c r="I25" s="105">
        <v>5</v>
      </c>
      <c r="J25" s="62">
        <v>6.56</v>
      </c>
      <c r="K25" s="62">
        <v>5</v>
      </c>
      <c r="L25" s="64">
        <v>7.56</v>
      </c>
      <c r="M25" s="62">
        <v>7.56</v>
      </c>
      <c r="N25" s="101">
        <v>0</v>
      </c>
      <c r="O25" s="110"/>
    </row>
    <row r="26" spans="1:15" ht="24.95" customHeight="1" x14ac:dyDescent="0.2">
      <c r="A26" s="114">
        <v>25</v>
      </c>
      <c r="B26" s="63">
        <v>49</v>
      </c>
      <c r="C26" s="116" t="s">
        <v>311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5</v>
      </c>
      <c r="J26" s="62">
        <v>6.48</v>
      </c>
      <c r="K26" s="62">
        <v>5</v>
      </c>
      <c r="L26" s="64">
        <v>7.48</v>
      </c>
      <c r="M26" s="62">
        <v>7.48</v>
      </c>
      <c r="N26" s="101">
        <v>0</v>
      </c>
      <c r="O26" s="110"/>
    </row>
    <row r="27" spans="1:15" ht="24.95" customHeight="1" x14ac:dyDescent="0.2">
      <c r="A27" s="114">
        <v>26</v>
      </c>
      <c r="B27" s="63">
        <v>13</v>
      </c>
      <c r="C27" s="116" t="s">
        <v>287</v>
      </c>
      <c r="D27" s="70">
        <v>2</v>
      </c>
      <c r="E27" s="61">
        <v>2.8</v>
      </c>
      <c r="F27" s="61">
        <v>2</v>
      </c>
      <c r="G27" s="64">
        <v>3.2</v>
      </c>
      <c r="H27" s="101">
        <v>2.2599999999999998</v>
      </c>
      <c r="I27" s="105">
        <v>2</v>
      </c>
      <c r="J27" s="62">
        <v>3.84</v>
      </c>
      <c r="K27" s="62">
        <v>2</v>
      </c>
      <c r="L27" s="64">
        <v>4.24</v>
      </c>
      <c r="M27" s="62">
        <v>7.44</v>
      </c>
      <c r="N27" s="101">
        <v>0</v>
      </c>
      <c r="O27" s="110"/>
    </row>
    <row r="28" spans="1:15" ht="24.95" customHeight="1" x14ac:dyDescent="0.2">
      <c r="A28" s="114">
        <v>27</v>
      </c>
      <c r="B28" s="63">
        <v>53</v>
      </c>
      <c r="C28" s="116" t="s">
        <v>314</v>
      </c>
      <c r="D28" s="70">
        <v>1</v>
      </c>
      <c r="E28" s="61">
        <v>1.96</v>
      </c>
      <c r="F28" s="61">
        <v>1</v>
      </c>
      <c r="G28" s="64">
        <v>2.16</v>
      </c>
      <c r="H28" s="101">
        <v>1.96</v>
      </c>
      <c r="I28" s="105">
        <v>3</v>
      </c>
      <c r="J28" s="62">
        <v>4.58</v>
      </c>
      <c r="K28" s="62">
        <v>3</v>
      </c>
      <c r="L28" s="64">
        <v>5.18</v>
      </c>
      <c r="M28" s="62">
        <v>7.34</v>
      </c>
      <c r="N28" s="101">
        <v>0</v>
      </c>
      <c r="O28" s="110"/>
    </row>
    <row r="29" spans="1:15" ht="24.95" customHeight="1" x14ac:dyDescent="0.2">
      <c r="A29" s="114">
        <v>28</v>
      </c>
      <c r="B29" s="63">
        <v>5</v>
      </c>
      <c r="C29" s="116" t="s">
        <v>241</v>
      </c>
      <c r="D29" s="70">
        <v>0</v>
      </c>
      <c r="E29" s="61">
        <v>0</v>
      </c>
      <c r="F29" s="61">
        <v>0</v>
      </c>
      <c r="G29" s="64">
        <v>0</v>
      </c>
      <c r="H29" s="101">
        <v>0</v>
      </c>
      <c r="I29" s="105">
        <v>4</v>
      </c>
      <c r="J29" s="62">
        <v>6.46</v>
      </c>
      <c r="K29" s="62">
        <v>4</v>
      </c>
      <c r="L29" s="64">
        <v>7.26</v>
      </c>
      <c r="M29" s="62">
        <v>7.26</v>
      </c>
      <c r="N29" s="101">
        <v>0</v>
      </c>
      <c r="O29" s="110"/>
    </row>
    <row r="30" spans="1:15" ht="24.95" customHeight="1" x14ac:dyDescent="0.2">
      <c r="A30" s="114">
        <v>29</v>
      </c>
      <c r="B30" s="63">
        <v>60</v>
      </c>
      <c r="C30" s="116" t="s">
        <v>317</v>
      </c>
      <c r="D30" s="70">
        <v>3</v>
      </c>
      <c r="E30" s="61">
        <v>3.28</v>
      </c>
      <c r="F30" s="61">
        <v>3</v>
      </c>
      <c r="G30" s="64">
        <v>3.88</v>
      </c>
      <c r="H30" s="101">
        <v>1.9</v>
      </c>
      <c r="I30" s="105">
        <v>2</v>
      </c>
      <c r="J30" s="62">
        <v>2.94</v>
      </c>
      <c r="K30" s="62">
        <v>2</v>
      </c>
      <c r="L30" s="64">
        <v>3.34</v>
      </c>
      <c r="M30" s="62">
        <v>7.22</v>
      </c>
      <c r="N30" s="101">
        <v>0</v>
      </c>
      <c r="O30" s="110"/>
    </row>
    <row r="31" spans="1:15" ht="24.95" customHeight="1" x14ac:dyDescent="0.2">
      <c r="A31" s="114">
        <v>30</v>
      </c>
      <c r="B31" s="63">
        <v>24</v>
      </c>
      <c r="C31" s="116" t="s">
        <v>253</v>
      </c>
      <c r="D31" s="70">
        <v>2</v>
      </c>
      <c r="E31" s="61">
        <v>4.4000000000000004</v>
      </c>
      <c r="F31" s="61">
        <v>2</v>
      </c>
      <c r="G31" s="64">
        <v>4.8</v>
      </c>
      <c r="H31" s="101">
        <v>2.36</v>
      </c>
      <c r="I31" s="105">
        <v>1</v>
      </c>
      <c r="J31" s="62">
        <v>2.02</v>
      </c>
      <c r="K31" s="62">
        <v>1</v>
      </c>
      <c r="L31" s="64">
        <v>2.2200000000000002</v>
      </c>
      <c r="M31" s="62">
        <v>7.02</v>
      </c>
      <c r="N31" s="101">
        <v>0</v>
      </c>
      <c r="O31" s="110"/>
    </row>
    <row r="32" spans="1:15" ht="24.95" customHeight="1" x14ac:dyDescent="0.2">
      <c r="A32" s="114">
        <v>31</v>
      </c>
      <c r="B32" s="63">
        <v>20</v>
      </c>
      <c r="C32" s="116" t="s">
        <v>291</v>
      </c>
      <c r="D32" s="70">
        <v>2</v>
      </c>
      <c r="E32" s="61">
        <v>4.08</v>
      </c>
      <c r="F32" s="61">
        <v>2</v>
      </c>
      <c r="G32" s="64">
        <v>4.4800000000000004</v>
      </c>
      <c r="H32" s="101">
        <v>2.06</v>
      </c>
      <c r="I32" s="105">
        <v>1</v>
      </c>
      <c r="J32" s="62">
        <v>2.2000000000000002</v>
      </c>
      <c r="K32" s="62">
        <v>1</v>
      </c>
      <c r="L32" s="64">
        <v>2.4</v>
      </c>
      <c r="M32" s="62">
        <v>6.88</v>
      </c>
      <c r="N32" s="101">
        <v>0</v>
      </c>
      <c r="O32" s="110"/>
    </row>
    <row r="33" spans="1:15" ht="24.95" customHeight="1" x14ac:dyDescent="0.2">
      <c r="A33" s="114">
        <v>32</v>
      </c>
      <c r="B33" s="63">
        <v>15</v>
      </c>
      <c r="C33" s="116" t="s">
        <v>289</v>
      </c>
      <c r="D33" s="70">
        <v>0</v>
      </c>
      <c r="E33" s="61">
        <v>0</v>
      </c>
      <c r="F33" s="61">
        <v>0</v>
      </c>
      <c r="G33" s="64">
        <v>0</v>
      </c>
      <c r="H33" s="101">
        <v>0</v>
      </c>
      <c r="I33" s="105">
        <v>4</v>
      </c>
      <c r="J33" s="62">
        <v>6.06</v>
      </c>
      <c r="K33" s="62">
        <v>4</v>
      </c>
      <c r="L33" s="64">
        <v>6.86</v>
      </c>
      <c r="M33" s="62">
        <v>6.86</v>
      </c>
      <c r="N33" s="101">
        <v>0</v>
      </c>
      <c r="O33" s="110"/>
    </row>
    <row r="34" spans="1:15" ht="24.95" customHeight="1" x14ac:dyDescent="0.2">
      <c r="A34" s="114">
        <v>33</v>
      </c>
      <c r="B34" s="63">
        <v>2</v>
      </c>
      <c r="C34" s="116" t="s">
        <v>279</v>
      </c>
      <c r="D34" s="70">
        <v>2</v>
      </c>
      <c r="E34" s="61">
        <v>4.3600000000000003</v>
      </c>
      <c r="F34" s="61">
        <v>2</v>
      </c>
      <c r="G34" s="64">
        <v>4.76</v>
      </c>
      <c r="H34" s="101">
        <v>2.44</v>
      </c>
      <c r="I34" s="105">
        <v>1</v>
      </c>
      <c r="J34" s="62">
        <v>1.84</v>
      </c>
      <c r="K34" s="62">
        <v>1</v>
      </c>
      <c r="L34" s="64">
        <v>2.04</v>
      </c>
      <c r="M34" s="62">
        <v>6.8</v>
      </c>
      <c r="N34" s="101">
        <v>0</v>
      </c>
      <c r="O34" s="110"/>
    </row>
    <row r="35" spans="1:15" ht="24.95" customHeight="1" x14ac:dyDescent="0.2">
      <c r="A35" s="114">
        <v>34</v>
      </c>
      <c r="B35" s="63">
        <v>28</v>
      </c>
      <c r="C35" s="116" t="s">
        <v>210</v>
      </c>
      <c r="D35" s="70">
        <v>0</v>
      </c>
      <c r="E35" s="61">
        <v>0</v>
      </c>
      <c r="F35" s="61">
        <v>0</v>
      </c>
      <c r="G35" s="64">
        <v>0</v>
      </c>
      <c r="H35" s="101">
        <v>0</v>
      </c>
      <c r="I35" s="105">
        <v>4</v>
      </c>
      <c r="J35" s="62">
        <v>5.92</v>
      </c>
      <c r="K35" s="62">
        <v>4</v>
      </c>
      <c r="L35" s="64">
        <v>6.72</v>
      </c>
      <c r="M35" s="62">
        <v>6.72</v>
      </c>
      <c r="N35" s="101">
        <v>0</v>
      </c>
      <c r="O35" s="110"/>
    </row>
    <row r="36" spans="1:15" ht="24.95" customHeight="1" x14ac:dyDescent="0.2">
      <c r="A36" s="114">
        <v>35</v>
      </c>
      <c r="B36" s="63">
        <v>52</v>
      </c>
      <c r="C36" s="116" t="s">
        <v>219</v>
      </c>
      <c r="D36" s="70">
        <v>3</v>
      </c>
      <c r="E36" s="61">
        <v>6.08</v>
      </c>
      <c r="F36" s="61">
        <v>3</v>
      </c>
      <c r="G36" s="64">
        <v>6.68</v>
      </c>
      <c r="H36" s="101">
        <v>2.98</v>
      </c>
      <c r="I36" s="105">
        <v>0</v>
      </c>
      <c r="J36" s="62">
        <v>0</v>
      </c>
      <c r="K36" s="62">
        <v>0</v>
      </c>
      <c r="L36" s="64">
        <v>0</v>
      </c>
      <c r="M36" s="62">
        <v>6.68</v>
      </c>
      <c r="N36" s="101">
        <v>0</v>
      </c>
      <c r="O36" s="110"/>
    </row>
    <row r="37" spans="1:15" ht="24.95" customHeight="1" x14ac:dyDescent="0.2">
      <c r="A37" s="114">
        <v>36</v>
      </c>
      <c r="B37" s="63">
        <v>32</v>
      </c>
      <c r="C37" s="116" t="s">
        <v>297</v>
      </c>
      <c r="D37" s="70">
        <v>1</v>
      </c>
      <c r="E37" s="61">
        <v>1.82</v>
      </c>
      <c r="F37" s="61">
        <v>1</v>
      </c>
      <c r="G37" s="64">
        <v>2.02</v>
      </c>
      <c r="H37" s="101">
        <v>1.82</v>
      </c>
      <c r="I37" s="105">
        <v>3</v>
      </c>
      <c r="J37" s="62">
        <v>3.86</v>
      </c>
      <c r="K37" s="62">
        <v>3</v>
      </c>
      <c r="L37" s="64">
        <v>4.46</v>
      </c>
      <c r="M37" s="62">
        <v>6.48</v>
      </c>
      <c r="N37" s="101">
        <v>0</v>
      </c>
      <c r="O37" s="110"/>
    </row>
    <row r="38" spans="1:15" ht="24.95" customHeight="1" x14ac:dyDescent="0.2">
      <c r="A38" s="114">
        <v>37</v>
      </c>
      <c r="B38" s="63">
        <v>70</v>
      </c>
      <c r="C38" s="116" t="s">
        <v>324</v>
      </c>
      <c r="D38" s="70">
        <v>0</v>
      </c>
      <c r="E38" s="61">
        <v>0</v>
      </c>
      <c r="F38" s="61">
        <v>0</v>
      </c>
      <c r="G38" s="64">
        <v>0</v>
      </c>
      <c r="H38" s="101">
        <v>0</v>
      </c>
      <c r="I38" s="105">
        <v>3</v>
      </c>
      <c r="J38" s="62">
        <v>5.72</v>
      </c>
      <c r="K38" s="62">
        <v>3</v>
      </c>
      <c r="L38" s="64">
        <v>6.32</v>
      </c>
      <c r="M38" s="62">
        <v>6.32</v>
      </c>
      <c r="N38" s="101">
        <v>0</v>
      </c>
      <c r="O38" s="110"/>
    </row>
    <row r="39" spans="1:15" ht="24.95" customHeight="1" x14ac:dyDescent="0.2">
      <c r="A39" s="114">
        <v>38</v>
      </c>
      <c r="B39" s="63">
        <v>29</v>
      </c>
      <c r="C39" s="116" t="s">
        <v>294</v>
      </c>
      <c r="D39" s="70">
        <v>0</v>
      </c>
      <c r="E39" s="61">
        <v>0</v>
      </c>
      <c r="F39" s="61">
        <v>0</v>
      </c>
      <c r="G39" s="64">
        <v>0</v>
      </c>
      <c r="H39" s="101">
        <v>0</v>
      </c>
      <c r="I39" s="105">
        <v>2</v>
      </c>
      <c r="J39" s="62">
        <v>5.84</v>
      </c>
      <c r="K39" s="62">
        <v>2</v>
      </c>
      <c r="L39" s="64">
        <v>6.24</v>
      </c>
      <c r="M39" s="62">
        <v>6.24</v>
      </c>
      <c r="N39" s="101">
        <v>0</v>
      </c>
      <c r="O39" s="110"/>
    </row>
    <row r="40" spans="1:15" ht="24.95" customHeight="1" x14ac:dyDescent="0.2">
      <c r="A40" s="114">
        <v>39</v>
      </c>
      <c r="B40" s="63">
        <v>12</v>
      </c>
      <c r="C40" s="116" t="s">
        <v>286</v>
      </c>
      <c r="D40" s="70">
        <v>1</v>
      </c>
      <c r="E40" s="61">
        <v>1.02</v>
      </c>
      <c r="F40" s="61">
        <v>1</v>
      </c>
      <c r="G40" s="64">
        <v>1.22</v>
      </c>
      <c r="H40" s="101">
        <v>1.02</v>
      </c>
      <c r="I40" s="105">
        <v>2</v>
      </c>
      <c r="J40" s="62">
        <v>4.5</v>
      </c>
      <c r="K40" s="62">
        <v>2</v>
      </c>
      <c r="L40" s="64">
        <v>4.9000000000000004</v>
      </c>
      <c r="M40" s="62">
        <v>6.12</v>
      </c>
      <c r="N40" s="101">
        <v>0</v>
      </c>
      <c r="O40" s="110"/>
    </row>
    <row r="41" spans="1:15" ht="24.95" customHeight="1" x14ac:dyDescent="0.2">
      <c r="A41" s="114">
        <v>40</v>
      </c>
      <c r="B41" s="63">
        <v>73</v>
      </c>
      <c r="C41" s="116" t="s">
        <v>252</v>
      </c>
      <c r="D41" s="70">
        <v>2</v>
      </c>
      <c r="E41" s="61">
        <v>2.76</v>
      </c>
      <c r="F41" s="61">
        <v>2</v>
      </c>
      <c r="G41" s="64">
        <v>3.16</v>
      </c>
      <c r="H41" s="101">
        <v>1.94</v>
      </c>
      <c r="I41" s="105">
        <v>1</v>
      </c>
      <c r="J41" s="62">
        <v>2.54</v>
      </c>
      <c r="K41" s="62">
        <v>1</v>
      </c>
      <c r="L41" s="64">
        <v>2.74</v>
      </c>
      <c r="M41" s="62">
        <v>5.9</v>
      </c>
      <c r="N41" s="101">
        <v>0</v>
      </c>
      <c r="O41" s="110"/>
    </row>
    <row r="42" spans="1:15" ht="24.95" customHeight="1" x14ac:dyDescent="0.2">
      <c r="A42" s="114">
        <v>41</v>
      </c>
      <c r="B42" s="63">
        <v>4</v>
      </c>
      <c r="C42" s="115" t="s">
        <v>227</v>
      </c>
      <c r="D42" s="70">
        <v>2</v>
      </c>
      <c r="E42" s="61">
        <v>3.12</v>
      </c>
      <c r="F42" s="61">
        <v>2</v>
      </c>
      <c r="G42" s="64">
        <v>3.52</v>
      </c>
      <c r="H42" s="101">
        <v>2.2400000000000002</v>
      </c>
      <c r="I42" s="105">
        <v>1</v>
      </c>
      <c r="J42" s="62">
        <v>2.16</v>
      </c>
      <c r="K42" s="62">
        <v>1</v>
      </c>
      <c r="L42" s="64">
        <v>2.36</v>
      </c>
      <c r="M42" s="62">
        <v>5.88</v>
      </c>
      <c r="N42" s="101">
        <v>0</v>
      </c>
      <c r="O42" s="110"/>
    </row>
    <row r="43" spans="1:15" ht="24.95" customHeight="1" x14ac:dyDescent="0.2">
      <c r="A43" s="114">
        <v>42</v>
      </c>
      <c r="B43" s="63">
        <v>17</v>
      </c>
      <c r="C43" s="116" t="s">
        <v>226</v>
      </c>
      <c r="D43" s="70">
        <v>1</v>
      </c>
      <c r="E43" s="61">
        <v>2.48</v>
      </c>
      <c r="F43" s="61">
        <v>1</v>
      </c>
      <c r="G43" s="64">
        <v>2.68</v>
      </c>
      <c r="H43" s="101">
        <v>2.48</v>
      </c>
      <c r="I43" s="105">
        <v>2</v>
      </c>
      <c r="J43" s="62">
        <v>2.78</v>
      </c>
      <c r="K43" s="62">
        <v>2</v>
      </c>
      <c r="L43" s="64">
        <v>3.18</v>
      </c>
      <c r="M43" s="62">
        <v>5.86</v>
      </c>
      <c r="N43" s="101">
        <v>0</v>
      </c>
      <c r="O43" s="110"/>
    </row>
    <row r="44" spans="1:15" ht="24.95" customHeight="1" x14ac:dyDescent="0.2">
      <c r="A44" s="114">
        <v>43</v>
      </c>
      <c r="B44" s="63">
        <v>47</v>
      </c>
      <c r="C44" s="116" t="s">
        <v>310</v>
      </c>
      <c r="D44" s="70">
        <v>0</v>
      </c>
      <c r="E44" s="61">
        <v>0</v>
      </c>
      <c r="F44" s="61">
        <v>0</v>
      </c>
      <c r="G44" s="64">
        <v>0</v>
      </c>
      <c r="H44" s="101">
        <v>0</v>
      </c>
      <c r="I44" s="105">
        <v>3</v>
      </c>
      <c r="J44" s="62">
        <v>5.0599999999999996</v>
      </c>
      <c r="K44" s="62">
        <v>3</v>
      </c>
      <c r="L44" s="64">
        <v>5.66</v>
      </c>
      <c r="M44" s="62">
        <v>5.66</v>
      </c>
      <c r="N44" s="101">
        <v>0</v>
      </c>
      <c r="O44" s="110"/>
    </row>
    <row r="45" spans="1:15" ht="24.95" customHeight="1" x14ac:dyDescent="0.2">
      <c r="A45" s="114">
        <v>44</v>
      </c>
      <c r="B45" s="63">
        <v>71</v>
      </c>
      <c r="C45" s="116" t="s">
        <v>325</v>
      </c>
      <c r="D45" s="70">
        <v>3</v>
      </c>
      <c r="E45" s="61">
        <v>5.16</v>
      </c>
      <c r="F45" s="61">
        <v>2</v>
      </c>
      <c r="G45" s="64">
        <v>5.56</v>
      </c>
      <c r="H45" s="101">
        <v>2.2200000000000002</v>
      </c>
      <c r="I45" s="105">
        <v>0</v>
      </c>
      <c r="J45" s="62">
        <v>0</v>
      </c>
      <c r="K45" s="62">
        <v>0</v>
      </c>
      <c r="L45" s="64">
        <v>0</v>
      </c>
      <c r="M45" s="62">
        <v>5.56</v>
      </c>
      <c r="N45" s="101">
        <v>0</v>
      </c>
      <c r="O45" s="110"/>
    </row>
    <row r="46" spans="1:15" ht="24.95" customHeight="1" x14ac:dyDescent="0.2">
      <c r="A46" s="114">
        <v>45</v>
      </c>
      <c r="B46" s="63">
        <v>67</v>
      </c>
      <c r="C46" s="116" t="s">
        <v>322</v>
      </c>
      <c r="D46" s="70">
        <v>1</v>
      </c>
      <c r="E46" s="61">
        <v>1.7</v>
      </c>
      <c r="F46" s="61">
        <v>1</v>
      </c>
      <c r="G46" s="64">
        <v>1.9</v>
      </c>
      <c r="H46" s="101">
        <v>1.7</v>
      </c>
      <c r="I46" s="105">
        <v>2</v>
      </c>
      <c r="J46" s="62">
        <v>3.2</v>
      </c>
      <c r="K46" s="62">
        <v>2</v>
      </c>
      <c r="L46" s="64">
        <v>3.6</v>
      </c>
      <c r="M46" s="62">
        <v>5.5</v>
      </c>
      <c r="N46" s="101">
        <v>0</v>
      </c>
      <c r="O46" s="110"/>
    </row>
    <row r="47" spans="1:15" ht="24.95" customHeight="1" x14ac:dyDescent="0.2">
      <c r="A47" s="114">
        <v>46</v>
      </c>
      <c r="B47" s="63">
        <v>55</v>
      </c>
      <c r="C47" s="116" t="s">
        <v>316</v>
      </c>
      <c r="D47" s="70">
        <v>2</v>
      </c>
      <c r="E47" s="61">
        <v>4.9400000000000004</v>
      </c>
      <c r="F47" s="61">
        <v>2</v>
      </c>
      <c r="G47" s="64">
        <v>5.34</v>
      </c>
      <c r="H47" s="101">
        <v>2.48</v>
      </c>
      <c r="I47" s="105">
        <v>0</v>
      </c>
      <c r="J47" s="62">
        <v>0</v>
      </c>
      <c r="K47" s="62">
        <v>0</v>
      </c>
      <c r="L47" s="64">
        <v>0</v>
      </c>
      <c r="M47" s="62">
        <v>5.34</v>
      </c>
      <c r="N47" s="101">
        <v>0</v>
      </c>
      <c r="O47" s="110"/>
    </row>
    <row r="48" spans="1:15" ht="24.95" customHeight="1" x14ac:dyDescent="0.2">
      <c r="A48" s="114">
        <v>47</v>
      </c>
      <c r="B48" s="63">
        <v>3</v>
      </c>
      <c r="C48" s="116" t="s">
        <v>280</v>
      </c>
      <c r="D48" s="70">
        <v>1</v>
      </c>
      <c r="E48" s="61">
        <v>2.02</v>
      </c>
      <c r="F48" s="61">
        <v>1</v>
      </c>
      <c r="G48" s="64">
        <v>2.2200000000000002</v>
      </c>
      <c r="H48" s="101">
        <v>2.02</v>
      </c>
      <c r="I48" s="105">
        <v>2</v>
      </c>
      <c r="J48" s="62">
        <v>2.66</v>
      </c>
      <c r="K48" s="62">
        <v>2</v>
      </c>
      <c r="L48" s="64">
        <v>3.06</v>
      </c>
      <c r="M48" s="62">
        <v>5.28</v>
      </c>
      <c r="N48" s="101">
        <v>0</v>
      </c>
      <c r="O48" s="110"/>
    </row>
    <row r="49" spans="1:15" ht="24.95" customHeight="1" x14ac:dyDescent="0.2">
      <c r="A49" s="114">
        <v>48</v>
      </c>
      <c r="B49" s="63">
        <v>6</v>
      </c>
      <c r="C49" s="115" t="s">
        <v>281</v>
      </c>
      <c r="D49" s="70">
        <v>0</v>
      </c>
      <c r="E49" s="61">
        <v>0</v>
      </c>
      <c r="F49" s="61">
        <v>0</v>
      </c>
      <c r="G49" s="64">
        <v>0</v>
      </c>
      <c r="H49" s="101">
        <v>0</v>
      </c>
      <c r="I49" s="105">
        <v>3</v>
      </c>
      <c r="J49" s="62">
        <v>4.68</v>
      </c>
      <c r="K49" s="62">
        <v>3</v>
      </c>
      <c r="L49" s="64">
        <v>5.28</v>
      </c>
      <c r="M49" s="62">
        <v>5.28</v>
      </c>
      <c r="N49" s="101">
        <v>0</v>
      </c>
      <c r="O49" s="110"/>
    </row>
    <row r="50" spans="1:15" ht="24.95" customHeight="1" x14ac:dyDescent="0.2">
      <c r="A50" s="114">
        <v>49</v>
      </c>
      <c r="B50" s="63">
        <v>39</v>
      </c>
      <c r="C50" s="116" t="s">
        <v>302</v>
      </c>
      <c r="D50" s="70">
        <v>3</v>
      </c>
      <c r="E50" s="61">
        <v>4.54</v>
      </c>
      <c r="F50" s="61">
        <v>3</v>
      </c>
      <c r="G50" s="64">
        <v>5.14</v>
      </c>
      <c r="H50" s="101">
        <v>2.2000000000000002</v>
      </c>
      <c r="I50" s="105">
        <v>0</v>
      </c>
      <c r="J50" s="62">
        <v>0</v>
      </c>
      <c r="K50" s="62">
        <v>0</v>
      </c>
      <c r="L50" s="64">
        <v>0</v>
      </c>
      <c r="M50" s="62">
        <v>5.14</v>
      </c>
      <c r="N50" s="101">
        <v>0</v>
      </c>
      <c r="O50" s="110"/>
    </row>
    <row r="51" spans="1:15" ht="24.95" customHeight="1" x14ac:dyDescent="0.2">
      <c r="A51" s="114">
        <v>50</v>
      </c>
      <c r="B51" s="63">
        <v>22</v>
      </c>
      <c r="C51" s="116" t="s">
        <v>218</v>
      </c>
      <c r="D51" s="70">
        <v>3</v>
      </c>
      <c r="E51" s="61">
        <v>4.4000000000000004</v>
      </c>
      <c r="F51" s="61">
        <v>3</v>
      </c>
      <c r="G51" s="64">
        <v>5</v>
      </c>
      <c r="H51" s="101">
        <v>1.92</v>
      </c>
      <c r="I51" s="105">
        <v>0</v>
      </c>
      <c r="J51" s="62">
        <v>0</v>
      </c>
      <c r="K51" s="62">
        <v>0</v>
      </c>
      <c r="L51" s="64">
        <v>0</v>
      </c>
      <c r="M51" s="62">
        <v>5</v>
      </c>
      <c r="N51" s="101">
        <v>0</v>
      </c>
      <c r="O51" s="110"/>
    </row>
    <row r="52" spans="1:15" ht="24.95" customHeight="1" x14ac:dyDescent="0.2">
      <c r="A52" s="114">
        <v>51</v>
      </c>
      <c r="B52" s="63">
        <v>14</v>
      </c>
      <c r="C52" s="116" t="s">
        <v>288</v>
      </c>
      <c r="D52" s="70">
        <v>1</v>
      </c>
      <c r="E52" s="61">
        <v>0.54</v>
      </c>
      <c r="F52" s="61">
        <v>1</v>
      </c>
      <c r="G52" s="64">
        <v>0.74</v>
      </c>
      <c r="H52" s="101">
        <v>0.54</v>
      </c>
      <c r="I52" s="105">
        <v>2</v>
      </c>
      <c r="J52" s="62">
        <v>3.84</v>
      </c>
      <c r="K52" s="62">
        <v>2</v>
      </c>
      <c r="L52" s="64">
        <v>4.24</v>
      </c>
      <c r="M52" s="62">
        <v>4.9800000000000004</v>
      </c>
      <c r="N52" s="101">
        <v>0</v>
      </c>
      <c r="O52" s="110"/>
    </row>
    <row r="53" spans="1:15" ht="24.95" customHeight="1" x14ac:dyDescent="0.2">
      <c r="A53" s="114">
        <v>52</v>
      </c>
      <c r="B53" s="63">
        <v>57</v>
      </c>
      <c r="C53" s="116" t="s">
        <v>211</v>
      </c>
      <c r="D53" s="70">
        <v>1</v>
      </c>
      <c r="E53" s="61">
        <v>0.18</v>
      </c>
      <c r="F53" s="61">
        <v>1</v>
      </c>
      <c r="G53" s="64">
        <v>0.38</v>
      </c>
      <c r="H53" s="101">
        <v>0.18</v>
      </c>
      <c r="I53" s="105">
        <v>2</v>
      </c>
      <c r="J53" s="62">
        <v>4.12</v>
      </c>
      <c r="K53" s="62">
        <v>2</v>
      </c>
      <c r="L53" s="64">
        <v>4.5199999999999996</v>
      </c>
      <c r="M53" s="62">
        <v>4.9000000000000004</v>
      </c>
      <c r="N53" s="101">
        <v>0</v>
      </c>
      <c r="O53" s="110"/>
    </row>
    <row r="54" spans="1:15" ht="24.95" customHeight="1" x14ac:dyDescent="0.2">
      <c r="A54" s="114">
        <v>53</v>
      </c>
      <c r="B54" s="63">
        <v>48</v>
      </c>
      <c r="C54" s="116" t="s">
        <v>225</v>
      </c>
      <c r="D54" s="70">
        <v>2</v>
      </c>
      <c r="E54" s="61">
        <v>4.42</v>
      </c>
      <c r="F54" s="61">
        <v>2</v>
      </c>
      <c r="G54" s="64">
        <v>4.82</v>
      </c>
      <c r="H54" s="101">
        <v>2.2400000000000002</v>
      </c>
      <c r="I54" s="105">
        <v>0</v>
      </c>
      <c r="J54" s="62">
        <v>0</v>
      </c>
      <c r="K54" s="62">
        <v>0</v>
      </c>
      <c r="L54" s="64">
        <v>0</v>
      </c>
      <c r="M54" s="62">
        <v>4.82</v>
      </c>
      <c r="N54" s="101">
        <v>0</v>
      </c>
      <c r="O54" s="110"/>
    </row>
    <row r="55" spans="1:15" ht="24.95" customHeight="1" x14ac:dyDescent="0.2">
      <c r="A55" s="114">
        <v>54</v>
      </c>
      <c r="B55" s="63">
        <v>62</v>
      </c>
      <c r="C55" s="116" t="s">
        <v>319</v>
      </c>
      <c r="D55" s="70">
        <v>2</v>
      </c>
      <c r="E55" s="61">
        <v>4.3600000000000003</v>
      </c>
      <c r="F55" s="61">
        <v>2</v>
      </c>
      <c r="G55" s="64">
        <v>4.76</v>
      </c>
      <c r="H55" s="101">
        <v>2.34</v>
      </c>
      <c r="I55" s="105">
        <v>0</v>
      </c>
      <c r="J55" s="62">
        <v>0</v>
      </c>
      <c r="K55" s="62">
        <v>0</v>
      </c>
      <c r="L55" s="64">
        <v>0</v>
      </c>
      <c r="M55" s="62">
        <v>4.76</v>
      </c>
      <c r="N55" s="101">
        <v>0</v>
      </c>
      <c r="O55" s="110"/>
    </row>
    <row r="56" spans="1:15" ht="24.95" customHeight="1" x14ac:dyDescent="0.2">
      <c r="A56" s="114">
        <v>55</v>
      </c>
      <c r="B56" s="63">
        <v>19</v>
      </c>
      <c r="C56" s="116" t="s">
        <v>290</v>
      </c>
      <c r="D56" s="70">
        <v>2</v>
      </c>
      <c r="E56" s="61">
        <v>4.04</v>
      </c>
      <c r="F56" s="61">
        <v>2</v>
      </c>
      <c r="G56" s="64">
        <v>4.4400000000000004</v>
      </c>
      <c r="H56" s="101">
        <v>2.02</v>
      </c>
      <c r="I56" s="105">
        <v>0</v>
      </c>
      <c r="J56" s="62">
        <v>0</v>
      </c>
      <c r="K56" s="62">
        <v>0</v>
      </c>
      <c r="L56" s="64">
        <v>0</v>
      </c>
      <c r="M56" s="62">
        <v>4.4400000000000004</v>
      </c>
      <c r="N56" s="101">
        <v>0</v>
      </c>
      <c r="O56" s="110"/>
    </row>
    <row r="57" spans="1:15" ht="24.95" customHeight="1" x14ac:dyDescent="0.2">
      <c r="A57" s="114">
        <v>56</v>
      </c>
      <c r="B57" s="63">
        <v>31</v>
      </c>
      <c r="C57" s="116" t="s">
        <v>296</v>
      </c>
      <c r="D57" s="70">
        <v>2</v>
      </c>
      <c r="E57" s="61">
        <v>4</v>
      </c>
      <c r="F57" s="61">
        <v>2</v>
      </c>
      <c r="G57" s="64">
        <v>4.4000000000000004</v>
      </c>
      <c r="H57" s="101">
        <v>2.02</v>
      </c>
      <c r="I57" s="105">
        <v>0</v>
      </c>
      <c r="J57" s="62">
        <v>0</v>
      </c>
      <c r="K57" s="62">
        <v>0</v>
      </c>
      <c r="L57" s="64">
        <v>0</v>
      </c>
      <c r="M57" s="62">
        <v>4.4000000000000004</v>
      </c>
      <c r="N57" s="101">
        <v>0</v>
      </c>
      <c r="O57" s="110"/>
    </row>
    <row r="58" spans="1:15" ht="24.95" customHeight="1" x14ac:dyDescent="0.2">
      <c r="A58" s="114">
        <v>57</v>
      </c>
      <c r="B58" s="63">
        <v>65</v>
      </c>
      <c r="C58" s="116" t="s">
        <v>257</v>
      </c>
      <c r="D58" s="70">
        <v>1</v>
      </c>
      <c r="E58" s="61">
        <v>2.06</v>
      </c>
      <c r="F58" s="61">
        <v>1</v>
      </c>
      <c r="G58" s="64">
        <v>2.2599999999999998</v>
      </c>
      <c r="H58" s="101">
        <v>2.06</v>
      </c>
      <c r="I58" s="105">
        <v>1</v>
      </c>
      <c r="J58" s="62">
        <v>1.9</v>
      </c>
      <c r="K58" s="62">
        <v>1</v>
      </c>
      <c r="L58" s="64">
        <v>2.1</v>
      </c>
      <c r="M58" s="62">
        <v>4.3600000000000003</v>
      </c>
      <c r="N58" s="101">
        <v>0</v>
      </c>
      <c r="O58" s="110"/>
    </row>
    <row r="59" spans="1:15" ht="24.95" customHeight="1" x14ac:dyDescent="0.2">
      <c r="A59" s="114">
        <v>58</v>
      </c>
      <c r="B59" s="63">
        <v>8</v>
      </c>
      <c r="C59" s="115" t="s">
        <v>272</v>
      </c>
      <c r="D59" s="70">
        <v>1</v>
      </c>
      <c r="E59" s="61">
        <v>1.94</v>
      </c>
      <c r="F59" s="61">
        <v>1</v>
      </c>
      <c r="G59" s="64">
        <v>2.14</v>
      </c>
      <c r="H59" s="101">
        <v>1.94</v>
      </c>
      <c r="I59" s="105">
        <v>1</v>
      </c>
      <c r="J59" s="62">
        <v>2.02</v>
      </c>
      <c r="K59" s="62">
        <v>1</v>
      </c>
      <c r="L59" s="64">
        <v>2.2200000000000002</v>
      </c>
      <c r="M59" s="62">
        <v>4.3600000000000003</v>
      </c>
      <c r="N59" s="101">
        <v>0</v>
      </c>
      <c r="O59" s="110"/>
    </row>
    <row r="60" spans="1:15" ht="24.95" customHeight="1" x14ac:dyDescent="0.2">
      <c r="A60" s="114">
        <v>59</v>
      </c>
      <c r="B60" s="63">
        <v>25</v>
      </c>
      <c r="C60" s="116" t="s">
        <v>293</v>
      </c>
      <c r="D60" s="70">
        <v>2</v>
      </c>
      <c r="E60" s="61">
        <v>3.94</v>
      </c>
      <c r="F60" s="61">
        <v>2</v>
      </c>
      <c r="G60" s="64">
        <v>4.34</v>
      </c>
      <c r="H60" s="101">
        <v>2.12</v>
      </c>
      <c r="I60" s="105">
        <v>0</v>
      </c>
      <c r="J60" s="62">
        <v>0</v>
      </c>
      <c r="K60" s="62">
        <v>0</v>
      </c>
      <c r="L60" s="64">
        <v>0</v>
      </c>
      <c r="M60" s="62">
        <v>4.34</v>
      </c>
      <c r="N60" s="101">
        <v>0</v>
      </c>
      <c r="O60" s="110"/>
    </row>
    <row r="61" spans="1:15" ht="24.95" customHeight="1" x14ac:dyDescent="0.2">
      <c r="A61" s="114">
        <v>60</v>
      </c>
      <c r="B61" s="63">
        <v>46</v>
      </c>
      <c r="C61" s="116" t="s">
        <v>309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2</v>
      </c>
      <c r="J61" s="62">
        <v>3.78</v>
      </c>
      <c r="K61" s="62">
        <v>2</v>
      </c>
      <c r="L61" s="64">
        <v>4.18</v>
      </c>
      <c r="M61" s="62">
        <v>4.18</v>
      </c>
      <c r="N61" s="101">
        <v>0</v>
      </c>
      <c r="O61" s="110"/>
    </row>
    <row r="62" spans="1:15" ht="24.95" customHeight="1" x14ac:dyDescent="0.2">
      <c r="A62" s="114">
        <v>61</v>
      </c>
      <c r="B62" s="63">
        <v>21</v>
      </c>
      <c r="C62" s="116" t="s">
        <v>292</v>
      </c>
      <c r="D62" s="70">
        <v>1</v>
      </c>
      <c r="E62" s="61">
        <v>2.66</v>
      </c>
      <c r="F62" s="61">
        <v>1</v>
      </c>
      <c r="G62" s="64">
        <v>2.86</v>
      </c>
      <c r="H62" s="101">
        <v>2.66</v>
      </c>
      <c r="I62" s="105">
        <v>0</v>
      </c>
      <c r="J62" s="62">
        <v>0</v>
      </c>
      <c r="K62" s="62">
        <v>0</v>
      </c>
      <c r="L62" s="64">
        <v>0</v>
      </c>
      <c r="M62" s="62">
        <v>2.86</v>
      </c>
      <c r="N62" s="101">
        <v>0</v>
      </c>
      <c r="O62" s="110"/>
    </row>
    <row r="63" spans="1:15" ht="24.95" customHeight="1" x14ac:dyDescent="0.2">
      <c r="A63" s="114">
        <v>62</v>
      </c>
      <c r="B63" s="63">
        <v>41</v>
      </c>
      <c r="C63" s="116" t="s">
        <v>304</v>
      </c>
      <c r="D63" s="70">
        <v>1</v>
      </c>
      <c r="E63" s="61">
        <v>2.66</v>
      </c>
      <c r="F63" s="61">
        <v>1</v>
      </c>
      <c r="G63" s="64">
        <v>2.86</v>
      </c>
      <c r="H63" s="101">
        <v>2.66</v>
      </c>
      <c r="I63" s="105">
        <v>0</v>
      </c>
      <c r="J63" s="62">
        <v>0</v>
      </c>
      <c r="K63" s="62">
        <v>0</v>
      </c>
      <c r="L63" s="64">
        <v>0</v>
      </c>
      <c r="M63" s="62">
        <v>2.86</v>
      </c>
      <c r="N63" s="101">
        <v>0</v>
      </c>
      <c r="O63" s="110"/>
    </row>
    <row r="64" spans="1:15" ht="24.95" customHeight="1" x14ac:dyDescent="0.2">
      <c r="A64" s="114">
        <v>63</v>
      </c>
      <c r="B64" s="63">
        <v>45</v>
      </c>
      <c r="C64" s="116" t="s">
        <v>308</v>
      </c>
      <c r="D64" s="70">
        <v>2</v>
      </c>
      <c r="E64" s="61">
        <v>2.3199999999999998</v>
      </c>
      <c r="F64" s="61">
        <v>2</v>
      </c>
      <c r="G64" s="64">
        <v>2.72</v>
      </c>
      <c r="H64" s="101">
        <v>1.8</v>
      </c>
      <c r="I64" s="105">
        <v>0</v>
      </c>
      <c r="J64" s="62">
        <v>0</v>
      </c>
      <c r="K64" s="62">
        <v>0</v>
      </c>
      <c r="L64" s="64">
        <v>0</v>
      </c>
      <c r="M64" s="62">
        <v>2.72</v>
      </c>
      <c r="N64" s="101">
        <v>0</v>
      </c>
      <c r="O64" s="110"/>
    </row>
    <row r="65" spans="1:15" ht="24.95" customHeight="1" x14ac:dyDescent="0.2">
      <c r="A65" s="114">
        <v>64</v>
      </c>
      <c r="B65" s="63">
        <v>10</v>
      </c>
      <c r="C65" s="116" t="s">
        <v>284</v>
      </c>
      <c r="D65" s="70">
        <v>1</v>
      </c>
      <c r="E65" s="61">
        <v>2.36</v>
      </c>
      <c r="F65" s="61">
        <v>1</v>
      </c>
      <c r="G65" s="64">
        <v>2.56</v>
      </c>
      <c r="H65" s="101">
        <v>2.36</v>
      </c>
      <c r="I65" s="105">
        <v>0</v>
      </c>
      <c r="J65" s="62">
        <v>0</v>
      </c>
      <c r="K65" s="62">
        <v>0</v>
      </c>
      <c r="L65" s="64">
        <v>0</v>
      </c>
      <c r="M65" s="62">
        <v>2.56</v>
      </c>
      <c r="N65" s="101">
        <v>0</v>
      </c>
      <c r="O65" s="110"/>
    </row>
    <row r="66" spans="1:15" ht="24.95" customHeight="1" x14ac:dyDescent="0.2">
      <c r="A66" s="114">
        <v>65</v>
      </c>
      <c r="B66" s="63">
        <v>51</v>
      </c>
      <c r="C66" s="116" t="s">
        <v>313</v>
      </c>
      <c r="D66" s="70">
        <v>1</v>
      </c>
      <c r="E66" s="61">
        <v>2.2000000000000002</v>
      </c>
      <c r="F66" s="61">
        <v>1</v>
      </c>
      <c r="G66" s="64">
        <v>2.4</v>
      </c>
      <c r="H66" s="101">
        <v>2.2000000000000002</v>
      </c>
      <c r="I66" s="105">
        <v>0</v>
      </c>
      <c r="J66" s="62">
        <v>0</v>
      </c>
      <c r="K66" s="62">
        <v>0</v>
      </c>
      <c r="L66" s="64">
        <v>0</v>
      </c>
      <c r="M66" s="62">
        <v>2.4</v>
      </c>
      <c r="N66" s="101">
        <v>0</v>
      </c>
      <c r="O66" s="110"/>
    </row>
    <row r="67" spans="1:15" ht="24.95" customHeight="1" x14ac:dyDescent="0.2">
      <c r="A67" s="114">
        <v>66</v>
      </c>
      <c r="B67" s="63">
        <v>76</v>
      </c>
      <c r="C67" s="116" t="s">
        <v>329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1</v>
      </c>
      <c r="J67" s="62">
        <v>2.1</v>
      </c>
      <c r="K67" s="62">
        <v>1</v>
      </c>
      <c r="L67" s="64">
        <v>2.2999999999999998</v>
      </c>
      <c r="M67" s="62">
        <v>2.2999999999999998</v>
      </c>
      <c r="N67" s="101">
        <v>0</v>
      </c>
      <c r="O67" s="110"/>
    </row>
    <row r="68" spans="1:15" ht="24.95" customHeight="1" x14ac:dyDescent="0.2">
      <c r="A68" s="114">
        <v>67</v>
      </c>
      <c r="B68" s="63">
        <v>11</v>
      </c>
      <c r="C68" s="116" t="s">
        <v>285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</v>
      </c>
      <c r="K68" s="62">
        <v>1</v>
      </c>
      <c r="L68" s="64">
        <v>2.2000000000000002</v>
      </c>
      <c r="M68" s="62">
        <v>2.2000000000000002</v>
      </c>
      <c r="N68" s="101">
        <v>0</v>
      </c>
      <c r="O68" s="110"/>
    </row>
    <row r="69" spans="1:15" ht="24.95" customHeight="1" x14ac:dyDescent="0.2">
      <c r="A69" s="114">
        <v>68</v>
      </c>
      <c r="B69" s="63">
        <v>66</v>
      </c>
      <c r="C69" s="116" t="s">
        <v>321</v>
      </c>
      <c r="D69" s="70">
        <v>1</v>
      </c>
      <c r="E69" s="61">
        <v>1.88</v>
      </c>
      <c r="F69" s="61">
        <v>1</v>
      </c>
      <c r="G69" s="64">
        <v>2.08</v>
      </c>
      <c r="H69" s="101">
        <v>1.88</v>
      </c>
      <c r="I69" s="105">
        <v>0</v>
      </c>
      <c r="J69" s="62">
        <v>0</v>
      </c>
      <c r="K69" s="62">
        <v>0</v>
      </c>
      <c r="L69" s="64">
        <v>0</v>
      </c>
      <c r="M69" s="62">
        <v>2.08</v>
      </c>
      <c r="N69" s="101">
        <v>0</v>
      </c>
      <c r="O69" s="110"/>
    </row>
    <row r="70" spans="1:15" ht="24.95" customHeight="1" x14ac:dyDescent="0.2">
      <c r="A70" s="114">
        <v>69</v>
      </c>
      <c r="B70" s="63">
        <v>37</v>
      </c>
      <c r="C70" s="116" t="s">
        <v>300</v>
      </c>
      <c r="D70" s="70">
        <v>1</v>
      </c>
      <c r="E70" s="61">
        <v>1.84</v>
      </c>
      <c r="F70" s="61">
        <v>1</v>
      </c>
      <c r="G70" s="64">
        <v>2.04</v>
      </c>
      <c r="H70" s="101">
        <v>1.84</v>
      </c>
      <c r="I70" s="105">
        <v>0</v>
      </c>
      <c r="J70" s="62">
        <v>0</v>
      </c>
      <c r="K70" s="62">
        <v>0</v>
      </c>
      <c r="L70" s="64">
        <v>0</v>
      </c>
      <c r="M70" s="62">
        <v>2.04</v>
      </c>
      <c r="N70" s="101">
        <v>0</v>
      </c>
      <c r="O70" s="110"/>
    </row>
    <row r="71" spans="1:15" ht="24.95" customHeight="1" x14ac:dyDescent="0.2">
      <c r="A71" s="114">
        <v>70</v>
      </c>
      <c r="B71" s="63">
        <v>7</v>
      </c>
      <c r="C71" s="116" t="s">
        <v>282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</row>
    <row r="72" spans="1:15" ht="24.95" customHeight="1" x14ac:dyDescent="0.2">
      <c r="A72" s="114">
        <v>71</v>
      </c>
      <c r="B72" s="63">
        <v>26</v>
      </c>
      <c r="C72" s="116" t="s">
        <v>246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</row>
    <row r="73" spans="1:15" ht="24.95" customHeight="1" x14ac:dyDescent="0.2">
      <c r="A73" s="114">
        <v>72</v>
      </c>
      <c r="B73" s="63">
        <v>36</v>
      </c>
      <c r="C73" s="116" t="s">
        <v>299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</row>
    <row r="74" spans="1:15" ht="24.95" customHeight="1" x14ac:dyDescent="0.2">
      <c r="A74" s="114">
        <v>73</v>
      </c>
      <c r="B74" s="63">
        <v>40</v>
      </c>
      <c r="C74" s="116" t="s">
        <v>303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</row>
    <row r="75" spans="1:15" ht="24.95" customHeight="1" x14ac:dyDescent="0.2">
      <c r="A75" s="114">
        <v>74</v>
      </c>
      <c r="B75" s="63">
        <v>54</v>
      </c>
      <c r="C75" s="116" t="s">
        <v>315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</row>
    <row r="76" spans="1:15" ht="24.95" customHeight="1" x14ac:dyDescent="0.2">
      <c r="A76" s="114">
        <v>75</v>
      </c>
      <c r="B76" s="63">
        <v>61</v>
      </c>
      <c r="C76" s="116" t="s">
        <v>318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</row>
    <row r="77" spans="1:15" ht="24.95" customHeight="1" thickBot="1" x14ac:dyDescent="0.25">
      <c r="A77" s="118">
        <v>76</v>
      </c>
      <c r="B77" s="119">
        <v>75</v>
      </c>
      <c r="C77" s="145" t="s">
        <v>328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horizont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0000"/>
  </sheetPr>
  <dimension ref="A1:S651"/>
  <sheetViews>
    <sheetView zoomScaleNormal="100" workbookViewId="0">
      <selection activeCell="M2" sqref="M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52</v>
      </c>
      <c r="C2" s="140" t="s">
        <v>197</v>
      </c>
      <c r="D2" s="92">
        <v>7</v>
      </c>
      <c r="E2" s="49">
        <v>8.52</v>
      </c>
      <c r="F2" s="49">
        <v>7</v>
      </c>
      <c r="G2" s="57">
        <v>9.92</v>
      </c>
      <c r="H2" s="140">
        <v>2.14</v>
      </c>
      <c r="I2" s="104">
        <v>7</v>
      </c>
      <c r="J2" s="53">
        <v>9.8800000000000008</v>
      </c>
      <c r="K2" s="53">
        <v>7</v>
      </c>
      <c r="L2" s="57">
        <v>11.28</v>
      </c>
      <c r="M2" s="134">
        <v>21.2</v>
      </c>
      <c r="N2" s="141">
        <v>3.42</v>
      </c>
      <c r="O2" s="135"/>
    </row>
    <row r="3" spans="1:19" ht="24.95" customHeight="1" x14ac:dyDescent="0.2">
      <c r="A3" s="114">
        <v>2</v>
      </c>
      <c r="B3" s="63">
        <v>35</v>
      </c>
      <c r="C3" s="142" t="s">
        <v>198</v>
      </c>
      <c r="D3" s="70">
        <v>7</v>
      </c>
      <c r="E3" s="61">
        <v>8.34</v>
      </c>
      <c r="F3" s="61">
        <v>7</v>
      </c>
      <c r="G3" s="64">
        <v>9.74</v>
      </c>
      <c r="H3" s="142">
        <v>1.9</v>
      </c>
      <c r="I3" s="105">
        <v>7</v>
      </c>
      <c r="J3" s="62">
        <v>8.08</v>
      </c>
      <c r="K3" s="62">
        <v>7</v>
      </c>
      <c r="L3" s="64">
        <v>9.48</v>
      </c>
      <c r="M3" s="116">
        <v>19.22</v>
      </c>
      <c r="N3" s="143">
        <v>1.98</v>
      </c>
      <c r="O3" s="110"/>
    </row>
    <row r="4" spans="1:19" ht="24.95" customHeight="1" x14ac:dyDescent="0.2">
      <c r="A4" s="114">
        <v>3</v>
      </c>
      <c r="B4" s="63">
        <v>4</v>
      </c>
      <c r="C4" s="144" t="s">
        <v>199</v>
      </c>
      <c r="D4" s="70">
        <v>7</v>
      </c>
      <c r="E4" s="61">
        <v>7.72</v>
      </c>
      <c r="F4" s="61">
        <v>7</v>
      </c>
      <c r="G4" s="64">
        <v>9.1199999999999992</v>
      </c>
      <c r="H4" s="142">
        <v>2.06</v>
      </c>
      <c r="I4" s="105">
        <v>7</v>
      </c>
      <c r="J4" s="62">
        <v>8.0399999999999991</v>
      </c>
      <c r="K4" s="62">
        <v>7</v>
      </c>
      <c r="L4" s="64">
        <v>9.44</v>
      </c>
      <c r="M4" s="116">
        <v>18.559999999999999</v>
      </c>
      <c r="N4" s="143">
        <v>1.84</v>
      </c>
      <c r="O4" s="110"/>
    </row>
    <row r="5" spans="1:19" ht="24.95" customHeight="1" x14ac:dyDescent="0.2">
      <c r="A5" s="114">
        <v>4</v>
      </c>
      <c r="B5" s="63">
        <v>51</v>
      </c>
      <c r="C5" s="142" t="s">
        <v>200</v>
      </c>
      <c r="D5" s="70">
        <v>7</v>
      </c>
      <c r="E5" s="61">
        <v>7.44</v>
      </c>
      <c r="F5" s="61">
        <v>7</v>
      </c>
      <c r="G5" s="64">
        <v>8.84</v>
      </c>
      <c r="H5" s="142">
        <v>1.98</v>
      </c>
      <c r="I5" s="105">
        <v>7</v>
      </c>
      <c r="J5" s="62">
        <v>7.8</v>
      </c>
      <c r="K5" s="62">
        <v>7</v>
      </c>
      <c r="L5" s="64">
        <v>9.1999999999999993</v>
      </c>
      <c r="M5" s="116">
        <v>18.04</v>
      </c>
      <c r="N5" s="143">
        <v>2.2799999999999998</v>
      </c>
      <c r="O5" s="110"/>
    </row>
    <row r="6" spans="1:19" ht="24.95" customHeight="1" x14ac:dyDescent="0.2">
      <c r="A6" s="114">
        <v>5</v>
      </c>
      <c r="B6" s="63">
        <v>8</v>
      </c>
      <c r="C6" s="144" t="s">
        <v>201</v>
      </c>
      <c r="D6" s="70">
        <v>4</v>
      </c>
      <c r="E6" s="61">
        <v>6.34</v>
      </c>
      <c r="F6" s="61">
        <v>4</v>
      </c>
      <c r="G6" s="64">
        <v>7.14</v>
      </c>
      <c r="H6" s="142">
        <v>2.64</v>
      </c>
      <c r="I6" s="105">
        <v>7</v>
      </c>
      <c r="J6" s="62">
        <v>8.32</v>
      </c>
      <c r="K6" s="62">
        <v>7</v>
      </c>
      <c r="L6" s="64">
        <v>9.7200000000000006</v>
      </c>
      <c r="M6" s="116">
        <v>16.86</v>
      </c>
      <c r="N6" s="143">
        <v>2.4</v>
      </c>
      <c r="O6" s="110"/>
    </row>
    <row r="7" spans="1:19" ht="24.95" customHeight="1" x14ac:dyDescent="0.2">
      <c r="A7" s="114">
        <v>6</v>
      </c>
      <c r="B7" s="63">
        <v>6</v>
      </c>
      <c r="C7" s="142" t="s">
        <v>202</v>
      </c>
      <c r="D7" s="70">
        <v>5</v>
      </c>
      <c r="E7" s="61">
        <v>6.1</v>
      </c>
      <c r="F7" s="61">
        <v>5</v>
      </c>
      <c r="G7" s="64">
        <v>7.1</v>
      </c>
      <c r="H7" s="142">
        <v>2.2200000000000002</v>
      </c>
      <c r="I7" s="105">
        <v>6</v>
      </c>
      <c r="J7" s="62">
        <v>8.0399999999999991</v>
      </c>
      <c r="K7" s="62">
        <v>6</v>
      </c>
      <c r="L7" s="64">
        <v>9.24</v>
      </c>
      <c r="M7" s="116">
        <v>16.34</v>
      </c>
      <c r="N7" s="143">
        <v>2.36</v>
      </c>
      <c r="O7" s="110"/>
    </row>
    <row r="8" spans="1:19" ht="24.95" customHeight="1" x14ac:dyDescent="0.2">
      <c r="A8" s="114">
        <v>7</v>
      </c>
      <c r="B8" s="63">
        <v>11</v>
      </c>
      <c r="C8" s="142" t="s">
        <v>203</v>
      </c>
      <c r="D8" s="70">
        <v>4</v>
      </c>
      <c r="E8" s="61">
        <v>7.68</v>
      </c>
      <c r="F8" s="61">
        <v>4</v>
      </c>
      <c r="G8" s="64">
        <v>8.48</v>
      </c>
      <c r="H8" s="142">
        <v>3.82</v>
      </c>
      <c r="I8" s="105">
        <v>5</v>
      </c>
      <c r="J8" s="62">
        <v>6.68</v>
      </c>
      <c r="K8" s="62">
        <v>5</v>
      </c>
      <c r="L8" s="64">
        <v>7.68</v>
      </c>
      <c r="M8" s="116">
        <v>16.16</v>
      </c>
      <c r="N8" s="143">
        <v>2.46</v>
      </c>
      <c r="O8" s="110"/>
    </row>
    <row r="9" spans="1:19" ht="24.95" customHeight="1" x14ac:dyDescent="0.2">
      <c r="A9" s="114">
        <v>8</v>
      </c>
      <c r="B9" s="63">
        <v>13</v>
      </c>
      <c r="C9" s="142" t="s">
        <v>204</v>
      </c>
      <c r="D9" s="70">
        <v>5</v>
      </c>
      <c r="E9" s="61">
        <v>6.36</v>
      </c>
      <c r="F9" s="61">
        <v>5</v>
      </c>
      <c r="G9" s="64">
        <v>7.36</v>
      </c>
      <c r="H9" s="142">
        <v>1.84</v>
      </c>
      <c r="I9" s="105">
        <v>6</v>
      </c>
      <c r="J9" s="62">
        <v>7.5</v>
      </c>
      <c r="K9" s="62">
        <v>6</v>
      </c>
      <c r="L9" s="64">
        <v>8.6999999999999993</v>
      </c>
      <c r="M9" s="116">
        <v>16.059999999999999</v>
      </c>
      <c r="N9" s="143">
        <v>1.86</v>
      </c>
      <c r="O9" s="110"/>
    </row>
    <row r="10" spans="1:19" ht="24.95" customHeight="1" x14ac:dyDescent="0.2">
      <c r="A10" s="114">
        <v>9</v>
      </c>
      <c r="B10" s="63">
        <v>45</v>
      </c>
      <c r="C10" s="142" t="s">
        <v>205</v>
      </c>
      <c r="D10" s="70">
        <v>4</v>
      </c>
      <c r="E10" s="61">
        <v>4.84</v>
      </c>
      <c r="F10" s="61">
        <v>4</v>
      </c>
      <c r="G10" s="64">
        <v>5.64</v>
      </c>
      <c r="H10" s="142">
        <v>1.82</v>
      </c>
      <c r="I10" s="105">
        <v>7</v>
      </c>
      <c r="J10" s="62">
        <v>8.94</v>
      </c>
      <c r="K10" s="62">
        <v>7</v>
      </c>
      <c r="L10" s="64">
        <v>10.34</v>
      </c>
      <c r="M10" s="116">
        <v>15.98</v>
      </c>
      <c r="N10" s="143">
        <v>2.2400000000000002</v>
      </c>
      <c r="O10" s="110"/>
    </row>
    <row r="11" spans="1:19" ht="24.95" customHeight="1" x14ac:dyDescent="0.2">
      <c r="A11" s="114">
        <v>10</v>
      </c>
      <c r="B11" s="63">
        <v>49</v>
      </c>
      <c r="C11" s="142" t="s">
        <v>206</v>
      </c>
      <c r="D11" s="70">
        <v>6</v>
      </c>
      <c r="E11" s="61">
        <v>6.38</v>
      </c>
      <c r="F11" s="61">
        <v>6</v>
      </c>
      <c r="G11" s="64">
        <v>7.58</v>
      </c>
      <c r="H11" s="142">
        <v>1.84</v>
      </c>
      <c r="I11" s="105">
        <v>7</v>
      </c>
      <c r="J11" s="62">
        <v>6.92</v>
      </c>
      <c r="K11" s="62">
        <v>7</v>
      </c>
      <c r="L11" s="64">
        <v>8.32</v>
      </c>
      <c r="M11" s="116">
        <v>15.9</v>
      </c>
      <c r="N11" s="143">
        <v>1.84</v>
      </c>
      <c r="O11" s="110"/>
    </row>
    <row r="12" spans="1:19" ht="24.95" customHeight="1" x14ac:dyDescent="0.2">
      <c r="A12" s="114">
        <v>11</v>
      </c>
      <c r="B12" s="63">
        <v>53</v>
      </c>
      <c r="C12" s="142" t="s">
        <v>207</v>
      </c>
      <c r="D12" s="70">
        <v>4</v>
      </c>
      <c r="E12" s="61">
        <v>5.14</v>
      </c>
      <c r="F12" s="61">
        <v>4</v>
      </c>
      <c r="G12" s="64">
        <v>5.94</v>
      </c>
      <c r="H12" s="142">
        <v>1.94</v>
      </c>
      <c r="I12" s="105">
        <v>7</v>
      </c>
      <c r="J12" s="62">
        <v>8.24</v>
      </c>
      <c r="K12" s="62">
        <v>7</v>
      </c>
      <c r="L12" s="64">
        <v>9.64</v>
      </c>
      <c r="M12" s="116">
        <v>15.58</v>
      </c>
      <c r="N12" s="143">
        <v>2.04</v>
      </c>
      <c r="O12" s="110"/>
    </row>
    <row r="13" spans="1:19" ht="24.95" customHeight="1" x14ac:dyDescent="0.2">
      <c r="A13" s="114">
        <v>12</v>
      </c>
      <c r="B13" s="63">
        <v>21</v>
      </c>
      <c r="C13" s="142" t="s">
        <v>208</v>
      </c>
      <c r="D13" s="70">
        <v>7</v>
      </c>
      <c r="E13" s="61">
        <v>8.24</v>
      </c>
      <c r="F13" s="61">
        <v>7</v>
      </c>
      <c r="G13" s="64">
        <v>9.64</v>
      </c>
      <c r="H13" s="142">
        <v>1.92</v>
      </c>
      <c r="I13" s="105">
        <v>3</v>
      </c>
      <c r="J13" s="62">
        <v>5.18</v>
      </c>
      <c r="K13" s="62">
        <v>3</v>
      </c>
      <c r="L13" s="64">
        <v>5.78</v>
      </c>
      <c r="M13" s="116">
        <v>15.42</v>
      </c>
      <c r="N13" s="143">
        <v>2.1800000000000002</v>
      </c>
      <c r="O13" s="110"/>
    </row>
    <row r="14" spans="1:19" ht="24.95" customHeight="1" x14ac:dyDescent="0.2">
      <c r="A14" s="114">
        <v>13</v>
      </c>
      <c r="B14" s="63">
        <v>23</v>
      </c>
      <c r="C14" s="142" t="s">
        <v>209</v>
      </c>
      <c r="D14" s="70">
        <v>5</v>
      </c>
      <c r="E14" s="61">
        <v>5.9</v>
      </c>
      <c r="F14" s="61">
        <v>5</v>
      </c>
      <c r="G14" s="64">
        <v>6.9</v>
      </c>
      <c r="H14" s="142">
        <v>2.2400000000000002</v>
      </c>
      <c r="I14" s="105">
        <v>7</v>
      </c>
      <c r="J14" s="62">
        <v>7.08</v>
      </c>
      <c r="K14" s="62">
        <v>7</v>
      </c>
      <c r="L14" s="64">
        <v>8.48</v>
      </c>
      <c r="M14" s="116">
        <v>15.38</v>
      </c>
      <c r="N14" s="143">
        <v>2.04</v>
      </c>
      <c r="O14" s="110"/>
    </row>
    <row r="15" spans="1:19" ht="24.95" customHeight="1" x14ac:dyDescent="0.2">
      <c r="A15" s="114">
        <v>14</v>
      </c>
      <c r="B15" s="63">
        <v>14</v>
      </c>
      <c r="C15" s="142" t="s">
        <v>210</v>
      </c>
      <c r="D15" s="70">
        <v>7</v>
      </c>
      <c r="E15" s="61">
        <v>7.32</v>
      </c>
      <c r="F15" s="61">
        <v>7</v>
      </c>
      <c r="G15" s="64">
        <v>8.7200000000000006</v>
      </c>
      <c r="H15" s="142">
        <v>1.88</v>
      </c>
      <c r="I15" s="105">
        <v>6</v>
      </c>
      <c r="J15" s="62">
        <v>5.08</v>
      </c>
      <c r="K15" s="62">
        <v>6</v>
      </c>
      <c r="L15" s="64">
        <v>6.28</v>
      </c>
      <c r="M15" s="116">
        <v>15</v>
      </c>
      <c r="N15" s="143">
        <v>0.98</v>
      </c>
      <c r="O15" s="110"/>
    </row>
    <row r="16" spans="1:19" ht="24.95" customHeight="1" x14ac:dyDescent="0.2">
      <c r="A16" s="114">
        <v>15</v>
      </c>
      <c r="B16" s="63">
        <v>46</v>
      </c>
      <c r="C16" s="142" t="s">
        <v>211</v>
      </c>
      <c r="D16" s="70">
        <v>7</v>
      </c>
      <c r="E16" s="61">
        <v>6.84</v>
      </c>
      <c r="F16" s="61">
        <v>7</v>
      </c>
      <c r="G16" s="64">
        <v>8.24</v>
      </c>
      <c r="H16" s="142">
        <v>2.04</v>
      </c>
      <c r="I16" s="105">
        <v>5</v>
      </c>
      <c r="J16" s="62">
        <v>5.72</v>
      </c>
      <c r="K16" s="62">
        <v>5</v>
      </c>
      <c r="L16" s="64">
        <v>6.72</v>
      </c>
      <c r="M16" s="116">
        <v>14.96</v>
      </c>
      <c r="N16" s="143">
        <v>2.1800000000000002</v>
      </c>
      <c r="O16" s="110"/>
    </row>
    <row r="17" spans="1:15" ht="24.95" customHeight="1" x14ac:dyDescent="0.2">
      <c r="A17" s="114">
        <v>16</v>
      </c>
      <c r="B17" s="63">
        <v>43</v>
      </c>
      <c r="C17" s="142" t="s">
        <v>212</v>
      </c>
      <c r="D17" s="70">
        <v>2</v>
      </c>
      <c r="E17" s="61">
        <v>4.0999999999999996</v>
      </c>
      <c r="F17" s="61">
        <v>2</v>
      </c>
      <c r="G17" s="64">
        <v>4.5</v>
      </c>
      <c r="H17" s="142">
        <v>2.1</v>
      </c>
      <c r="I17" s="105">
        <v>7</v>
      </c>
      <c r="J17" s="62">
        <v>9.2200000000000006</v>
      </c>
      <c r="K17" s="62">
        <v>6</v>
      </c>
      <c r="L17" s="64">
        <v>10.42</v>
      </c>
      <c r="M17" s="116">
        <v>14.92</v>
      </c>
      <c r="N17" s="143">
        <v>3.08</v>
      </c>
      <c r="O17" s="110"/>
    </row>
    <row r="18" spans="1:15" ht="24.95" customHeight="1" x14ac:dyDescent="0.2">
      <c r="A18" s="114">
        <v>17</v>
      </c>
      <c r="B18" s="63">
        <v>34</v>
      </c>
      <c r="C18" s="142" t="s">
        <v>213</v>
      </c>
      <c r="D18" s="70">
        <v>5</v>
      </c>
      <c r="E18" s="61">
        <v>4.28</v>
      </c>
      <c r="F18" s="61">
        <v>4</v>
      </c>
      <c r="G18" s="64">
        <v>5.08</v>
      </c>
      <c r="H18" s="142">
        <v>1.02</v>
      </c>
      <c r="I18" s="105">
        <v>7</v>
      </c>
      <c r="J18" s="62">
        <v>8.02</v>
      </c>
      <c r="K18" s="62">
        <v>7</v>
      </c>
      <c r="L18" s="64">
        <v>9.42</v>
      </c>
      <c r="M18" s="116">
        <v>14.5</v>
      </c>
      <c r="N18" s="143">
        <v>1.9</v>
      </c>
      <c r="O18" s="110"/>
    </row>
    <row r="19" spans="1:15" ht="24.95" customHeight="1" x14ac:dyDescent="0.2">
      <c r="A19" s="114">
        <v>18</v>
      </c>
      <c r="B19" s="63">
        <v>1</v>
      </c>
      <c r="C19" s="142" t="s">
        <v>214</v>
      </c>
      <c r="D19" s="70">
        <v>4</v>
      </c>
      <c r="E19" s="61">
        <v>5.72</v>
      </c>
      <c r="F19" s="61">
        <v>4</v>
      </c>
      <c r="G19" s="64">
        <v>6.52</v>
      </c>
      <c r="H19" s="142">
        <v>2.54</v>
      </c>
      <c r="I19" s="105">
        <v>6</v>
      </c>
      <c r="J19" s="62">
        <v>6.68</v>
      </c>
      <c r="K19" s="62">
        <v>6</v>
      </c>
      <c r="L19" s="64">
        <v>7.88</v>
      </c>
      <c r="M19" s="116">
        <v>14.4</v>
      </c>
      <c r="N19" s="143">
        <v>2.04</v>
      </c>
      <c r="O19" s="110"/>
    </row>
    <row r="20" spans="1:15" ht="24.95" customHeight="1" x14ac:dyDescent="0.2">
      <c r="A20" s="114">
        <v>19</v>
      </c>
      <c r="B20" s="63">
        <v>72</v>
      </c>
      <c r="C20" s="142" t="s">
        <v>215</v>
      </c>
      <c r="D20" s="70">
        <v>5</v>
      </c>
      <c r="E20" s="61">
        <v>7.68</v>
      </c>
      <c r="F20" s="61">
        <v>5</v>
      </c>
      <c r="G20" s="64">
        <v>8.68</v>
      </c>
      <c r="H20" s="142">
        <v>2.84</v>
      </c>
      <c r="I20" s="105">
        <v>3</v>
      </c>
      <c r="J20" s="62">
        <v>4.88</v>
      </c>
      <c r="K20" s="62">
        <v>3</v>
      </c>
      <c r="L20" s="64">
        <v>5.48</v>
      </c>
      <c r="M20" s="116">
        <v>14.16</v>
      </c>
      <c r="N20" s="143">
        <v>1.94</v>
      </c>
      <c r="O20" s="110"/>
    </row>
    <row r="21" spans="1:15" ht="24.95" customHeight="1" x14ac:dyDescent="0.2">
      <c r="A21" s="114">
        <v>20</v>
      </c>
      <c r="B21" s="63">
        <v>74</v>
      </c>
      <c r="C21" s="142" t="s">
        <v>216</v>
      </c>
      <c r="D21" s="70">
        <v>5</v>
      </c>
      <c r="E21" s="61">
        <v>6.02</v>
      </c>
      <c r="F21" s="61">
        <v>5</v>
      </c>
      <c r="G21" s="64">
        <v>7.02</v>
      </c>
      <c r="H21" s="142">
        <v>2.02</v>
      </c>
      <c r="I21" s="105">
        <v>6</v>
      </c>
      <c r="J21" s="62">
        <v>5.8</v>
      </c>
      <c r="K21" s="62">
        <v>6</v>
      </c>
      <c r="L21" s="64">
        <v>7</v>
      </c>
      <c r="M21" s="116">
        <v>14.02</v>
      </c>
      <c r="N21" s="143">
        <v>1.9</v>
      </c>
      <c r="O21" s="110"/>
    </row>
    <row r="22" spans="1:15" ht="24.95" customHeight="1" x14ac:dyDescent="0.2">
      <c r="A22" s="114">
        <v>21</v>
      </c>
      <c r="B22" s="63">
        <v>76</v>
      </c>
      <c r="C22" s="142" t="s">
        <v>217</v>
      </c>
      <c r="D22" s="70">
        <v>2</v>
      </c>
      <c r="E22" s="61">
        <v>3.92</v>
      </c>
      <c r="F22" s="61">
        <v>2</v>
      </c>
      <c r="G22" s="64">
        <v>4.32</v>
      </c>
      <c r="H22" s="142">
        <v>2.06</v>
      </c>
      <c r="I22" s="105">
        <v>6</v>
      </c>
      <c r="J22" s="62">
        <v>8.32</v>
      </c>
      <c r="K22" s="62">
        <v>6</v>
      </c>
      <c r="L22" s="64">
        <v>9.52</v>
      </c>
      <c r="M22" s="116">
        <v>13.84</v>
      </c>
      <c r="N22" s="143">
        <v>2.48</v>
      </c>
      <c r="O22" s="110"/>
    </row>
    <row r="23" spans="1:15" ht="24.95" customHeight="1" x14ac:dyDescent="0.2">
      <c r="A23" s="114">
        <v>22</v>
      </c>
      <c r="B23" s="63">
        <v>41</v>
      </c>
      <c r="C23" s="142" t="s">
        <v>218</v>
      </c>
      <c r="D23" s="70">
        <v>4</v>
      </c>
      <c r="E23" s="61">
        <v>6.32</v>
      </c>
      <c r="F23" s="61">
        <v>4</v>
      </c>
      <c r="G23" s="64">
        <v>7.12</v>
      </c>
      <c r="H23" s="142">
        <v>2.34</v>
      </c>
      <c r="I23" s="105">
        <v>4</v>
      </c>
      <c r="J23" s="62">
        <v>5.8</v>
      </c>
      <c r="K23" s="62">
        <v>4</v>
      </c>
      <c r="L23" s="64">
        <v>6.6</v>
      </c>
      <c r="M23" s="116">
        <v>13.72</v>
      </c>
      <c r="N23" s="143">
        <v>2.36</v>
      </c>
      <c r="O23" s="110"/>
    </row>
    <row r="24" spans="1:15" ht="24.95" customHeight="1" x14ac:dyDescent="0.2">
      <c r="A24" s="114">
        <v>23</v>
      </c>
      <c r="B24" s="63">
        <v>3</v>
      </c>
      <c r="C24" s="142" t="s">
        <v>219</v>
      </c>
      <c r="D24" s="70">
        <v>2</v>
      </c>
      <c r="E24" s="61">
        <v>3.88</v>
      </c>
      <c r="F24" s="61">
        <v>2</v>
      </c>
      <c r="G24" s="64">
        <v>4.28</v>
      </c>
      <c r="H24" s="142">
        <v>2</v>
      </c>
      <c r="I24" s="105">
        <v>7</v>
      </c>
      <c r="J24" s="62">
        <v>7.94</v>
      </c>
      <c r="K24" s="62">
        <v>7</v>
      </c>
      <c r="L24" s="64">
        <v>9.34</v>
      </c>
      <c r="M24" s="116">
        <v>13.62</v>
      </c>
      <c r="N24" s="143">
        <v>2.08</v>
      </c>
      <c r="O24" s="110"/>
    </row>
    <row r="25" spans="1:15" ht="24.95" customHeight="1" x14ac:dyDescent="0.2">
      <c r="A25" s="114">
        <v>24</v>
      </c>
      <c r="B25" s="63">
        <v>55</v>
      </c>
      <c r="C25" s="142" t="s">
        <v>220</v>
      </c>
      <c r="D25" s="70">
        <v>4</v>
      </c>
      <c r="E25" s="61">
        <v>6.66</v>
      </c>
      <c r="F25" s="61">
        <v>4</v>
      </c>
      <c r="G25" s="64">
        <v>7.46</v>
      </c>
      <c r="H25" s="142">
        <v>2.5</v>
      </c>
      <c r="I25" s="105">
        <v>3</v>
      </c>
      <c r="J25" s="62">
        <v>4.78</v>
      </c>
      <c r="K25" s="62">
        <v>3</v>
      </c>
      <c r="L25" s="64">
        <v>5.38</v>
      </c>
      <c r="M25" s="116">
        <v>12.84</v>
      </c>
      <c r="N25" s="143">
        <v>2.04</v>
      </c>
      <c r="O25" s="110"/>
    </row>
    <row r="26" spans="1:15" ht="24.95" customHeight="1" x14ac:dyDescent="0.2">
      <c r="A26" s="114">
        <v>25</v>
      </c>
      <c r="B26" s="63">
        <v>27</v>
      </c>
      <c r="C26" s="142" t="s">
        <v>221</v>
      </c>
      <c r="D26" s="70">
        <v>4</v>
      </c>
      <c r="E26" s="61">
        <v>4.76</v>
      </c>
      <c r="F26" s="61">
        <v>4</v>
      </c>
      <c r="G26" s="64">
        <v>5.56</v>
      </c>
      <c r="H26" s="142">
        <v>1.92</v>
      </c>
      <c r="I26" s="105">
        <v>4</v>
      </c>
      <c r="J26" s="62">
        <v>6.3</v>
      </c>
      <c r="K26" s="62">
        <v>4</v>
      </c>
      <c r="L26" s="64">
        <v>7.1</v>
      </c>
      <c r="M26" s="116">
        <v>12.66</v>
      </c>
      <c r="N26" s="143">
        <v>2.52</v>
      </c>
      <c r="O26" s="110"/>
    </row>
    <row r="27" spans="1:15" ht="24.95" customHeight="1" x14ac:dyDescent="0.2">
      <c r="A27" s="114">
        <v>26</v>
      </c>
      <c r="B27" s="63">
        <v>64</v>
      </c>
      <c r="C27" s="142" t="s">
        <v>222</v>
      </c>
      <c r="D27" s="70">
        <v>3</v>
      </c>
      <c r="E27" s="61">
        <v>5.58</v>
      </c>
      <c r="F27" s="61">
        <v>3</v>
      </c>
      <c r="G27" s="64">
        <v>6.18</v>
      </c>
      <c r="H27" s="142">
        <v>2.04</v>
      </c>
      <c r="I27" s="105">
        <v>4</v>
      </c>
      <c r="J27" s="62">
        <v>5.46</v>
      </c>
      <c r="K27" s="62">
        <v>4</v>
      </c>
      <c r="L27" s="64">
        <v>6.26</v>
      </c>
      <c r="M27" s="116">
        <v>12.44</v>
      </c>
      <c r="N27" s="143">
        <v>2</v>
      </c>
      <c r="O27" s="110"/>
    </row>
    <row r="28" spans="1:15" ht="24.95" customHeight="1" x14ac:dyDescent="0.2">
      <c r="A28" s="114">
        <v>27</v>
      </c>
      <c r="B28" s="63">
        <v>26</v>
      </c>
      <c r="C28" s="142" t="s">
        <v>223</v>
      </c>
      <c r="D28" s="70">
        <v>2</v>
      </c>
      <c r="E28" s="61">
        <v>2.92</v>
      </c>
      <c r="F28" s="61">
        <v>2</v>
      </c>
      <c r="G28" s="64">
        <v>3.32</v>
      </c>
      <c r="H28" s="142">
        <v>1.94</v>
      </c>
      <c r="I28" s="105">
        <v>7</v>
      </c>
      <c r="J28" s="62">
        <v>7.42</v>
      </c>
      <c r="K28" s="62">
        <v>7</v>
      </c>
      <c r="L28" s="64">
        <v>8.82</v>
      </c>
      <c r="M28" s="116">
        <v>12.14</v>
      </c>
      <c r="N28" s="143">
        <v>1.82</v>
      </c>
      <c r="O28" s="110"/>
    </row>
    <row r="29" spans="1:15" ht="24.95" customHeight="1" x14ac:dyDescent="0.2">
      <c r="A29" s="114">
        <v>28</v>
      </c>
      <c r="B29" s="63">
        <v>61</v>
      </c>
      <c r="C29" s="142" t="s">
        <v>224</v>
      </c>
      <c r="D29" s="70">
        <v>3</v>
      </c>
      <c r="E29" s="61">
        <v>4.38</v>
      </c>
      <c r="F29" s="61">
        <v>3</v>
      </c>
      <c r="G29" s="64">
        <v>4.9800000000000004</v>
      </c>
      <c r="H29" s="142">
        <v>1.84</v>
      </c>
      <c r="I29" s="105">
        <v>4</v>
      </c>
      <c r="J29" s="62">
        <v>5.96</v>
      </c>
      <c r="K29" s="62">
        <v>4</v>
      </c>
      <c r="L29" s="64">
        <v>6.76</v>
      </c>
      <c r="M29" s="116">
        <v>11.74</v>
      </c>
      <c r="N29" s="143">
        <v>2.12</v>
      </c>
      <c r="O29" s="110"/>
    </row>
    <row r="30" spans="1:15" ht="24.95" customHeight="1" x14ac:dyDescent="0.2">
      <c r="A30" s="114">
        <v>29</v>
      </c>
      <c r="B30" s="63">
        <v>62</v>
      </c>
      <c r="C30" s="142" t="s">
        <v>225</v>
      </c>
      <c r="D30" s="70">
        <v>3</v>
      </c>
      <c r="E30" s="61">
        <v>4.72</v>
      </c>
      <c r="F30" s="61">
        <v>3</v>
      </c>
      <c r="G30" s="64">
        <v>5.32</v>
      </c>
      <c r="H30" s="142">
        <v>1.96</v>
      </c>
      <c r="I30" s="105">
        <v>6</v>
      </c>
      <c r="J30" s="62">
        <v>5.08</v>
      </c>
      <c r="K30" s="62">
        <v>6</v>
      </c>
      <c r="L30" s="64">
        <v>6.28</v>
      </c>
      <c r="M30" s="116">
        <v>11.6</v>
      </c>
      <c r="N30" s="143">
        <v>1.68</v>
      </c>
      <c r="O30" s="110"/>
    </row>
    <row r="31" spans="1:15" ht="24.95" customHeight="1" x14ac:dyDescent="0.2">
      <c r="A31" s="114">
        <v>30</v>
      </c>
      <c r="B31" s="63">
        <v>12</v>
      </c>
      <c r="C31" s="142" t="s">
        <v>226</v>
      </c>
      <c r="D31" s="70">
        <v>4</v>
      </c>
      <c r="E31" s="61">
        <v>4.7</v>
      </c>
      <c r="F31" s="61">
        <v>4</v>
      </c>
      <c r="G31" s="64">
        <v>5.5</v>
      </c>
      <c r="H31" s="142">
        <v>2.12</v>
      </c>
      <c r="I31" s="105">
        <v>4</v>
      </c>
      <c r="J31" s="62">
        <v>5.26</v>
      </c>
      <c r="K31" s="62">
        <v>4</v>
      </c>
      <c r="L31" s="64">
        <v>6.06</v>
      </c>
      <c r="M31" s="116">
        <v>11.56</v>
      </c>
      <c r="N31" s="143">
        <v>2.16</v>
      </c>
      <c r="O31" s="110"/>
    </row>
    <row r="32" spans="1:15" ht="24.95" customHeight="1" x14ac:dyDescent="0.2">
      <c r="A32" s="114">
        <v>31</v>
      </c>
      <c r="B32" s="63">
        <v>33</v>
      </c>
      <c r="C32" s="142" t="s">
        <v>227</v>
      </c>
      <c r="D32" s="70">
        <v>2</v>
      </c>
      <c r="E32" s="61">
        <v>5.5</v>
      </c>
      <c r="F32" s="61">
        <v>2</v>
      </c>
      <c r="G32" s="64">
        <v>5.9</v>
      </c>
      <c r="H32" s="142">
        <v>3.16</v>
      </c>
      <c r="I32" s="105">
        <v>4</v>
      </c>
      <c r="J32" s="62">
        <v>4.5599999999999996</v>
      </c>
      <c r="K32" s="62">
        <v>4</v>
      </c>
      <c r="L32" s="64">
        <v>5.36</v>
      </c>
      <c r="M32" s="116">
        <v>11.26</v>
      </c>
      <c r="N32" s="143">
        <v>2.08</v>
      </c>
      <c r="O32" s="110"/>
    </row>
    <row r="33" spans="1:15" ht="24.95" customHeight="1" x14ac:dyDescent="0.2">
      <c r="A33" s="114">
        <v>32</v>
      </c>
      <c r="B33" s="63">
        <v>39</v>
      </c>
      <c r="C33" s="142" t="s">
        <v>228</v>
      </c>
      <c r="D33" s="70">
        <v>3</v>
      </c>
      <c r="E33" s="61">
        <v>5.22</v>
      </c>
      <c r="F33" s="61">
        <v>3</v>
      </c>
      <c r="G33" s="64">
        <v>5.82</v>
      </c>
      <c r="H33" s="142">
        <v>2.68</v>
      </c>
      <c r="I33" s="105">
        <v>3</v>
      </c>
      <c r="J33" s="62">
        <v>4.74</v>
      </c>
      <c r="K33" s="62">
        <v>3</v>
      </c>
      <c r="L33" s="64">
        <v>5.34</v>
      </c>
      <c r="M33" s="116">
        <v>11.16</v>
      </c>
      <c r="N33" s="143">
        <v>1.96</v>
      </c>
      <c r="O33" s="110"/>
    </row>
    <row r="34" spans="1:15" ht="24.95" customHeight="1" x14ac:dyDescent="0.2">
      <c r="A34" s="114">
        <v>33</v>
      </c>
      <c r="B34" s="63">
        <v>75</v>
      </c>
      <c r="C34" s="142" t="s">
        <v>229</v>
      </c>
      <c r="D34" s="70">
        <v>2</v>
      </c>
      <c r="E34" s="61">
        <v>2.86</v>
      </c>
      <c r="F34" s="61">
        <v>2</v>
      </c>
      <c r="G34" s="64">
        <v>3.26</v>
      </c>
      <c r="H34" s="142">
        <v>2</v>
      </c>
      <c r="I34" s="105">
        <v>6</v>
      </c>
      <c r="J34" s="62">
        <v>6.3</v>
      </c>
      <c r="K34" s="62">
        <v>6</v>
      </c>
      <c r="L34" s="64">
        <v>7.5</v>
      </c>
      <c r="M34" s="116">
        <v>10.76</v>
      </c>
      <c r="N34" s="143">
        <v>2</v>
      </c>
      <c r="O34" s="110"/>
    </row>
    <row r="35" spans="1:15" ht="24.95" customHeight="1" x14ac:dyDescent="0.2">
      <c r="A35" s="114">
        <v>34</v>
      </c>
      <c r="B35" s="63">
        <v>17</v>
      </c>
      <c r="C35" s="142" t="s">
        <v>230</v>
      </c>
      <c r="D35" s="70">
        <v>4</v>
      </c>
      <c r="E35" s="61">
        <v>5.0199999999999996</v>
      </c>
      <c r="F35" s="61">
        <v>2</v>
      </c>
      <c r="G35" s="64">
        <v>5.42</v>
      </c>
      <c r="H35" s="142">
        <v>1.76</v>
      </c>
      <c r="I35" s="105">
        <v>4</v>
      </c>
      <c r="J35" s="62">
        <v>4.46</v>
      </c>
      <c r="K35" s="62">
        <v>4</v>
      </c>
      <c r="L35" s="64">
        <v>5.26</v>
      </c>
      <c r="M35" s="116">
        <v>10.68</v>
      </c>
      <c r="N35" s="143">
        <v>1.88</v>
      </c>
      <c r="O35" s="110"/>
    </row>
    <row r="36" spans="1:15" ht="24.95" customHeight="1" x14ac:dyDescent="0.2">
      <c r="A36" s="114">
        <v>35</v>
      </c>
      <c r="B36" s="63">
        <v>32</v>
      </c>
      <c r="C36" s="142" t="s">
        <v>231</v>
      </c>
      <c r="D36" s="70">
        <v>3</v>
      </c>
      <c r="E36" s="61">
        <v>4.88</v>
      </c>
      <c r="F36" s="61">
        <v>3</v>
      </c>
      <c r="G36" s="64">
        <v>5.48</v>
      </c>
      <c r="H36" s="142">
        <v>2.04</v>
      </c>
      <c r="I36" s="105">
        <v>3</v>
      </c>
      <c r="J36" s="62">
        <v>4.32</v>
      </c>
      <c r="K36" s="62">
        <v>3</v>
      </c>
      <c r="L36" s="64">
        <v>4.92</v>
      </c>
      <c r="M36" s="116">
        <v>10.4</v>
      </c>
      <c r="N36" s="143">
        <v>1.88</v>
      </c>
      <c r="O36" s="110"/>
    </row>
    <row r="37" spans="1:15" ht="24.95" customHeight="1" x14ac:dyDescent="0.2">
      <c r="A37" s="114">
        <v>36</v>
      </c>
      <c r="B37" s="63">
        <v>50</v>
      </c>
      <c r="C37" s="142" t="s">
        <v>232</v>
      </c>
      <c r="D37" s="70">
        <v>2</v>
      </c>
      <c r="E37" s="61">
        <v>3.54</v>
      </c>
      <c r="F37" s="61">
        <v>2</v>
      </c>
      <c r="G37" s="64">
        <v>3.94</v>
      </c>
      <c r="H37" s="142">
        <v>1.84</v>
      </c>
      <c r="I37" s="105">
        <v>6</v>
      </c>
      <c r="J37" s="62">
        <v>5.16</v>
      </c>
      <c r="K37" s="62">
        <v>6</v>
      </c>
      <c r="L37" s="64">
        <v>6.36</v>
      </c>
      <c r="M37" s="116">
        <v>10.3</v>
      </c>
      <c r="N37" s="143">
        <v>1.04</v>
      </c>
      <c r="O37" s="110"/>
    </row>
    <row r="38" spans="1:15" ht="24.95" customHeight="1" x14ac:dyDescent="0.2">
      <c r="A38" s="114">
        <v>37</v>
      </c>
      <c r="B38" s="63">
        <v>38</v>
      </c>
      <c r="C38" s="142" t="s">
        <v>233</v>
      </c>
      <c r="D38" s="70">
        <v>2</v>
      </c>
      <c r="E38" s="61">
        <v>2.62</v>
      </c>
      <c r="F38" s="61">
        <v>2</v>
      </c>
      <c r="G38" s="64">
        <v>3.02</v>
      </c>
      <c r="H38" s="142">
        <v>1.8</v>
      </c>
      <c r="I38" s="105">
        <v>4</v>
      </c>
      <c r="J38" s="62">
        <v>6.46</v>
      </c>
      <c r="K38" s="62">
        <v>4</v>
      </c>
      <c r="L38" s="64">
        <v>7.26</v>
      </c>
      <c r="M38" s="116">
        <v>10.28</v>
      </c>
      <c r="N38" s="143">
        <v>2.34</v>
      </c>
      <c r="O38" s="110"/>
    </row>
    <row r="39" spans="1:15" ht="24.95" customHeight="1" x14ac:dyDescent="0.2">
      <c r="A39" s="114">
        <v>38</v>
      </c>
      <c r="B39" s="63">
        <v>20</v>
      </c>
      <c r="C39" s="142" t="s">
        <v>234</v>
      </c>
      <c r="D39" s="70">
        <v>2</v>
      </c>
      <c r="E39" s="61">
        <v>3.8</v>
      </c>
      <c r="F39" s="61">
        <v>2</v>
      </c>
      <c r="G39" s="64">
        <v>4.2</v>
      </c>
      <c r="H39" s="142">
        <v>1.92</v>
      </c>
      <c r="I39" s="105">
        <v>3</v>
      </c>
      <c r="J39" s="62">
        <v>5.0199999999999996</v>
      </c>
      <c r="K39" s="62">
        <v>3</v>
      </c>
      <c r="L39" s="64">
        <v>5.62</v>
      </c>
      <c r="M39" s="116">
        <v>9.82</v>
      </c>
      <c r="N39" s="143">
        <v>2.2200000000000002</v>
      </c>
      <c r="O39" s="110"/>
    </row>
    <row r="40" spans="1:15" ht="24.95" customHeight="1" x14ac:dyDescent="0.2">
      <c r="A40" s="114">
        <v>39</v>
      </c>
      <c r="B40" s="63">
        <v>71</v>
      </c>
      <c r="C40" s="142" t="s">
        <v>235</v>
      </c>
      <c r="D40" s="70">
        <v>2</v>
      </c>
      <c r="E40" s="61">
        <v>2.88</v>
      </c>
      <c r="F40" s="61">
        <v>2</v>
      </c>
      <c r="G40" s="64">
        <v>3.28</v>
      </c>
      <c r="H40" s="142">
        <v>1.82</v>
      </c>
      <c r="I40" s="105">
        <v>4</v>
      </c>
      <c r="J40" s="62">
        <v>5.66</v>
      </c>
      <c r="K40" s="62">
        <v>4</v>
      </c>
      <c r="L40" s="64">
        <v>6.46</v>
      </c>
      <c r="M40" s="116">
        <v>9.74</v>
      </c>
      <c r="N40" s="143">
        <v>1.94</v>
      </c>
      <c r="O40" s="110"/>
    </row>
    <row r="41" spans="1:15" ht="24.95" customHeight="1" x14ac:dyDescent="0.2">
      <c r="A41" s="114">
        <v>40</v>
      </c>
      <c r="B41" s="63">
        <v>57</v>
      </c>
      <c r="C41" s="142" t="s">
        <v>236</v>
      </c>
      <c r="D41" s="70">
        <v>0</v>
      </c>
      <c r="E41" s="61">
        <v>0</v>
      </c>
      <c r="F41" s="61">
        <v>0</v>
      </c>
      <c r="G41" s="64">
        <v>0</v>
      </c>
      <c r="H41" s="142">
        <v>0</v>
      </c>
      <c r="I41" s="105">
        <v>7</v>
      </c>
      <c r="J41" s="62">
        <v>8.16</v>
      </c>
      <c r="K41" s="62">
        <v>7</v>
      </c>
      <c r="L41" s="64">
        <v>9.56</v>
      </c>
      <c r="M41" s="116">
        <v>9.56</v>
      </c>
      <c r="N41" s="143">
        <v>2.2200000000000002</v>
      </c>
      <c r="O41" s="110"/>
    </row>
    <row r="42" spans="1:15" ht="24.95" customHeight="1" x14ac:dyDescent="0.2">
      <c r="A42" s="114">
        <v>41</v>
      </c>
      <c r="B42" s="63">
        <v>69</v>
      </c>
      <c r="C42" s="142" t="s">
        <v>237</v>
      </c>
      <c r="D42" s="70">
        <v>1</v>
      </c>
      <c r="E42" s="61">
        <v>0.84</v>
      </c>
      <c r="F42" s="61">
        <v>1</v>
      </c>
      <c r="G42" s="64">
        <v>1.04</v>
      </c>
      <c r="H42" s="142">
        <v>0</v>
      </c>
      <c r="I42" s="105">
        <v>7</v>
      </c>
      <c r="J42" s="62">
        <v>7.04</v>
      </c>
      <c r="K42" s="62">
        <v>7</v>
      </c>
      <c r="L42" s="64">
        <v>8.44</v>
      </c>
      <c r="M42" s="116">
        <v>9.48</v>
      </c>
      <c r="N42" s="143">
        <v>1.92</v>
      </c>
      <c r="O42" s="110"/>
    </row>
    <row r="43" spans="1:15" ht="24.95" customHeight="1" x14ac:dyDescent="0.2">
      <c r="A43" s="114">
        <v>42</v>
      </c>
      <c r="B43" s="63">
        <v>63</v>
      </c>
      <c r="C43" s="142" t="s">
        <v>238</v>
      </c>
      <c r="D43" s="70">
        <v>1</v>
      </c>
      <c r="E43" s="61">
        <v>2.1</v>
      </c>
      <c r="F43" s="61">
        <v>1</v>
      </c>
      <c r="G43" s="64">
        <v>2.2999999999999998</v>
      </c>
      <c r="H43" s="142">
        <v>2.1</v>
      </c>
      <c r="I43" s="105">
        <v>7</v>
      </c>
      <c r="J43" s="62">
        <v>5.52</v>
      </c>
      <c r="K43" s="62">
        <v>7</v>
      </c>
      <c r="L43" s="64">
        <v>6.92</v>
      </c>
      <c r="M43" s="116">
        <v>9.2200000000000006</v>
      </c>
      <c r="N43" s="143">
        <v>2.12</v>
      </c>
      <c r="O43" s="110"/>
    </row>
    <row r="44" spans="1:15" ht="24.95" customHeight="1" x14ac:dyDescent="0.2">
      <c r="A44" s="114">
        <v>43</v>
      </c>
      <c r="B44" s="63">
        <v>70</v>
      </c>
      <c r="C44" s="142" t="s">
        <v>239</v>
      </c>
      <c r="D44" s="70">
        <v>0</v>
      </c>
      <c r="E44" s="61">
        <v>0</v>
      </c>
      <c r="F44" s="61">
        <v>0</v>
      </c>
      <c r="G44" s="64">
        <v>0</v>
      </c>
      <c r="H44" s="142">
        <v>0</v>
      </c>
      <c r="I44" s="105">
        <v>7</v>
      </c>
      <c r="J44" s="62">
        <v>7.8</v>
      </c>
      <c r="K44" s="62">
        <v>7</v>
      </c>
      <c r="L44" s="64">
        <v>9.1999999999999993</v>
      </c>
      <c r="M44" s="116">
        <v>9.1999999999999993</v>
      </c>
      <c r="N44" s="143">
        <v>2.2400000000000002</v>
      </c>
      <c r="O44" s="110"/>
    </row>
    <row r="45" spans="1:15" ht="24.95" customHeight="1" x14ac:dyDescent="0.2">
      <c r="A45" s="114">
        <v>44</v>
      </c>
      <c r="B45" s="63">
        <v>58</v>
      </c>
      <c r="C45" s="142" t="s">
        <v>240</v>
      </c>
      <c r="D45" s="70">
        <v>3</v>
      </c>
      <c r="E45" s="61">
        <v>4.66</v>
      </c>
      <c r="F45" s="61">
        <v>3</v>
      </c>
      <c r="G45" s="64">
        <v>5.26</v>
      </c>
      <c r="H45" s="142">
        <v>2.14</v>
      </c>
      <c r="I45" s="105">
        <v>3</v>
      </c>
      <c r="J45" s="62">
        <v>3.3</v>
      </c>
      <c r="K45" s="62">
        <v>3</v>
      </c>
      <c r="L45" s="64">
        <v>3.9</v>
      </c>
      <c r="M45" s="116">
        <v>9.16</v>
      </c>
      <c r="N45" s="143">
        <v>1.86</v>
      </c>
      <c r="O45" s="110"/>
    </row>
    <row r="46" spans="1:15" ht="24.95" customHeight="1" x14ac:dyDescent="0.2">
      <c r="A46" s="114">
        <v>45</v>
      </c>
      <c r="B46" s="63">
        <v>2</v>
      </c>
      <c r="C46" s="144" t="s">
        <v>241</v>
      </c>
      <c r="D46" s="70">
        <v>2</v>
      </c>
      <c r="E46" s="61">
        <v>3.5</v>
      </c>
      <c r="F46" s="61">
        <v>2</v>
      </c>
      <c r="G46" s="64">
        <v>3.9</v>
      </c>
      <c r="H46" s="142">
        <v>1.8</v>
      </c>
      <c r="I46" s="105">
        <v>4</v>
      </c>
      <c r="J46" s="62">
        <v>4.4000000000000004</v>
      </c>
      <c r="K46" s="62">
        <v>4</v>
      </c>
      <c r="L46" s="64">
        <v>5.2</v>
      </c>
      <c r="M46" s="116">
        <v>9.1</v>
      </c>
      <c r="N46" s="143">
        <v>1.9</v>
      </c>
      <c r="O46" s="110"/>
    </row>
    <row r="47" spans="1:15" ht="24.95" customHeight="1" x14ac:dyDescent="0.2">
      <c r="A47" s="114">
        <v>46</v>
      </c>
      <c r="B47" s="63">
        <v>48</v>
      </c>
      <c r="C47" s="142" t="s">
        <v>242</v>
      </c>
      <c r="D47" s="70">
        <v>1</v>
      </c>
      <c r="E47" s="61">
        <v>1.8</v>
      </c>
      <c r="F47" s="61">
        <v>1</v>
      </c>
      <c r="G47" s="64">
        <v>2</v>
      </c>
      <c r="H47" s="142">
        <v>0</v>
      </c>
      <c r="I47" s="105">
        <v>4</v>
      </c>
      <c r="J47" s="62">
        <v>5.82</v>
      </c>
      <c r="K47" s="62">
        <v>3</v>
      </c>
      <c r="L47" s="64">
        <v>6.42</v>
      </c>
      <c r="M47" s="116">
        <v>8.42</v>
      </c>
      <c r="N47" s="143">
        <v>2.06</v>
      </c>
      <c r="O47" s="110"/>
    </row>
    <row r="48" spans="1:15" ht="24.95" customHeight="1" x14ac:dyDescent="0.2">
      <c r="A48" s="114">
        <v>47</v>
      </c>
      <c r="B48" s="63">
        <v>68</v>
      </c>
      <c r="C48" s="142" t="s">
        <v>243</v>
      </c>
      <c r="D48" s="70">
        <v>2</v>
      </c>
      <c r="E48" s="61">
        <v>2.68</v>
      </c>
      <c r="F48" s="61">
        <v>1</v>
      </c>
      <c r="G48" s="64">
        <v>2.88</v>
      </c>
      <c r="H48" s="142">
        <v>1.84</v>
      </c>
      <c r="I48" s="105">
        <v>3</v>
      </c>
      <c r="J48" s="62">
        <v>4.92</v>
      </c>
      <c r="K48" s="62">
        <v>3</v>
      </c>
      <c r="L48" s="64">
        <v>5.52</v>
      </c>
      <c r="M48" s="116">
        <v>8.4</v>
      </c>
      <c r="N48" s="143">
        <v>2.2400000000000002</v>
      </c>
      <c r="O48" s="110"/>
    </row>
    <row r="49" spans="1:15" ht="24.95" customHeight="1" x14ac:dyDescent="0.2">
      <c r="A49" s="114">
        <v>48</v>
      </c>
      <c r="B49" s="63">
        <v>47</v>
      </c>
      <c r="C49" s="142" t="s">
        <v>244</v>
      </c>
      <c r="D49" s="70">
        <v>1</v>
      </c>
      <c r="E49" s="61">
        <v>2.38</v>
      </c>
      <c r="F49" s="61">
        <v>1</v>
      </c>
      <c r="G49" s="64">
        <v>2.58</v>
      </c>
      <c r="H49" s="142">
        <v>0</v>
      </c>
      <c r="I49" s="105">
        <v>3</v>
      </c>
      <c r="J49" s="62">
        <v>5.14</v>
      </c>
      <c r="K49" s="62">
        <v>3</v>
      </c>
      <c r="L49" s="64">
        <v>5.74</v>
      </c>
      <c r="M49" s="116">
        <v>8.32</v>
      </c>
      <c r="N49" s="143">
        <v>2.3199999999999998</v>
      </c>
      <c r="O49" s="110"/>
    </row>
    <row r="50" spans="1:15" ht="24.95" customHeight="1" x14ac:dyDescent="0.2">
      <c r="A50" s="114">
        <v>49</v>
      </c>
      <c r="B50" s="63">
        <v>9</v>
      </c>
      <c r="C50" s="144" t="s">
        <v>245</v>
      </c>
      <c r="D50" s="70">
        <v>2</v>
      </c>
      <c r="E50" s="61">
        <v>3.96</v>
      </c>
      <c r="F50" s="61">
        <v>2</v>
      </c>
      <c r="G50" s="64">
        <v>4.3600000000000003</v>
      </c>
      <c r="H50" s="142">
        <v>3.54</v>
      </c>
      <c r="I50" s="105">
        <v>4</v>
      </c>
      <c r="J50" s="62">
        <v>3</v>
      </c>
      <c r="K50" s="62">
        <v>4</v>
      </c>
      <c r="L50" s="64">
        <v>3.8</v>
      </c>
      <c r="M50" s="116">
        <v>8.16</v>
      </c>
      <c r="N50" s="143">
        <v>0.92</v>
      </c>
      <c r="O50" s="110"/>
    </row>
    <row r="51" spans="1:15" ht="24.95" customHeight="1" x14ac:dyDescent="0.2">
      <c r="A51" s="114">
        <v>50</v>
      </c>
      <c r="B51" s="63">
        <v>10</v>
      </c>
      <c r="C51" s="144" t="s">
        <v>246</v>
      </c>
      <c r="D51" s="70">
        <v>2</v>
      </c>
      <c r="E51" s="61">
        <v>3.68</v>
      </c>
      <c r="F51" s="61">
        <v>1</v>
      </c>
      <c r="G51" s="64">
        <v>3.88</v>
      </c>
      <c r="H51" s="142">
        <v>2</v>
      </c>
      <c r="I51" s="105">
        <v>2</v>
      </c>
      <c r="J51" s="62">
        <v>3.64</v>
      </c>
      <c r="K51" s="62">
        <v>2</v>
      </c>
      <c r="L51" s="64">
        <v>4.04</v>
      </c>
      <c r="M51" s="116">
        <v>7.92</v>
      </c>
      <c r="N51" s="143">
        <v>1.94</v>
      </c>
      <c r="O51" s="110"/>
    </row>
    <row r="52" spans="1:15" ht="24.95" customHeight="1" x14ac:dyDescent="0.2">
      <c r="A52" s="114">
        <v>51</v>
      </c>
      <c r="B52" s="63">
        <v>56</v>
      </c>
      <c r="C52" s="142" t="s">
        <v>247</v>
      </c>
      <c r="D52" s="70">
        <v>2</v>
      </c>
      <c r="E52" s="61">
        <v>2.62</v>
      </c>
      <c r="F52" s="61">
        <v>2</v>
      </c>
      <c r="G52" s="64">
        <v>3.02</v>
      </c>
      <c r="H52" s="142">
        <v>1.66</v>
      </c>
      <c r="I52" s="105">
        <v>2</v>
      </c>
      <c r="J52" s="62">
        <v>4.3600000000000003</v>
      </c>
      <c r="K52" s="62">
        <v>2</v>
      </c>
      <c r="L52" s="64">
        <v>4.76</v>
      </c>
      <c r="M52" s="116">
        <v>7.78</v>
      </c>
      <c r="N52" s="143">
        <v>2.2599999999999998</v>
      </c>
      <c r="O52" s="110"/>
    </row>
    <row r="53" spans="1:15" ht="24.95" customHeight="1" x14ac:dyDescent="0.2">
      <c r="A53" s="114">
        <v>52</v>
      </c>
      <c r="B53" s="63">
        <v>28</v>
      </c>
      <c r="C53" s="142" t="s">
        <v>248</v>
      </c>
      <c r="D53" s="70">
        <v>2</v>
      </c>
      <c r="E53" s="61">
        <v>4.96</v>
      </c>
      <c r="F53" s="61">
        <v>2</v>
      </c>
      <c r="G53" s="64">
        <v>5.36</v>
      </c>
      <c r="H53" s="142">
        <v>3.24</v>
      </c>
      <c r="I53" s="105">
        <v>1</v>
      </c>
      <c r="J53" s="62">
        <v>1.88</v>
      </c>
      <c r="K53" s="62">
        <v>1</v>
      </c>
      <c r="L53" s="64">
        <v>2.08</v>
      </c>
      <c r="M53" s="116">
        <v>7.44</v>
      </c>
      <c r="N53" s="143">
        <v>1.88</v>
      </c>
      <c r="O53" s="110"/>
    </row>
    <row r="54" spans="1:15" ht="24.95" customHeight="1" x14ac:dyDescent="0.2">
      <c r="A54" s="114">
        <v>53</v>
      </c>
      <c r="B54" s="63">
        <v>15</v>
      </c>
      <c r="C54" s="142" t="s">
        <v>249</v>
      </c>
      <c r="D54" s="70">
        <v>0</v>
      </c>
      <c r="E54" s="61">
        <v>0</v>
      </c>
      <c r="F54" s="61">
        <v>0</v>
      </c>
      <c r="G54" s="64">
        <v>0</v>
      </c>
      <c r="H54" s="142">
        <v>0</v>
      </c>
      <c r="I54" s="105">
        <v>4</v>
      </c>
      <c r="J54" s="62">
        <v>6.62</v>
      </c>
      <c r="K54" s="62">
        <v>4</v>
      </c>
      <c r="L54" s="64">
        <v>7.42</v>
      </c>
      <c r="M54" s="116">
        <v>7.42</v>
      </c>
      <c r="N54" s="143">
        <v>3.5</v>
      </c>
      <c r="O54" s="110"/>
    </row>
    <row r="55" spans="1:15" ht="24.95" customHeight="1" x14ac:dyDescent="0.2">
      <c r="A55" s="114">
        <v>54</v>
      </c>
      <c r="B55" s="63">
        <v>30</v>
      </c>
      <c r="C55" s="142" t="s">
        <v>250</v>
      </c>
      <c r="D55" s="70">
        <v>2</v>
      </c>
      <c r="E55" s="61">
        <v>3.18</v>
      </c>
      <c r="F55" s="61">
        <v>1</v>
      </c>
      <c r="G55" s="64">
        <v>3.38</v>
      </c>
      <c r="H55" s="142">
        <v>0</v>
      </c>
      <c r="I55" s="105">
        <v>4</v>
      </c>
      <c r="J55" s="62">
        <v>3.22</v>
      </c>
      <c r="K55" s="62">
        <v>4</v>
      </c>
      <c r="L55" s="64">
        <v>4.0199999999999996</v>
      </c>
      <c r="M55" s="116">
        <v>7.4</v>
      </c>
      <c r="N55" s="143">
        <v>1.1000000000000001</v>
      </c>
      <c r="O55" s="110"/>
    </row>
    <row r="56" spans="1:15" ht="24.95" customHeight="1" x14ac:dyDescent="0.2">
      <c r="A56" s="114">
        <v>55</v>
      </c>
      <c r="B56" s="63">
        <v>66</v>
      </c>
      <c r="C56" s="142" t="s">
        <v>251</v>
      </c>
      <c r="D56" s="70">
        <v>4</v>
      </c>
      <c r="E56" s="61">
        <v>4.96</v>
      </c>
      <c r="F56" s="61">
        <v>4</v>
      </c>
      <c r="G56" s="64">
        <v>5.76</v>
      </c>
      <c r="H56" s="142">
        <v>2.04</v>
      </c>
      <c r="I56" s="105">
        <v>2</v>
      </c>
      <c r="J56" s="62">
        <v>1.1000000000000001</v>
      </c>
      <c r="K56" s="62">
        <v>2</v>
      </c>
      <c r="L56" s="64">
        <v>1.5</v>
      </c>
      <c r="M56" s="116">
        <v>7.26</v>
      </c>
      <c r="N56" s="143">
        <v>0.56000000000000005</v>
      </c>
      <c r="O56" s="110"/>
    </row>
    <row r="57" spans="1:15" ht="24.95" customHeight="1" x14ac:dyDescent="0.2">
      <c r="A57" s="114">
        <v>56</v>
      </c>
      <c r="B57" s="63">
        <v>59</v>
      </c>
      <c r="C57" s="142" t="s">
        <v>252</v>
      </c>
      <c r="D57" s="70">
        <v>0</v>
      </c>
      <c r="E57" s="61">
        <v>0</v>
      </c>
      <c r="F57" s="61">
        <v>0</v>
      </c>
      <c r="G57" s="64">
        <v>0</v>
      </c>
      <c r="H57" s="142">
        <v>0</v>
      </c>
      <c r="I57" s="105">
        <v>4</v>
      </c>
      <c r="J57" s="62">
        <v>6.18</v>
      </c>
      <c r="K57" s="62">
        <v>4</v>
      </c>
      <c r="L57" s="64">
        <v>6.98</v>
      </c>
      <c r="M57" s="116">
        <v>6.98</v>
      </c>
      <c r="N57" s="143">
        <v>2.2599999999999998</v>
      </c>
      <c r="O57" s="110"/>
    </row>
    <row r="58" spans="1:15" ht="24.95" customHeight="1" x14ac:dyDescent="0.2">
      <c r="A58" s="114">
        <v>57</v>
      </c>
      <c r="B58" s="63">
        <v>24</v>
      </c>
      <c r="C58" s="142" t="s">
        <v>253</v>
      </c>
      <c r="D58" s="70">
        <v>2</v>
      </c>
      <c r="E58" s="61">
        <v>1.32</v>
      </c>
      <c r="F58" s="61">
        <v>2</v>
      </c>
      <c r="G58" s="64">
        <v>1.72</v>
      </c>
      <c r="H58" s="142">
        <v>0</v>
      </c>
      <c r="I58" s="105">
        <v>3</v>
      </c>
      <c r="J58" s="62">
        <v>4.5199999999999996</v>
      </c>
      <c r="K58" s="62">
        <v>3</v>
      </c>
      <c r="L58" s="64">
        <v>5.12</v>
      </c>
      <c r="M58" s="116">
        <v>6.84</v>
      </c>
      <c r="N58" s="143">
        <v>2.2999999999999998</v>
      </c>
      <c r="O58" s="110"/>
    </row>
    <row r="59" spans="1:15" ht="24.95" customHeight="1" x14ac:dyDescent="0.2">
      <c r="A59" s="114">
        <v>58</v>
      </c>
      <c r="B59" s="63">
        <v>65</v>
      </c>
      <c r="C59" s="142" t="s">
        <v>254</v>
      </c>
      <c r="D59" s="70">
        <v>2</v>
      </c>
      <c r="E59" s="61">
        <v>3.04</v>
      </c>
      <c r="F59" s="61">
        <v>2</v>
      </c>
      <c r="G59" s="64">
        <v>3.44</v>
      </c>
      <c r="H59" s="142">
        <v>2.14</v>
      </c>
      <c r="I59" s="105">
        <v>2</v>
      </c>
      <c r="J59" s="62">
        <v>2.8</v>
      </c>
      <c r="K59" s="62">
        <v>2</v>
      </c>
      <c r="L59" s="64">
        <v>3.2</v>
      </c>
      <c r="M59" s="116">
        <v>6.64</v>
      </c>
      <c r="N59" s="143">
        <v>2.16</v>
      </c>
      <c r="O59" s="110"/>
    </row>
    <row r="60" spans="1:15" ht="24.95" customHeight="1" x14ac:dyDescent="0.2">
      <c r="A60" s="114">
        <v>59</v>
      </c>
      <c r="B60" s="63">
        <v>22</v>
      </c>
      <c r="C60" s="142" t="s">
        <v>256</v>
      </c>
      <c r="D60" s="70">
        <v>2</v>
      </c>
      <c r="E60" s="61">
        <v>3.72</v>
      </c>
      <c r="F60" s="61">
        <v>2</v>
      </c>
      <c r="G60" s="64">
        <v>4.12</v>
      </c>
      <c r="H60" s="142">
        <v>2.06</v>
      </c>
      <c r="I60" s="105">
        <v>3</v>
      </c>
      <c r="J60" s="62">
        <v>1.76</v>
      </c>
      <c r="K60" s="62">
        <v>3</v>
      </c>
      <c r="L60" s="64">
        <v>2.36</v>
      </c>
      <c r="M60" s="116">
        <v>6.48</v>
      </c>
      <c r="N60" s="143">
        <v>0.88</v>
      </c>
      <c r="O60" s="110"/>
    </row>
    <row r="61" spans="1:15" ht="24.95" customHeight="1" x14ac:dyDescent="0.2">
      <c r="A61" s="114">
        <v>60</v>
      </c>
      <c r="B61" s="63">
        <v>67</v>
      </c>
      <c r="C61" s="142" t="s">
        <v>255</v>
      </c>
      <c r="D61" s="70">
        <v>1</v>
      </c>
      <c r="E61" s="61">
        <v>2.04</v>
      </c>
      <c r="F61" s="61">
        <v>1</v>
      </c>
      <c r="G61" s="64">
        <v>2.2400000000000002</v>
      </c>
      <c r="H61" s="142">
        <v>0</v>
      </c>
      <c r="I61" s="105">
        <v>2</v>
      </c>
      <c r="J61" s="62">
        <v>3.84</v>
      </c>
      <c r="K61" s="62">
        <v>2</v>
      </c>
      <c r="L61" s="64">
        <v>4.24</v>
      </c>
      <c r="M61" s="116">
        <v>6.48</v>
      </c>
      <c r="N61" s="143">
        <v>1.96</v>
      </c>
      <c r="O61" s="110"/>
    </row>
    <row r="62" spans="1:15" ht="24.95" customHeight="1" x14ac:dyDescent="0.2">
      <c r="A62" s="114">
        <v>61</v>
      </c>
      <c r="B62" s="63">
        <v>44</v>
      </c>
      <c r="C62" s="142" t="s">
        <v>257</v>
      </c>
      <c r="D62" s="70">
        <v>2</v>
      </c>
      <c r="E62" s="61">
        <v>2.7</v>
      </c>
      <c r="F62" s="61">
        <v>2</v>
      </c>
      <c r="G62" s="64">
        <v>3.1</v>
      </c>
      <c r="H62" s="142">
        <v>1.78</v>
      </c>
      <c r="I62" s="105">
        <v>2</v>
      </c>
      <c r="J62" s="62">
        <v>2.78</v>
      </c>
      <c r="K62" s="62">
        <v>2</v>
      </c>
      <c r="L62" s="64">
        <v>3.18</v>
      </c>
      <c r="M62" s="116">
        <v>6.28</v>
      </c>
      <c r="N62" s="143">
        <v>1.78</v>
      </c>
      <c r="O62" s="110"/>
    </row>
    <row r="63" spans="1:15" ht="24.95" customHeight="1" x14ac:dyDescent="0.2">
      <c r="A63" s="114">
        <v>62</v>
      </c>
      <c r="B63" s="63">
        <v>5</v>
      </c>
      <c r="C63" s="142" t="s">
        <v>258</v>
      </c>
      <c r="D63" s="70">
        <v>2</v>
      </c>
      <c r="E63" s="61">
        <v>3.96</v>
      </c>
      <c r="F63" s="61">
        <v>2</v>
      </c>
      <c r="G63" s="64">
        <v>4.3600000000000003</v>
      </c>
      <c r="H63" s="142">
        <v>2</v>
      </c>
      <c r="I63" s="105">
        <v>2</v>
      </c>
      <c r="J63" s="62">
        <v>1.46</v>
      </c>
      <c r="K63" s="62">
        <v>2</v>
      </c>
      <c r="L63" s="64">
        <v>1.86</v>
      </c>
      <c r="M63" s="116">
        <v>6.22</v>
      </c>
      <c r="N63" s="143">
        <v>0.84</v>
      </c>
      <c r="O63" s="110"/>
    </row>
    <row r="64" spans="1:15" ht="24.95" customHeight="1" x14ac:dyDescent="0.2">
      <c r="A64" s="114">
        <v>63</v>
      </c>
      <c r="B64" s="63">
        <v>37</v>
      </c>
      <c r="C64" s="142" t="s">
        <v>259</v>
      </c>
      <c r="D64" s="70">
        <v>1</v>
      </c>
      <c r="E64" s="61">
        <v>1</v>
      </c>
      <c r="F64" s="61">
        <v>1</v>
      </c>
      <c r="G64" s="64">
        <v>1.2</v>
      </c>
      <c r="H64" s="142">
        <v>0</v>
      </c>
      <c r="I64" s="105">
        <v>4</v>
      </c>
      <c r="J64" s="62">
        <v>4.76</v>
      </c>
      <c r="K64" s="62">
        <v>0</v>
      </c>
      <c r="L64" s="64">
        <v>4.76</v>
      </c>
      <c r="M64" s="116">
        <v>5.96</v>
      </c>
      <c r="N64" s="143">
        <v>1.82</v>
      </c>
      <c r="O64" s="110"/>
    </row>
    <row r="65" spans="1:15" ht="24.95" customHeight="1" x14ac:dyDescent="0.2">
      <c r="A65" s="114">
        <v>64</v>
      </c>
      <c r="B65" s="63">
        <v>7</v>
      </c>
      <c r="C65" s="142" t="s">
        <v>260</v>
      </c>
      <c r="D65" s="70">
        <v>2</v>
      </c>
      <c r="E65" s="61">
        <v>2.16</v>
      </c>
      <c r="F65" s="61">
        <v>2</v>
      </c>
      <c r="G65" s="64">
        <v>2.56</v>
      </c>
      <c r="H65" s="142">
        <v>1.7</v>
      </c>
      <c r="I65" s="105">
        <v>2</v>
      </c>
      <c r="J65" s="62">
        <v>2.86</v>
      </c>
      <c r="K65" s="62">
        <v>2</v>
      </c>
      <c r="L65" s="64">
        <v>3.26</v>
      </c>
      <c r="M65" s="116">
        <v>5.82</v>
      </c>
      <c r="N65" s="143">
        <v>1.98</v>
      </c>
      <c r="O65" s="110"/>
    </row>
    <row r="66" spans="1:15" ht="24.95" customHeight="1" x14ac:dyDescent="0.2">
      <c r="A66" s="114">
        <v>65</v>
      </c>
      <c r="B66" s="63">
        <v>29</v>
      </c>
      <c r="C66" s="142" t="s">
        <v>261</v>
      </c>
      <c r="D66" s="70">
        <v>1</v>
      </c>
      <c r="E66" s="61">
        <v>1.78</v>
      </c>
      <c r="F66" s="61">
        <v>1</v>
      </c>
      <c r="G66" s="64">
        <v>1.98</v>
      </c>
      <c r="H66" s="142">
        <v>0</v>
      </c>
      <c r="I66" s="105">
        <v>2</v>
      </c>
      <c r="J66" s="62">
        <v>2.56</v>
      </c>
      <c r="K66" s="62">
        <v>2</v>
      </c>
      <c r="L66" s="64">
        <v>2.96</v>
      </c>
      <c r="M66" s="116">
        <v>4.9400000000000004</v>
      </c>
      <c r="N66" s="143">
        <v>2</v>
      </c>
      <c r="O66" s="110"/>
    </row>
    <row r="67" spans="1:15" ht="24.95" customHeight="1" x14ac:dyDescent="0.2">
      <c r="A67" s="114">
        <v>66</v>
      </c>
      <c r="B67" s="63">
        <v>19</v>
      </c>
      <c r="C67" s="142" t="s">
        <v>262</v>
      </c>
      <c r="D67" s="70">
        <v>0</v>
      </c>
      <c r="E67" s="61">
        <v>0</v>
      </c>
      <c r="F67" s="61">
        <v>0</v>
      </c>
      <c r="G67" s="64">
        <v>0</v>
      </c>
      <c r="H67" s="142">
        <v>0</v>
      </c>
      <c r="I67" s="105">
        <v>2</v>
      </c>
      <c r="J67" s="62">
        <v>3.98</v>
      </c>
      <c r="K67" s="62">
        <v>2</v>
      </c>
      <c r="L67" s="64">
        <v>4.38</v>
      </c>
      <c r="M67" s="116">
        <v>4.38</v>
      </c>
      <c r="N67" s="143">
        <v>2</v>
      </c>
      <c r="O67" s="110"/>
    </row>
    <row r="68" spans="1:15" ht="24.95" customHeight="1" x14ac:dyDescent="0.2">
      <c r="A68" s="114">
        <v>67</v>
      </c>
      <c r="B68" s="63">
        <v>25</v>
      </c>
      <c r="C68" s="142" t="s">
        <v>263</v>
      </c>
      <c r="D68" s="70">
        <v>1</v>
      </c>
      <c r="E68" s="61">
        <v>1.96</v>
      </c>
      <c r="F68" s="61">
        <v>1</v>
      </c>
      <c r="G68" s="64">
        <v>2.16</v>
      </c>
      <c r="H68" s="142">
        <v>1.96</v>
      </c>
      <c r="I68" s="105">
        <v>1</v>
      </c>
      <c r="J68" s="62">
        <v>1.9</v>
      </c>
      <c r="K68" s="62">
        <v>1</v>
      </c>
      <c r="L68" s="64">
        <v>2.1</v>
      </c>
      <c r="M68" s="116">
        <v>4.26</v>
      </c>
      <c r="N68" s="143">
        <v>1.9</v>
      </c>
      <c r="O68" s="110"/>
    </row>
    <row r="69" spans="1:15" ht="24.95" customHeight="1" x14ac:dyDescent="0.2">
      <c r="A69" s="114">
        <v>68</v>
      </c>
      <c r="B69" s="63">
        <v>16</v>
      </c>
      <c r="C69" s="142" t="s">
        <v>264</v>
      </c>
      <c r="D69" s="70">
        <v>5</v>
      </c>
      <c r="E69" s="61">
        <v>3.22</v>
      </c>
      <c r="F69" s="61">
        <v>5</v>
      </c>
      <c r="G69" s="64">
        <v>4.22</v>
      </c>
      <c r="H69" s="142">
        <v>0</v>
      </c>
      <c r="I69" s="105">
        <v>0</v>
      </c>
      <c r="J69" s="62">
        <v>0</v>
      </c>
      <c r="K69" s="62">
        <v>0</v>
      </c>
      <c r="L69" s="64">
        <v>0</v>
      </c>
      <c r="M69" s="116">
        <v>4.22</v>
      </c>
      <c r="N69" s="143">
        <v>0</v>
      </c>
      <c r="O69" s="110"/>
    </row>
    <row r="70" spans="1:15" ht="24.95" customHeight="1" x14ac:dyDescent="0.2">
      <c r="A70" s="114">
        <v>69</v>
      </c>
      <c r="B70" s="63">
        <v>60</v>
      </c>
      <c r="C70" s="142" t="s">
        <v>265</v>
      </c>
      <c r="D70" s="70">
        <v>1</v>
      </c>
      <c r="E70" s="61">
        <v>2.1</v>
      </c>
      <c r="F70" s="61">
        <v>1</v>
      </c>
      <c r="G70" s="64">
        <v>2.2999999999999998</v>
      </c>
      <c r="H70" s="142">
        <v>0</v>
      </c>
      <c r="I70" s="105">
        <v>1</v>
      </c>
      <c r="J70" s="62">
        <v>1.78</v>
      </c>
      <c r="K70" s="62">
        <v>0</v>
      </c>
      <c r="L70" s="64">
        <v>1.78</v>
      </c>
      <c r="M70" s="116">
        <v>4.08</v>
      </c>
      <c r="N70" s="143">
        <v>1.78</v>
      </c>
      <c r="O70" s="110"/>
    </row>
    <row r="71" spans="1:15" ht="24.95" customHeight="1" x14ac:dyDescent="0.2">
      <c r="A71" s="114">
        <v>70</v>
      </c>
      <c r="B71" s="63">
        <v>73</v>
      </c>
      <c r="C71" s="142" t="s">
        <v>266</v>
      </c>
      <c r="D71" s="70">
        <v>1</v>
      </c>
      <c r="E71" s="61">
        <v>1.82</v>
      </c>
      <c r="F71" s="61">
        <v>1</v>
      </c>
      <c r="G71" s="64">
        <v>2.02</v>
      </c>
      <c r="H71" s="142">
        <v>0</v>
      </c>
      <c r="I71" s="105">
        <v>1</v>
      </c>
      <c r="J71" s="62">
        <v>1.84</v>
      </c>
      <c r="K71" s="62">
        <v>1</v>
      </c>
      <c r="L71" s="64">
        <v>2.04</v>
      </c>
      <c r="M71" s="116">
        <v>4.0599999999999996</v>
      </c>
      <c r="N71" s="143">
        <v>1.84</v>
      </c>
      <c r="O71" s="110"/>
    </row>
    <row r="72" spans="1:15" ht="24.95" customHeight="1" x14ac:dyDescent="0.2">
      <c r="A72" s="114">
        <v>71</v>
      </c>
      <c r="B72" s="63">
        <v>36</v>
      </c>
      <c r="C72" s="142" t="s">
        <v>267</v>
      </c>
      <c r="D72" s="70">
        <v>0</v>
      </c>
      <c r="E72" s="61">
        <v>0</v>
      </c>
      <c r="F72" s="61">
        <v>0</v>
      </c>
      <c r="G72" s="64">
        <v>0</v>
      </c>
      <c r="H72" s="142">
        <v>0</v>
      </c>
      <c r="I72" s="105">
        <v>2</v>
      </c>
      <c r="J72" s="62">
        <v>3.54</v>
      </c>
      <c r="K72" s="62">
        <v>2</v>
      </c>
      <c r="L72" s="64">
        <v>3.94</v>
      </c>
      <c r="M72" s="116">
        <v>3.94</v>
      </c>
      <c r="N72" s="143">
        <v>1.92</v>
      </c>
      <c r="O72" s="110"/>
    </row>
    <row r="73" spans="1:15" ht="24.95" customHeight="1" x14ac:dyDescent="0.2">
      <c r="A73" s="114">
        <v>72</v>
      </c>
      <c r="B73" s="63">
        <v>31</v>
      </c>
      <c r="C73" s="142" t="s">
        <v>268</v>
      </c>
      <c r="D73" s="70">
        <v>1</v>
      </c>
      <c r="E73" s="61">
        <v>2.14</v>
      </c>
      <c r="F73" s="61">
        <v>1</v>
      </c>
      <c r="G73" s="64">
        <v>2.34</v>
      </c>
      <c r="H73" s="142">
        <v>0</v>
      </c>
      <c r="I73" s="105">
        <v>0</v>
      </c>
      <c r="J73" s="62">
        <v>0</v>
      </c>
      <c r="K73" s="62">
        <v>0</v>
      </c>
      <c r="L73" s="64">
        <v>0</v>
      </c>
      <c r="M73" s="116">
        <v>2.34</v>
      </c>
      <c r="N73" s="143">
        <v>0</v>
      </c>
      <c r="O73" s="110"/>
    </row>
    <row r="74" spans="1:15" ht="24.95" customHeight="1" x14ac:dyDescent="0.2">
      <c r="A74" s="114">
        <v>73</v>
      </c>
      <c r="B74" s="63">
        <v>54</v>
      </c>
      <c r="C74" s="142" t="s">
        <v>269</v>
      </c>
      <c r="D74" s="70">
        <v>1</v>
      </c>
      <c r="E74" s="61">
        <v>2.04</v>
      </c>
      <c r="F74" s="61">
        <v>1</v>
      </c>
      <c r="G74" s="64">
        <v>2.2400000000000002</v>
      </c>
      <c r="H74" s="142">
        <v>0</v>
      </c>
      <c r="I74" s="105">
        <v>0</v>
      </c>
      <c r="J74" s="62">
        <v>0</v>
      </c>
      <c r="K74" s="62">
        <v>0</v>
      </c>
      <c r="L74" s="64">
        <v>0</v>
      </c>
      <c r="M74" s="116">
        <v>2.2400000000000002</v>
      </c>
      <c r="N74" s="143">
        <v>0</v>
      </c>
      <c r="O74" s="110"/>
    </row>
    <row r="75" spans="1:15" ht="24.95" customHeight="1" x14ac:dyDescent="0.2">
      <c r="A75" s="114">
        <v>74</v>
      </c>
      <c r="B75" s="63">
        <v>42</v>
      </c>
      <c r="C75" s="142" t="s">
        <v>270</v>
      </c>
      <c r="D75" s="70">
        <v>1</v>
      </c>
      <c r="E75" s="61">
        <v>0.6</v>
      </c>
      <c r="F75" s="61">
        <v>1</v>
      </c>
      <c r="G75" s="64">
        <v>0.8</v>
      </c>
      <c r="H75" s="142">
        <v>0</v>
      </c>
      <c r="I75" s="105">
        <v>1</v>
      </c>
      <c r="J75" s="62">
        <v>1.18</v>
      </c>
      <c r="K75" s="62">
        <v>1</v>
      </c>
      <c r="L75" s="64">
        <v>1.38</v>
      </c>
      <c r="M75" s="116">
        <v>2.1800000000000002</v>
      </c>
      <c r="N75" s="143">
        <v>1.18</v>
      </c>
      <c r="O75" s="110"/>
    </row>
    <row r="76" spans="1:15" ht="24.95" customHeight="1" x14ac:dyDescent="0.2">
      <c r="A76" s="114">
        <v>75</v>
      </c>
      <c r="B76" s="63">
        <v>18</v>
      </c>
      <c r="C76" s="142" t="s">
        <v>271</v>
      </c>
      <c r="D76" s="70">
        <v>2</v>
      </c>
      <c r="E76" s="61">
        <v>1.66</v>
      </c>
      <c r="F76" s="61">
        <v>2</v>
      </c>
      <c r="G76" s="64">
        <v>2.06</v>
      </c>
      <c r="H76" s="142">
        <v>0</v>
      </c>
      <c r="I76" s="105">
        <v>0</v>
      </c>
      <c r="J76" s="62">
        <v>0</v>
      </c>
      <c r="K76" s="62">
        <v>0</v>
      </c>
      <c r="L76" s="64">
        <v>0</v>
      </c>
      <c r="M76" s="116">
        <v>2.06</v>
      </c>
      <c r="N76" s="143">
        <v>0</v>
      </c>
      <c r="O76" s="110"/>
    </row>
    <row r="77" spans="1:15" ht="24.95" customHeight="1" thickBot="1" x14ac:dyDescent="0.25">
      <c r="A77" s="118">
        <v>76</v>
      </c>
      <c r="B77" s="63">
        <v>40</v>
      </c>
      <c r="C77" s="142" t="s">
        <v>272</v>
      </c>
      <c r="D77" s="70">
        <v>1</v>
      </c>
      <c r="E77" s="61">
        <v>1</v>
      </c>
      <c r="F77" s="61">
        <v>1</v>
      </c>
      <c r="G77" s="64">
        <v>1.2</v>
      </c>
      <c r="H77" s="142">
        <v>0</v>
      </c>
      <c r="I77" s="105">
        <v>0</v>
      </c>
      <c r="J77" s="62">
        <v>0</v>
      </c>
      <c r="K77" s="62">
        <v>0</v>
      </c>
      <c r="L77" s="64">
        <v>0</v>
      </c>
      <c r="M77" s="116">
        <v>1.2</v>
      </c>
      <c r="N77" s="14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S651"/>
  <sheetViews>
    <sheetView workbookViewId="0">
      <selection activeCell="A2" sqref="A2:O8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48.28515625" style="24" customWidth="1"/>
  </cols>
  <sheetData>
    <row r="1" spans="1:19" ht="38.25" customHeight="1" x14ac:dyDescent="0.2">
      <c r="A1" s="21" t="s">
        <v>0</v>
      </c>
      <c r="B1" s="21" t="s">
        <v>1</v>
      </c>
      <c r="C1" s="20" t="s">
        <v>2</v>
      </c>
      <c r="D1" s="21" t="s">
        <v>3</v>
      </c>
      <c r="E1" s="21" t="s">
        <v>4</v>
      </c>
      <c r="F1" s="20" t="s">
        <v>5</v>
      </c>
      <c r="G1" s="21" t="s">
        <v>6</v>
      </c>
      <c r="H1" s="21" t="s">
        <v>7</v>
      </c>
      <c r="I1" s="21" t="s">
        <v>36</v>
      </c>
      <c r="J1" s="21" t="s">
        <v>8</v>
      </c>
      <c r="K1" s="21" t="s">
        <v>5</v>
      </c>
      <c r="L1" s="21" t="s">
        <v>9</v>
      </c>
      <c r="M1" s="21" t="s">
        <v>10</v>
      </c>
      <c r="N1" s="21" t="s">
        <v>11</v>
      </c>
      <c r="O1" s="21" t="s">
        <v>164</v>
      </c>
      <c r="Q1" s="60"/>
      <c r="R1" s="1"/>
      <c r="S1" s="1"/>
    </row>
    <row r="2" spans="1:19" ht="24.95" customHeight="1" x14ac:dyDescent="0.2">
      <c r="A2" s="7">
        <v>18</v>
      </c>
      <c r="B2" s="19">
        <v>1</v>
      </c>
      <c r="C2" s="8" t="s">
        <v>55</v>
      </c>
      <c r="D2" s="9">
        <v>7</v>
      </c>
      <c r="E2" s="9">
        <v>8.26</v>
      </c>
      <c r="F2" s="9">
        <v>7</v>
      </c>
      <c r="G2" s="10">
        <f t="shared" ref="G2:G33" si="0">E2+F2*0.2</f>
        <v>9.66</v>
      </c>
      <c r="H2" s="11">
        <v>2.1</v>
      </c>
      <c r="I2" s="9">
        <v>7</v>
      </c>
      <c r="J2" s="9">
        <v>8.1</v>
      </c>
      <c r="K2" s="9">
        <v>7</v>
      </c>
      <c r="L2" s="10">
        <f t="shared" ref="L2:L33" si="1">J2+K2*0.2</f>
        <v>9.5</v>
      </c>
      <c r="M2" s="12">
        <f t="shared" ref="M2:M33" si="2">L2+G2</f>
        <v>19.16</v>
      </c>
      <c r="N2" s="11">
        <v>2.1</v>
      </c>
      <c r="O2" s="27"/>
    </row>
    <row r="3" spans="1:19" ht="24.95" customHeight="1" x14ac:dyDescent="0.2">
      <c r="A3" s="7">
        <v>15</v>
      </c>
      <c r="B3" s="19">
        <v>2</v>
      </c>
      <c r="C3" s="8" t="s">
        <v>130</v>
      </c>
      <c r="D3" s="9">
        <v>7</v>
      </c>
      <c r="E3" s="9">
        <v>9.44</v>
      </c>
      <c r="F3" s="9">
        <v>7</v>
      </c>
      <c r="G3" s="10">
        <f t="shared" si="0"/>
        <v>10.84</v>
      </c>
      <c r="H3" s="11">
        <v>3.28</v>
      </c>
      <c r="I3" s="9">
        <v>7</v>
      </c>
      <c r="J3" s="9">
        <v>7.28</v>
      </c>
      <c r="K3" s="9">
        <v>7</v>
      </c>
      <c r="L3" s="10">
        <f t="shared" si="1"/>
        <v>8.68</v>
      </c>
      <c r="M3" s="12">
        <f t="shared" si="2"/>
        <v>19.52</v>
      </c>
      <c r="N3" s="11">
        <v>1.94</v>
      </c>
      <c r="O3" s="27"/>
    </row>
    <row r="4" spans="1:19" ht="24.95" customHeight="1" x14ac:dyDescent="0.2">
      <c r="A4" s="7">
        <v>40</v>
      </c>
      <c r="B4" s="19">
        <v>3</v>
      </c>
      <c r="C4" s="8" t="s">
        <v>42</v>
      </c>
      <c r="D4" s="9">
        <v>6</v>
      </c>
      <c r="E4" s="9">
        <v>5.9</v>
      </c>
      <c r="F4" s="9">
        <v>6</v>
      </c>
      <c r="G4" s="10">
        <f t="shared" si="0"/>
        <v>7.1000000000000005</v>
      </c>
      <c r="H4" s="11">
        <v>1.82</v>
      </c>
      <c r="I4" s="9">
        <v>7</v>
      </c>
      <c r="J4" s="9">
        <v>6.16</v>
      </c>
      <c r="K4" s="9">
        <v>7</v>
      </c>
      <c r="L4" s="10">
        <f t="shared" si="1"/>
        <v>7.5600000000000005</v>
      </c>
      <c r="M4" s="12">
        <f t="shared" si="2"/>
        <v>14.66</v>
      </c>
      <c r="N4" s="11">
        <v>2</v>
      </c>
      <c r="O4" s="27"/>
    </row>
    <row r="5" spans="1:19" ht="24.95" customHeight="1" x14ac:dyDescent="0.2">
      <c r="A5" s="7">
        <v>20</v>
      </c>
      <c r="B5" s="19">
        <v>4</v>
      </c>
      <c r="C5" s="8" t="s">
        <v>68</v>
      </c>
      <c r="D5" s="9">
        <v>7</v>
      </c>
      <c r="E5" s="9">
        <v>6.48</v>
      </c>
      <c r="F5" s="9">
        <v>7</v>
      </c>
      <c r="G5" s="10">
        <f t="shared" si="0"/>
        <v>7.8800000000000008</v>
      </c>
      <c r="H5" s="11"/>
      <c r="I5" s="9">
        <v>7</v>
      </c>
      <c r="J5" s="9">
        <v>9.8000000000000007</v>
      </c>
      <c r="K5" s="9">
        <v>7</v>
      </c>
      <c r="L5" s="10">
        <f t="shared" si="1"/>
        <v>11.200000000000001</v>
      </c>
      <c r="M5" s="12">
        <f t="shared" si="2"/>
        <v>19.080000000000002</v>
      </c>
      <c r="N5" s="11">
        <v>3.06</v>
      </c>
      <c r="O5" s="27"/>
    </row>
    <row r="6" spans="1:19" ht="24.95" customHeight="1" x14ac:dyDescent="0.2">
      <c r="A6" s="7">
        <v>3</v>
      </c>
      <c r="B6" s="19">
        <v>5</v>
      </c>
      <c r="C6" s="8" t="s">
        <v>60</v>
      </c>
      <c r="D6" s="9">
        <v>7</v>
      </c>
      <c r="E6" s="9">
        <v>9.18</v>
      </c>
      <c r="F6" s="9">
        <v>7</v>
      </c>
      <c r="G6" s="10">
        <f t="shared" si="0"/>
        <v>10.58</v>
      </c>
      <c r="H6" s="11">
        <v>2.44</v>
      </c>
      <c r="I6" s="9">
        <v>7</v>
      </c>
      <c r="J6" s="9">
        <v>9.0399999999999991</v>
      </c>
      <c r="K6" s="9">
        <v>7</v>
      </c>
      <c r="L6" s="10">
        <f t="shared" si="1"/>
        <v>10.44</v>
      </c>
      <c r="M6" s="12">
        <f t="shared" si="2"/>
        <v>21.02</v>
      </c>
      <c r="N6" s="11">
        <v>2.7</v>
      </c>
      <c r="O6" s="27"/>
    </row>
    <row r="7" spans="1:19" ht="24.95" customHeight="1" x14ac:dyDescent="0.2">
      <c r="A7" s="7">
        <v>1</v>
      </c>
      <c r="B7" s="19">
        <v>6</v>
      </c>
      <c r="C7" s="8" t="s">
        <v>31</v>
      </c>
      <c r="D7" s="9">
        <v>7</v>
      </c>
      <c r="E7" s="9">
        <v>9.3800000000000008</v>
      </c>
      <c r="F7" s="9">
        <v>7</v>
      </c>
      <c r="G7" s="10">
        <f t="shared" si="0"/>
        <v>10.780000000000001</v>
      </c>
      <c r="H7" s="11">
        <v>2.2200000000000002</v>
      </c>
      <c r="I7" s="9">
        <v>7</v>
      </c>
      <c r="J7" s="9">
        <v>11.28</v>
      </c>
      <c r="K7" s="9">
        <v>7</v>
      </c>
      <c r="L7" s="10">
        <f t="shared" si="1"/>
        <v>12.68</v>
      </c>
      <c r="M7" s="12">
        <f t="shared" si="2"/>
        <v>23.46</v>
      </c>
      <c r="N7" s="11">
        <v>4.28</v>
      </c>
      <c r="O7" s="27"/>
    </row>
    <row r="8" spans="1:19" ht="24.95" customHeight="1" x14ac:dyDescent="0.2">
      <c r="A8" s="7">
        <v>56</v>
      </c>
      <c r="B8" s="19">
        <v>7</v>
      </c>
      <c r="C8" s="8" t="s">
        <v>121</v>
      </c>
      <c r="D8" s="9">
        <v>2</v>
      </c>
      <c r="E8" s="9">
        <v>1.94</v>
      </c>
      <c r="F8" s="9">
        <v>2</v>
      </c>
      <c r="G8" s="10">
        <f t="shared" si="0"/>
        <v>2.34</v>
      </c>
      <c r="H8" s="11"/>
      <c r="I8" s="9">
        <v>7</v>
      </c>
      <c r="J8" s="9">
        <v>6</v>
      </c>
      <c r="K8" s="9">
        <v>7</v>
      </c>
      <c r="L8" s="10">
        <f t="shared" si="1"/>
        <v>7.4</v>
      </c>
      <c r="M8" s="12">
        <f t="shared" si="2"/>
        <v>9.74</v>
      </c>
      <c r="N8" s="11"/>
      <c r="O8" s="27"/>
    </row>
    <row r="9" spans="1:19" ht="24.95" customHeight="1" x14ac:dyDescent="0.2">
      <c r="A9" s="7">
        <v>33</v>
      </c>
      <c r="B9" s="19">
        <v>8</v>
      </c>
      <c r="C9" s="8" t="s">
        <v>64</v>
      </c>
      <c r="D9" s="9">
        <v>4</v>
      </c>
      <c r="E9" s="9">
        <v>4.92</v>
      </c>
      <c r="F9" s="9">
        <v>4</v>
      </c>
      <c r="G9" s="10">
        <f t="shared" si="0"/>
        <v>5.72</v>
      </c>
      <c r="H9" s="11">
        <v>1.98</v>
      </c>
      <c r="I9" s="9">
        <v>7</v>
      </c>
      <c r="J9" s="9">
        <v>9.68</v>
      </c>
      <c r="K9" s="9">
        <v>7</v>
      </c>
      <c r="L9" s="10">
        <f t="shared" si="1"/>
        <v>11.08</v>
      </c>
      <c r="M9" s="12">
        <f t="shared" si="2"/>
        <v>16.8</v>
      </c>
      <c r="N9" s="11">
        <v>3.02</v>
      </c>
      <c r="O9" s="27"/>
    </row>
    <row r="10" spans="1:19" ht="24.95" customHeight="1" x14ac:dyDescent="0.2">
      <c r="A10" s="7">
        <v>65</v>
      </c>
      <c r="B10" s="19">
        <v>9</v>
      </c>
      <c r="C10" s="8" t="s">
        <v>41</v>
      </c>
      <c r="D10" s="9">
        <v>2</v>
      </c>
      <c r="E10" s="9">
        <v>2.66</v>
      </c>
      <c r="F10" s="9">
        <v>2</v>
      </c>
      <c r="G10" s="10">
        <f t="shared" si="0"/>
        <v>3.06</v>
      </c>
      <c r="H10" s="11">
        <v>1.8</v>
      </c>
      <c r="I10" s="9">
        <v>2</v>
      </c>
      <c r="J10" s="9">
        <v>1.72</v>
      </c>
      <c r="K10" s="9">
        <v>2</v>
      </c>
      <c r="L10" s="10">
        <f t="shared" si="1"/>
        <v>2.12</v>
      </c>
      <c r="M10" s="12">
        <f t="shared" si="2"/>
        <v>5.18</v>
      </c>
      <c r="N10" s="11"/>
      <c r="O10" s="27"/>
    </row>
    <row r="11" spans="1:19" ht="24.95" customHeight="1" x14ac:dyDescent="0.2">
      <c r="A11" s="7">
        <v>54</v>
      </c>
      <c r="B11" s="19">
        <v>10</v>
      </c>
      <c r="C11" s="8" t="s">
        <v>105</v>
      </c>
      <c r="D11" s="9">
        <v>7</v>
      </c>
      <c r="E11" s="9">
        <v>8.6999999999999993</v>
      </c>
      <c r="F11" s="9">
        <v>7</v>
      </c>
      <c r="G11" s="10">
        <f t="shared" si="0"/>
        <v>10.1</v>
      </c>
      <c r="H11" s="11">
        <v>2.2400000000000002</v>
      </c>
      <c r="I11" s="9"/>
      <c r="J11" s="9">
        <v>0</v>
      </c>
      <c r="K11" s="9"/>
      <c r="L11" s="10">
        <f t="shared" si="1"/>
        <v>0</v>
      </c>
      <c r="M11" s="12">
        <f t="shared" si="2"/>
        <v>10.1</v>
      </c>
      <c r="N11" s="11"/>
      <c r="O11" s="27"/>
    </row>
    <row r="12" spans="1:19" ht="24.95" customHeight="1" x14ac:dyDescent="0.2">
      <c r="A12" s="7">
        <v>8</v>
      </c>
      <c r="B12" s="19">
        <v>11</v>
      </c>
      <c r="C12" s="8" t="s">
        <v>112</v>
      </c>
      <c r="D12" s="9">
        <v>7</v>
      </c>
      <c r="E12" s="9">
        <v>8.1999999999999993</v>
      </c>
      <c r="F12" s="9">
        <v>7</v>
      </c>
      <c r="G12" s="10">
        <f t="shared" si="0"/>
        <v>9.6</v>
      </c>
      <c r="H12" s="11">
        <v>1.8</v>
      </c>
      <c r="I12" s="9">
        <v>7</v>
      </c>
      <c r="J12" s="9">
        <v>9.3000000000000007</v>
      </c>
      <c r="K12" s="9">
        <v>7</v>
      </c>
      <c r="L12" s="10">
        <f t="shared" si="1"/>
        <v>10.700000000000001</v>
      </c>
      <c r="M12" s="12">
        <f t="shared" si="2"/>
        <v>20.3</v>
      </c>
      <c r="N12" s="11">
        <v>2.48</v>
      </c>
      <c r="O12" s="27"/>
    </row>
    <row r="13" spans="1:19" ht="24.95" customHeight="1" x14ac:dyDescent="0.2">
      <c r="A13" s="7">
        <v>14</v>
      </c>
      <c r="B13" s="19">
        <v>12</v>
      </c>
      <c r="C13" s="8" t="s">
        <v>72</v>
      </c>
      <c r="D13" s="9">
        <v>6</v>
      </c>
      <c r="E13" s="9">
        <v>7.78</v>
      </c>
      <c r="F13" s="9">
        <v>6</v>
      </c>
      <c r="G13" s="10">
        <f t="shared" si="0"/>
        <v>8.98</v>
      </c>
      <c r="H13" s="11">
        <v>2.7</v>
      </c>
      <c r="I13" s="9">
        <v>7</v>
      </c>
      <c r="J13" s="9">
        <v>9.3000000000000007</v>
      </c>
      <c r="K13" s="9">
        <v>7</v>
      </c>
      <c r="L13" s="10">
        <f t="shared" si="1"/>
        <v>10.700000000000001</v>
      </c>
      <c r="M13" s="12">
        <f t="shared" si="2"/>
        <v>19.68</v>
      </c>
      <c r="N13" s="11">
        <v>2.56</v>
      </c>
      <c r="O13" s="27"/>
    </row>
    <row r="14" spans="1:19" ht="24.95" customHeight="1" x14ac:dyDescent="0.2">
      <c r="A14" s="7">
        <v>23</v>
      </c>
      <c r="B14" s="19">
        <v>13</v>
      </c>
      <c r="C14" s="8" t="s">
        <v>131</v>
      </c>
      <c r="D14" s="9">
        <v>7</v>
      </c>
      <c r="E14" s="9">
        <v>8.36</v>
      </c>
      <c r="F14" s="9">
        <v>7</v>
      </c>
      <c r="G14" s="10">
        <f t="shared" si="0"/>
        <v>9.76</v>
      </c>
      <c r="H14" s="11">
        <v>2.06</v>
      </c>
      <c r="I14" s="9">
        <v>7</v>
      </c>
      <c r="J14" s="9">
        <v>7.62</v>
      </c>
      <c r="K14" s="9">
        <v>7</v>
      </c>
      <c r="L14" s="10">
        <f t="shared" si="1"/>
        <v>9.02</v>
      </c>
      <c r="M14" s="12">
        <f t="shared" si="2"/>
        <v>18.78</v>
      </c>
      <c r="N14" s="11">
        <v>1.88</v>
      </c>
      <c r="O14" s="27"/>
    </row>
    <row r="15" spans="1:19" ht="24.95" customHeight="1" x14ac:dyDescent="0.2">
      <c r="A15" s="7">
        <v>5</v>
      </c>
      <c r="B15" s="19">
        <v>14</v>
      </c>
      <c r="C15" s="8" t="s">
        <v>120</v>
      </c>
      <c r="D15" s="9">
        <v>7</v>
      </c>
      <c r="E15" s="9">
        <v>9.0399999999999991</v>
      </c>
      <c r="F15" s="9">
        <v>7</v>
      </c>
      <c r="G15" s="10">
        <f t="shared" si="0"/>
        <v>10.44</v>
      </c>
      <c r="H15" s="11">
        <v>2.4</v>
      </c>
      <c r="I15" s="9">
        <v>7</v>
      </c>
      <c r="J15" s="9">
        <v>9.08</v>
      </c>
      <c r="K15" s="9">
        <v>7</v>
      </c>
      <c r="L15" s="10">
        <f t="shared" si="1"/>
        <v>10.48</v>
      </c>
      <c r="M15" s="12">
        <f t="shared" si="2"/>
        <v>20.92</v>
      </c>
      <c r="N15" s="11">
        <v>2.1800000000000002</v>
      </c>
      <c r="O15" s="27"/>
    </row>
    <row r="16" spans="1:19" ht="24.95" customHeight="1" x14ac:dyDescent="0.2">
      <c r="A16" s="7">
        <v>43</v>
      </c>
      <c r="B16" s="19">
        <v>15</v>
      </c>
      <c r="C16" s="8" t="s">
        <v>122</v>
      </c>
      <c r="D16" s="9">
        <v>5</v>
      </c>
      <c r="E16" s="9">
        <v>4.54</v>
      </c>
      <c r="F16" s="9">
        <v>5</v>
      </c>
      <c r="G16" s="10">
        <f t="shared" si="0"/>
        <v>5.54</v>
      </c>
      <c r="H16" s="11"/>
      <c r="I16" s="9">
        <v>7</v>
      </c>
      <c r="J16" s="9">
        <v>7.2</v>
      </c>
      <c r="K16" s="9">
        <v>7</v>
      </c>
      <c r="L16" s="10">
        <f t="shared" si="1"/>
        <v>8.6</v>
      </c>
      <c r="M16" s="12">
        <f t="shared" si="2"/>
        <v>14.14</v>
      </c>
      <c r="N16" s="11">
        <v>1.92</v>
      </c>
      <c r="O16" s="27"/>
    </row>
    <row r="17" spans="1:15" ht="24.95" customHeight="1" x14ac:dyDescent="0.2">
      <c r="A17" s="7">
        <v>10</v>
      </c>
      <c r="B17" s="19">
        <v>16</v>
      </c>
      <c r="C17" s="8" t="s">
        <v>38</v>
      </c>
      <c r="D17" s="9">
        <v>7</v>
      </c>
      <c r="E17" s="9">
        <v>8.7799999999999994</v>
      </c>
      <c r="F17" s="9">
        <v>7</v>
      </c>
      <c r="G17" s="10">
        <f t="shared" si="0"/>
        <v>10.18</v>
      </c>
      <c r="H17" s="11">
        <v>2.2000000000000002</v>
      </c>
      <c r="I17" s="9">
        <v>7</v>
      </c>
      <c r="J17" s="9">
        <v>8.48</v>
      </c>
      <c r="K17" s="9">
        <v>7</v>
      </c>
      <c r="L17" s="10">
        <f t="shared" si="1"/>
        <v>9.8800000000000008</v>
      </c>
      <c r="M17" s="12">
        <f t="shared" si="2"/>
        <v>20.060000000000002</v>
      </c>
      <c r="N17" s="11">
        <v>2.2400000000000002</v>
      </c>
      <c r="O17" s="27"/>
    </row>
    <row r="18" spans="1:15" ht="24.95" customHeight="1" x14ac:dyDescent="0.2">
      <c r="A18" s="7">
        <v>61</v>
      </c>
      <c r="B18" s="19">
        <v>17</v>
      </c>
      <c r="C18" s="8" t="s">
        <v>69</v>
      </c>
      <c r="D18" s="9">
        <v>4</v>
      </c>
      <c r="E18" s="9">
        <v>3.76</v>
      </c>
      <c r="F18" s="9">
        <v>4</v>
      </c>
      <c r="G18" s="10">
        <f t="shared" si="0"/>
        <v>4.5599999999999996</v>
      </c>
      <c r="H18" s="11"/>
      <c r="I18" s="9">
        <v>3</v>
      </c>
      <c r="J18" s="9">
        <v>3.72</v>
      </c>
      <c r="K18" s="9">
        <v>3</v>
      </c>
      <c r="L18" s="10">
        <f t="shared" si="1"/>
        <v>4.32</v>
      </c>
      <c r="M18" s="12">
        <f t="shared" si="2"/>
        <v>8.879999999999999</v>
      </c>
      <c r="N18" s="11">
        <v>2.14</v>
      </c>
      <c r="O18" s="27"/>
    </row>
    <row r="19" spans="1:15" ht="24.95" customHeight="1" x14ac:dyDescent="0.2">
      <c r="A19" s="7">
        <v>28</v>
      </c>
      <c r="B19" s="19">
        <v>18</v>
      </c>
      <c r="C19" s="8" t="s">
        <v>99</v>
      </c>
      <c r="D19" s="9">
        <v>7</v>
      </c>
      <c r="E19" s="9">
        <v>7.42</v>
      </c>
      <c r="F19" s="9">
        <v>7</v>
      </c>
      <c r="G19" s="10">
        <f t="shared" si="0"/>
        <v>8.82</v>
      </c>
      <c r="H19" s="11">
        <v>1.9</v>
      </c>
      <c r="I19" s="9">
        <v>7</v>
      </c>
      <c r="J19" s="9">
        <v>7.9</v>
      </c>
      <c r="K19" s="9">
        <v>7</v>
      </c>
      <c r="L19" s="10">
        <f t="shared" si="1"/>
        <v>9.3000000000000007</v>
      </c>
      <c r="M19" s="12">
        <f t="shared" si="2"/>
        <v>18.12</v>
      </c>
      <c r="N19" s="11">
        <v>2.96</v>
      </c>
      <c r="O19" s="27"/>
    </row>
    <row r="20" spans="1:15" ht="24.95" customHeight="1" x14ac:dyDescent="0.2">
      <c r="A20" s="7">
        <v>63</v>
      </c>
      <c r="B20" s="19">
        <v>19</v>
      </c>
      <c r="C20" s="8" t="s">
        <v>132</v>
      </c>
      <c r="D20" s="9"/>
      <c r="E20" s="9">
        <v>0</v>
      </c>
      <c r="F20" s="9"/>
      <c r="G20" s="10">
        <f t="shared" si="0"/>
        <v>0</v>
      </c>
      <c r="H20" s="11"/>
      <c r="I20" s="9">
        <v>7</v>
      </c>
      <c r="J20" s="9">
        <v>8.68</v>
      </c>
      <c r="K20" s="9">
        <v>0</v>
      </c>
      <c r="L20" s="10">
        <f t="shared" si="1"/>
        <v>8.68</v>
      </c>
      <c r="M20" s="12">
        <f t="shared" si="2"/>
        <v>8.68</v>
      </c>
      <c r="N20" s="11">
        <v>2.1</v>
      </c>
      <c r="O20" s="27"/>
    </row>
    <row r="21" spans="1:15" ht="24.95" customHeight="1" x14ac:dyDescent="0.2">
      <c r="A21" s="7">
        <v>64</v>
      </c>
      <c r="B21" s="19">
        <v>20</v>
      </c>
      <c r="C21" s="8" t="s">
        <v>133</v>
      </c>
      <c r="D21" s="9">
        <v>0</v>
      </c>
      <c r="E21" s="9">
        <v>0</v>
      </c>
      <c r="F21" s="9">
        <v>0</v>
      </c>
      <c r="G21" s="10">
        <f t="shared" si="0"/>
        <v>0</v>
      </c>
      <c r="H21" s="11"/>
      <c r="I21" s="9">
        <v>7</v>
      </c>
      <c r="J21" s="9">
        <v>6.86</v>
      </c>
      <c r="K21" s="9">
        <v>7</v>
      </c>
      <c r="L21" s="10">
        <f t="shared" si="1"/>
        <v>8.26</v>
      </c>
      <c r="M21" s="12">
        <f t="shared" si="2"/>
        <v>8.26</v>
      </c>
      <c r="N21" s="11">
        <v>1.8</v>
      </c>
      <c r="O21" s="27"/>
    </row>
    <row r="22" spans="1:15" ht="24.95" customHeight="1" x14ac:dyDescent="0.2">
      <c r="A22" s="7">
        <v>60</v>
      </c>
      <c r="B22" s="19">
        <v>21</v>
      </c>
      <c r="C22" s="8" t="s">
        <v>143</v>
      </c>
      <c r="D22" s="9">
        <v>2</v>
      </c>
      <c r="E22" s="9">
        <v>1.6</v>
      </c>
      <c r="F22" s="9">
        <v>2</v>
      </c>
      <c r="G22" s="10">
        <f t="shared" si="0"/>
        <v>2</v>
      </c>
      <c r="H22" s="11"/>
      <c r="I22" s="9">
        <v>7</v>
      </c>
      <c r="J22" s="9">
        <v>5.74</v>
      </c>
      <c r="K22" s="9">
        <v>7</v>
      </c>
      <c r="L22" s="10">
        <f t="shared" si="1"/>
        <v>7.1400000000000006</v>
      </c>
      <c r="M22" s="12">
        <f t="shared" si="2"/>
        <v>9.14</v>
      </c>
      <c r="N22" s="11"/>
      <c r="O22" s="27"/>
    </row>
    <row r="23" spans="1:15" ht="24.95" customHeight="1" x14ac:dyDescent="0.2">
      <c r="A23" s="7">
        <v>32</v>
      </c>
      <c r="B23" s="19">
        <v>22</v>
      </c>
      <c r="C23" s="8" t="s">
        <v>126</v>
      </c>
      <c r="D23" s="9">
        <v>7</v>
      </c>
      <c r="E23" s="9">
        <v>6.06</v>
      </c>
      <c r="F23" s="9">
        <v>7</v>
      </c>
      <c r="G23" s="10">
        <f t="shared" si="0"/>
        <v>7.46</v>
      </c>
      <c r="H23" s="11"/>
      <c r="I23" s="9">
        <v>7</v>
      </c>
      <c r="J23" s="9">
        <v>8.34</v>
      </c>
      <c r="K23" s="9">
        <v>7</v>
      </c>
      <c r="L23" s="10">
        <f t="shared" si="1"/>
        <v>9.74</v>
      </c>
      <c r="M23" s="12">
        <f t="shared" si="2"/>
        <v>17.2</v>
      </c>
      <c r="N23" s="11">
        <v>2.58</v>
      </c>
      <c r="O23" s="27"/>
    </row>
    <row r="24" spans="1:15" ht="24.95" customHeight="1" x14ac:dyDescent="0.2">
      <c r="A24" s="7">
        <v>53</v>
      </c>
      <c r="B24" s="19">
        <v>23</v>
      </c>
      <c r="C24" s="8" t="s">
        <v>144</v>
      </c>
      <c r="D24" s="9">
        <v>0</v>
      </c>
      <c r="E24" s="9">
        <v>0</v>
      </c>
      <c r="F24" s="9">
        <v>0</v>
      </c>
      <c r="G24" s="10">
        <f t="shared" si="0"/>
        <v>0</v>
      </c>
      <c r="H24" s="11"/>
      <c r="I24" s="9">
        <v>7</v>
      </c>
      <c r="J24" s="9">
        <v>8.7200000000000006</v>
      </c>
      <c r="K24" s="9">
        <v>7</v>
      </c>
      <c r="L24" s="10">
        <f t="shared" si="1"/>
        <v>10.120000000000001</v>
      </c>
      <c r="M24" s="12">
        <f t="shared" si="2"/>
        <v>10.120000000000001</v>
      </c>
      <c r="N24" s="11">
        <v>3.14</v>
      </c>
      <c r="O24" s="27"/>
    </row>
    <row r="25" spans="1:15" ht="24.95" customHeight="1" x14ac:dyDescent="0.2">
      <c r="A25" s="7">
        <v>47</v>
      </c>
      <c r="B25" s="19">
        <v>24</v>
      </c>
      <c r="C25" s="8" t="s">
        <v>33</v>
      </c>
      <c r="D25" s="9">
        <v>2</v>
      </c>
      <c r="E25" s="9">
        <v>1.6</v>
      </c>
      <c r="F25" s="9">
        <v>2</v>
      </c>
      <c r="G25" s="10">
        <f t="shared" si="0"/>
        <v>2</v>
      </c>
      <c r="H25" s="11"/>
      <c r="I25" s="9">
        <v>7</v>
      </c>
      <c r="J25" s="9">
        <v>8.8000000000000007</v>
      </c>
      <c r="K25" s="9">
        <v>7</v>
      </c>
      <c r="L25" s="10">
        <f t="shared" si="1"/>
        <v>10.200000000000001</v>
      </c>
      <c r="M25" s="12">
        <f t="shared" si="2"/>
        <v>12.200000000000001</v>
      </c>
      <c r="N25" s="11">
        <v>2.36</v>
      </c>
      <c r="O25" s="27"/>
    </row>
    <row r="26" spans="1:15" ht="24.95" customHeight="1" x14ac:dyDescent="0.2">
      <c r="A26" s="7">
        <v>46</v>
      </c>
      <c r="B26" s="19">
        <v>25</v>
      </c>
      <c r="C26" s="8" t="s">
        <v>44</v>
      </c>
      <c r="D26" s="9">
        <v>6</v>
      </c>
      <c r="E26" s="9">
        <v>4.9400000000000004</v>
      </c>
      <c r="F26" s="9">
        <v>6</v>
      </c>
      <c r="G26" s="10">
        <f t="shared" si="0"/>
        <v>6.1400000000000006</v>
      </c>
      <c r="H26" s="11"/>
      <c r="I26" s="9">
        <v>7</v>
      </c>
      <c r="J26" s="9">
        <v>5.6</v>
      </c>
      <c r="K26" s="9">
        <v>7</v>
      </c>
      <c r="L26" s="10">
        <f t="shared" si="1"/>
        <v>7</v>
      </c>
      <c r="M26" s="12">
        <f t="shared" si="2"/>
        <v>13.14</v>
      </c>
      <c r="N26" s="11"/>
      <c r="O26" s="27"/>
    </row>
    <row r="27" spans="1:15" ht="24.95" customHeight="1" x14ac:dyDescent="0.2">
      <c r="A27" s="7">
        <v>66</v>
      </c>
      <c r="B27" s="19">
        <v>26</v>
      </c>
      <c r="C27" s="8" t="s">
        <v>123</v>
      </c>
      <c r="D27" s="9"/>
      <c r="E27" s="9">
        <v>0</v>
      </c>
      <c r="F27" s="9"/>
      <c r="G27" s="10">
        <f t="shared" si="0"/>
        <v>0</v>
      </c>
      <c r="H27" s="11"/>
      <c r="I27" s="9"/>
      <c r="J27" s="9"/>
      <c r="K27" s="9"/>
      <c r="L27" s="10">
        <f t="shared" si="1"/>
        <v>0</v>
      </c>
      <c r="M27" s="12">
        <f t="shared" si="2"/>
        <v>0</v>
      </c>
      <c r="N27" s="11"/>
      <c r="O27" s="27"/>
    </row>
    <row r="28" spans="1:15" ht="24.95" customHeight="1" x14ac:dyDescent="0.2">
      <c r="A28" s="7">
        <v>6</v>
      </c>
      <c r="B28" s="19">
        <v>27</v>
      </c>
      <c r="C28" s="8" t="s">
        <v>71</v>
      </c>
      <c r="D28" s="9">
        <v>7</v>
      </c>
      <c r="E28" s="9">
        <v>9.4600000000000009</v>
      </c>
      <c r="F28" s="9">
        <v>7</v>
      </c>
      <c r="G28" s="10">
        <f t="shared" si="0"/>
        <v>10.860000000000001</v>
      </c>
      <c r="H28" s="11">
        <v>2.46</v>
      </c>
      <c r="I28" s="9">
        <v>7</v>
      </c>
      <c r="J28" s="9">
        <v>8.48</v>
      </c>
      <c r="K28" s="9">
        <v>7</v>
      </c>
      <c r="L28" s="10">
        <f t="shared" si="1"/>
        <v>9.8800000000000008</v>
      </c>
      <c r="M28" s="12">
        <f t="shared" si="2"/>
        <v>20.740000000000002</v>
      </c>
      <c r="N28" s="11">
        <v>1.9</v>
      </c>
      <c r="O28" s="27"/>
    </row>
    <row r="29" spans="1:15" ht="24.95" customHeight="1" x14ac:dyDescent="0.2">
      <c r="A29" s="7">
        <v>51</v>
      </c>
      <c r="B29" s="19">
        <v>28</v>
      </c>
      <c r="C29" s="8" t="s">
        <v>127</v>
      </c>
      <c r="D29" s="9">
        <v>0</v>
      </c>
      <c r="E29" s="9">
        <v>0</v>
      </c>
      <c r="F29" s="9">
        <v>0</v>
      </c>
      <c r="G29" s="10">
        <f t="shared" si="0"/>
        <v>0</v>
      </c>
      <c r="H29" s="11"/>
      <c r="I29" s="9">
        <v>7</v>
      </c>
      <c r="J29" s="9">
        <v>10.96</v>
      </c>
      <c r="K29" s="9">
        <v>0</v>
      </c>
      <c r="L29" s="10">
        <f t="shared" si="1"/>
        <v>10.96</v>
      </c>
      <c r="M29" s="12">
        <f t="shared" si="2"/>
        <v>10.96</v>
      </c>
      <c r="N29" s="11">
        <v>3.66</v>
      </c>
      <c r="O29" s="27"/>
    </row>
    <row r="30" spans="1:15" ht="24.95" customHeight="1" x14ac:dyDescent="0.2">
      <c r="A30" s="7">
        <v>22</v>
      </c>
      <c r="B30" s="19">
        <v>29</v>
      </c>
      <c r="C30" s="8" t="s">
        <v>43</v>
      </c>
      <c r="D30" s="9">
        <v>7</v>
      </c>
      <c r="E30" s="9">
        <v>7.46</v>
      </c>
      <c r="F30" s="9">
        <v>7</v>
      </c>
      <c r="G30" s="10">
        <f t="shared" si="0"/>
        <v>8.86</v>
      </c>
      <c r="H30" s="11">
        <v>2.46</v>
      </c>
      <c r="I30" s="9">
        <v>7</v>
      </c>
      <c r="J30" s="9">
        <v>8.56</v>
      </c>
      <c r="K30" s="9">
        <v>7</v>
      </c>
      <c r="L30" s="10">
        <f t="shared" si="1"/>
        <v>9.9600000000000009</v>
      </c>
      <c r="M30" s="12">
        <f t="shared" si="2"/>
        <v>18.82</v>
      </c>
      <c r="N30" s="11">
        <v>2.08</v>
      </c>
      <c r="O30" s="27"/>
    </row>
    <row r="31" spans="1:15" ht="24.95" customHeight="1" x14ac:dyDescent="0.2">
      <c r="A31" s="7">
        <v>26</v>
      </c>
      <c r="B31" s="19">
        <v>30</v>
      </c>
      <c r="C31" s="8" t="s">
        <v>61</v>
      </c>
      <c r="D31" s="9">
        <v>7</v>
      </c>
      <c r="E31" s="7">
        <v>7.62</v>
      </c>
      <c r="F31" s="9">
        <v>7</v>
      </c>
      <c r="G31" s="10">
        <f t="shared" si="0"/>
        <v>9.02</v>
      </c>
      <c r="H31" s="11">
        <v>1.96</v>
      </c>
      <c r="I31" s="9">
        <v>7</v>
      </c>
      <c r="J31" s="9">
        <v>7.92</v>
      </c>
      <c r="K31" s="9">
        <v>7</v>
      </c>
      <c r="L31" s="10">
        <f t="shared" si="1"/>
        <v>9.32</v>
      </c>
      <c r="M31" s="12">
        <f t="shared" si="2"/>
        <v>18.34</v>
      </c>
      <c r="N31" s="11">
        <v>1.76</v>
      </c>
      <c r="O31" s="27"/>
    </row>
    <row r="32" spans="1:15" ht="24.95" customHeight="1" x14ac:dyDescent="0.2">
      <c r="A32" s="7">
        <v>19</v>
      </c>
      <c r="B32" s="19">
        <v>31</v>
      </c>
      <c r="C32" s="8" t="s">
        <v>47</v>
      </c>
      <c r="D32" s="9">
        <v>7</v>
      </c>
      <c r="E32" s="9">
        <v>7.86</v>
      </c>
      <c r="F32" s="9">
        <v>7</v>
      </c>
      <c r="G32" s="10">
        <f t="shared" si="0"/>
        <v>9.26</v>
      </c>
      <c r="H32" s="11">
        <v>1.7</v>
      </c>
      <c r="I32" s="9">
        <v>7</v>
      </c>
      <c r="J32" s="9">
        <v>8.48</v>
      </c>
      <c r="K32" s="9">
        <v>7</v>
      </c>
      <c r="L32" s="10">
        <f t="shared" si="1"/>
        <v>9.8800000000000008</v>
      </c>
      <c r="M32" s="12">
        <f t="shared" si="2"/>
        <v>19.14</v>
      </c>
      <c r="N32" s="11">
        <v>2.2599999999999998</v>
      </c>
      <c r="O32" s="27"/>
    </row>
    <row r="33" spans="1:15" ht="24.95" customHeight="1" x14ac:dyDescent="0.2">
      <c r="A33" s="7">
        <v>7</v>
      </c>
      <c r="B33" s="19">
        <v>32</v>
      </c>
      <c r="C33" s="8" t="s">
        <v>70</v>
      </c>
      <c r="D33" s="9">
        <v>7</v>
      </c>
      <c r="E33" s="9">
        <v>8.9600000000000009</v>
      </c>
      <c r="F33" s="9">
        <v>7</v>
      </c>
      <c r="G33" s="10">
        <f t="shared" si="0"/>
        <v>10.360000000000001</v>
      </c>
      <c r="H33" s="11">
        <v>2.34</v>
      </c>
      <c r="I33" s="9">
        <v>7</v>
      </c>
      <c r="J33" s="9">
        <v>8.8000000000000007</v>
      </c>
      <c r="K33" s="9">
        <v>7</v>
      </c>
      <c r="L33" s="10">
        <f t="shared" si="1"/>
        <v>10.200000000000001</v>
      </c>
      <c r="M33" s="12">
        <f t="shared" si="2"/>
        <v>20.560000000000002</v>
      </c>
      <c r="N33" s="11">
        <v>1.1000000000000001</v>
      </c>
      <c r="O33" s="27"/>
    </row>
    <row r="34" spans="1:15" ht="24.95" customHeight="1" x14ac:dyDescent="0.2">
      <c r="A34" s="7">
        <v>31</v>
      </c>
      <c r="B34" s="19">
        <v>33</v>
      </c>
      <c r="C34" s="8" t="s">
        <v>39</v>
      </c>
      <c r="D34" s="9">
        <v>7</v>
      </c>
      <c r="E34" s="9">
        <v>7.94</v>
      </c>
      <c r="F34" s="9">
        <v>6</v>
      </c>
      <c r="G34" s="10">
        <f t="shared" ref="G34:G65" si="3">E34+F34*0.2</f>
        <v>9.14</v>
      </c>
      <c r="H34" s="11">
        <v>1.86</v>
      </c>
      <c r="I34" s="9">
        <v>7</v>
      </c>
      <c r="J34" s="9">
        <v>6.72</v>
      </c>
      <c r="K34" s="9">
        <v>7</v>
      </c>
      <c r="L34" s="10">
        <f t="shared" ref="L34:L65" si="4">J34+K34*0.2</f>
        <v>8.1199999999999992</v>
      </c>
      <c r="M34" s="12">
        <f t="shared" ref="M34:M65" si="5">L34+G34</f>
        <v>17.259999999999998</v>
      </c>
      <c r="N34" s="11">
        <v>1.86</v>
      </c>
      <c r="O34" s="27"/>
    </row>
    <row r="35" spans="1:15" ht="24.95" customHeight="1" x14ac:dyDescent="0.2">
      <c r="A35" s="7">
        <v>2</v>
      </c>
      <c r="B35" s="19">
        <v>34</v>
      </c>
      <c r="C35" s="8" t="s">
        <v>37</v>
      </c>
      <c r="D35" s="9">
        <v>7</v>
      </c>
      <c r="E35" s="9">
        <v>10.8</v>
      </c>
      <c r="F35" s="9">
        <v>7</v>
      </c>
      <c r="G35" s="10">
        <f t="shared" si="3"/>
        <v>12.200000000000001</v>
      </c>
      <c r="H35" s="11">
        <v>3.34</v>
      </c>
      <c r="I35" s="9">
        <v>7</v>
      </c>
      <c r="J35" s="9">
        <v>8.9</v>
      </c>
      <c r="K35" s="9">
        <v>7</v>
      </c>
      <c r="L35" s="10">
        <f t="shared" si="4"/>
        <v>10.3</v>
      </c>
      <c r="M35" s="12">
        <f t="shared" si="5"/>
        <v>22.5</v>
      </c>
      <c r="N35" s="11">
        <v>2.66</v>
      </c>
      <c r="O35" s="27"/>
    </row>
    <row r="36" spans="1:15" ht="24.95" customHeight="1" x14ac:dyDescent="0.2">
      <c r="A36" s="7">
        <v>50</v>
      </c>
      <c r="B36" s="19">
        <v>35</v>
      </c>
      <c r="C36" s="8" t="s">
        <v>134</v>
      </c>
      <c r="D36" s="9">
        <v>2</v>
      </c>
      <c r="E36" s="9">
        <v>3.14</v>
      </c>
      <c r="F36" s="9">
        <v>2</v>
      </c>
      <c r="G36" s="10">
        <f t="shared" si="3"/>
        <v>3.54</v>
      </c>
      <c r="H36" s="11">
        <v>2.44</v>
      </c>
      <c r="I36" s="9">
        <v>5</v>
      </c>
      <c r="J36" s="9">
        <v>6.58</v>
      </c>
      <c r="K36" s="9">
        <v>5</v>
      </c>
      <c r="L36" s="10">
        <f t="shared" si="4"/>
        <v>7.58</v>
      </c>
      <c r="M36" s="12">
        <f t="shared" si="5"/>
        <v>11.120000000000001</v>
      </c>
      <c r="N36" s="11">
        <v>2.04</v>
      </c>
      <c r="O36" s="27"/>
    </row>
    <row r="37" spans="1:15" ht="24.95" customHeight="1" x14ac:dyDescent="0.2">
      <c r="A37" s="7">
        <v>37</v>
      </c>
      <c r="B37" s="19">
        <v>36</v>
      </c>
      <c r="C37" s="8" t="s">
        <v>124</v>
      </c>
      <c r="D37" s="9">
        <v>5</v>
      </c>
      <c r="E37" s="9">
        <v>6.94</v>
      </c>
      <c r="F37" s="9">
        <v>5</v>
      </c>
      <c r="G37" s="10">
        <f t="shared" si="3"/>
        <v>7.94</v>
      </c>
      <c r="H37" s="11">
        <v>2.2599999999999998</v>
      </c>
      <c r="I37" s="9">
        <v>7</v>
      </c>
      <c r="J37" s="9">
        <v>6.08</v>
      </c>
      <c r="K37" s="9">
        <v>7</v>
      </c>
      <c r="L37" s="10">
        <f t="shared" si="4"/>
        <v>7.48</v>
      </c>
      <c r="M37" s="12">
        <f t="shared" si="5"/>
        <v>15.420000000000002</v>
      </c>
      <c r="N37" s="11"/>
      <c r="O37" s="27"/>
    </row>
    <row r="38" spans="1:15" ht="24.95" customHeight="1" x14ac:dyDescent="0.2">
      <c r="A38" s="7">
        <v>45</v>
      </c>
      <c r="B38" s="19">
        <v>37</v>
      </c>
      <c r="C38" s="8" t="s">
        <v>135</v>
      </c>
      <c r="D38" s="9"/>
      <c r="E38" s="9">
        <v>0</v>
      </c>
      <c r="F38" s="9"/>
      <c r="G38" s="10">
        <f t="shared" si="3"/>
        <v>0</v>
      </c>
      <c r="H38" s="11"/>
      <c r="I38" s="9">
        <v>7</v>
      </c>
      <c r="J38" s="9">
        <v>11.8</v>
      </c>
      <c r="K38" s="9">
        <v>7</v>
      </c>
      <c r="L38" s="10">
        <f t="shared" si="4"/>
        <v>13.200000000000001</v>
      </c>
      <c r="M38" s="12">
        <f t="shared" si="5"/>
        <v>13.200000000000001</v>
      </c>
      <c r="N38" s="11">
        <v>4.7</v>
      </c>
      <c r="O38" s="27"/>
    </row>
    <row r="39" spans="1:15" ht="24.95" customHeight="1" x14ac:dyDescent="0.2">
      <c r="A39" s="7">
        <v>38</v>
      </c>
      <c r="B39" s="19">
        <v>38</v>
      </c>
      <c r="C39" s="8" t="s">
        <v>40</v>
      </c>
      <c r="D39" s="9">
        <v>7</v>
      </c>
      <c r="E39" s="9">
        <v>8.7200000000000006</v>
      </c>
      <c r="F39" s="9">
        <v>7</v>
      </c>
      <c r="G39" s="10">
        <f t="shared" si="3"/>
        <v>10.120000000000001</v>
      </c>
      <c r="H39" s="11">
        <v>2.64</v>
      </c>
      <c r="I39" s="9">
        <v>3</v>
      </c>
      <c r="J39" s="9">
        <v>4.6399999999999997</v>
      </c>
      <c r="K39" s="9">
        <v>3</v>
      </c>
      <c r="L39" s="10">
        <f t="shared" si="4"/>
        <v>5.24</v>
      </c>
      <c r="M39" s="12">
        <f t="shared" si="5"/>
        <v>15.360000000000001</v>
      </c>
      <c r="N39" s="11">
        <v>1.96</v>
      </c>
      <c r="O39" s="27"/>
    </row>
    <row r="40" spans="1:15" ht="24.95" customHeight="1" x14ac:dyDescent="0.2">
      <c r="A40" s="7">
        <v>21</v>
      </c>
      <c r="B40" s="19">
        <v>39</v>
      </c>
      <c r="C40" s="8" t="s">
        <v>146</v>
      </c>
      <c r="D40" s="9">
        <v>7</v>
      </c>
      <c r="E40" s="9">
        <v>8</v>
      </c>
      <c r="F40" s="9">
        <v>7</v>
      </c>
      <c r="G40" s="10">
        <f t="shared" si="3"/>
        <v>9.4</v>
      </c>
      <c r="H40" s="11">
        <v>1.86</v>
      </c>
      <c r="I40" s="9">
        <v>7</v>
      </c>
      <c r="J40" s="9">
        <v>8.1999999999999993</v>
      </c>
      <c r="K40" s="9">
        <v>7</v>
      </c>
      <c r="L40" s="10">
        <f t="shared" si="4"/>
        <v>9.6</v>
      </c>
      <c r="M40" s="12">
        <f t="shared" si="5"/>
        <v>19</v>
      </c>
      <c r="N40" s="11">
        <v>1.82</v>
      </c>
      <c r="O40" s="27"/>
    </row>
    <row r="41" spans="1:15" ht="24.95" customHeight="1" x14ac:dyDescent="0.2">
      <c r="A41" s="7">
        <v>35</v>
      </c>
      <c r="B41" s="19">
        <v>40</v>
      </c>
      <c r="C41" s="8" t="s">
        <v>98</v>
      </c>
      <c r="D41" s="9">
        <v>7</v>
      </c>
      <c r="E41" s="9">
        <v>6.86</v>
      </c>
      <c r="F41" s="9">
        <v>7</v>
      </c>
      <c r="G41" s="10">
        <f t="shared" si="3"/>
        <v>8.26</v>
      </c>
      <c r="H41" s="11">
        <v>1.66</v>
      </c>
      <c r="I41" s="9">
        <v>5</v>
      </c>
      <c r="J41" s="9">
        <v>6.66</v>
      </c>
      <c r="K41" s="9">
        <v>5</v>
      </c>
      <c r="L41" s="10">
        <f t="shared" si="4"/>
        <v>7.66</v>
      </c>
      <c r="M41" s="12">
        <f t="shared" si="5"/>
        <v>15.92</v>
      </c>
      <c r="N41" s="11">
        <v>2.2000000000000002</v>
      </c>
      <c r="O41" s="27"/>
    </row>
    <row r="42" spans="1:15" ht="24.95" customHeight="1" x14ac:dyDescent="0.2">
      <c r="A42" s="7">
        <v>4</v>
      </c>
      <c r="B42" s="19">
        <v>41</v>
      </c>
      <c r="C42" s="8" t="s">
        <v>66</v>
      </c>
      <c r="D42" s="9">
        <v>7</v>
      </c>
      <c r="E42" s="9">
        <v>9.02</v>
      </c>
      <c r="F42" s="9">
        <v>7</v>
      </c>
      <c r="G42" s="10">
        <f t="shared" si="3"/>
        <v>10.42</v>
      </c>
      <c r="H42" s="11">
        <v>2.4</v>
      </c>
      <c r="I42" s="9">
        <v>7</v>
      </c>
      <c r="J42" s="9">
        <v>9.16</v>
      </c>
      <c r="K42" s="9">
        <v>7</v>
      </c>
      <c r="L42" s="10">
        <f t="shared" si="4"/>
        <v>10.56</v>
      </c>
      <c r="M42" s="12">
        <f t="shared" si="5"/>
        <v>20.98</v>
      </c>
      <c r="N42" s="11">
        <v>2.66</v>
      </c>
      <c r="O42" s="27"/>
    </row>
    <row r="43" spans="1:15" ht="24.95" customHeight="1" x14ac:dyDescent="0.2">
      <c r="A43" s="7">
        <v>57</v>
      </c>
      <c r="B43" s="19">
        <v>42</v>
      </c>
      <c r="C43" s="8" t="s">
        <v>50</v>
      </c>
      <c r="D43" s="9">
        <v>2</v>
      </c>
      <c r="E43" s="9">
        <v>3.94</v>
      </c>
      <c r="F43" s="9">
        <v>2</v>
      </c>
      <c r="G43" s="10">
        <f t="shared" si="3"/>
        <v>4.34</v>
      </c>
      <c r="H43" s="11">
        <v>2.04</v>
      </c>
      <c r="I43" s="9">
        <v>2</v>
      </c>
      <c r="J43" s="9">
        <v>4.82</v>
      </c>
      <c r="K43" s="9">
        <v>2</v>
      </c>
      <c r="L43" s="10">
        <f t="shared" si="4"/>
        <v>5.2200000000000006</v>
      </c>
      <c r="M43" s="12">
        <f t="shared" si="5"/>
        <v>9.56</v>
      </c>
      <c r="N43" s="11">
        <v>2.6</v>
      </c>
      <c r="O43" s="27"/>
    </row>
    <row r="44" spans="1:15" ht="24.95" customHeight="1" x14ac:dyDescent="0.2">
      <c r="A44" s="7">
        <v>62</v>
      </c>
      <c r="B44" s="19">
        <v>43</v>
      </c>
      <c r="C44" s="8" t="s">
        <v>145</v>
      </c>
      <c r="D44" s="9">
        <v>0</v>
      </c>
      <c r="E44" s="9">
        <v>0</v>
      </c>
      <c r="F44" s="9">
        <v>0</v>
      </c>
      <c r="G44" s="10">
        <f t="shared" si="3"/>
        <v>0</v>
      </c>
      <c r="H44" s="11"/>
      <c r="I44" s="9">
        <v>7</v>
      </c>
      <c r="J44" s="9">
        <v>7.42</v>
      </c>
      <c r="K44" s="9">
        <v>7</v>
      </c>
      <c r="L44" s="10">
        <f t="shared" si="4"/>
        <v>8.82</v>
      </c>
      <c r="M44" s="12">
        <f t="shared" si="5"/>
        <v>8.82</v>
      </c>
      <c r="N44" s="11">
        <v>1.98</v>
      </c>
      <c r="O44" s="27"/>
    </row>
    <row r="45" spans="1:15" ht="24.95" customHeight="1" x14ac:dyDescent="0.2">
      <c r="A45" s="7">
        <v>39</v>
      </c>
      <c r="B45" s="19">
        <v>44</v>
      </c>
      <c r="C45" s="8" t="s">
        <v>125</v>
      </c>
      <c r="D45" s="9">
        <v>5</v>
      </c>
      <c r="E45" s="9">
        <v>4.2</v>
      </c>
      <c r="F45" s="9">
        <v>5</v>
      </c>
      <c r="G45" s="10">
        <f t="shared" si="3"/>
        <v>5.2</v>
      </c>
      <c r="H45" s="11"/>
      <c r="I45" s="9">
        <v>7</v>
      </c>
      <c r="J45" s="9">
        <v>8.18</v>
      </c>
      <c r="K45" s="9">
        <v>7</v>
      </c>
      <c r="L45" s="10">
        <f t="shared" si="4"/>
        <v>9.58</v>
      </c>
      <c r="M45" s="12">
        <f t="shared" si="5"/>
        <v>14.780000000000001</v>
      </c>
      <c r="N45" s="11">
        <v>2.36</v>
      </c>
      <c r="O45" s="27"/>
    </row>
    <row r="46" spans="1:15" ht="24.95" customHeight="1" x14ac:dyDescent="0.2">
      <c r="A46" s="7">
        <v>17</v>
      </c>
      <c r="B46" s="19">
        <v>45</v>
      </c>
      <c r="C46" s="8" t="s">
        <v>67</v>
      </c>
      <c r="D46" s="9">
        <v>7</v>
      </c>
      <c r="E46" s="9">
        <v>7.6</v>
      </c>
      <c r="F46" s="9">
        <v>7</v>
      </c>
      <c r="G46" s="10">
        <f t="shared" si="3"/>
        <v>9</v>
      </c>
      <c r="H46" s="11">
        <v>1.92</v>
      </c>
      <c r="I46" s="9">
        <v>7</v>
      </c>
      <c r="J46" s="9">
        <v>8.82</v>
      </c>
      <c r="K46" s="9">
        <v>7</v>
      </c>
      <c r="L46" s="10">
        <f t="shared" si="4"/>
        <v>10.220000000000001</v>
      </c>
      <c r="M46" s="12">
        <f t="shared" si="5"/>
        <v>19.22</v>
      </c>
      <c r="N46" s="11">
        <v>3.48</v>
      </c>
      <c r="O46" s="27"/>
    </row>
    <row r="47" spans="1:15" ht="24.95" customHeight="1" x14ac:dyDescent="0.2">
      <c r="A47" s="7">
        <v>49</v>
      </c>
      <c r="B47" s="19">
        <v>46</v>
      </c>
      <c r="C47" s="8" t="s">
        <v>119</v>
      </c>
      <c r="D47" s="9"/>
      <c r="E47" s="9">
        <v>0</v>
      </c>
      <c r="F47" s="9"/>
      <c r="G47" s="10">
        <f t="shared" si="3"/>
        <v>0</v>
      </c>
      <c r="H47" s="11"/>
      <c r="I47" s="9">
        <v>7</v>
      </c>
      <c r="J47" s="9">
        <v>10.08</v>
      </c>
      <c r="K47" s="9">
        <v>7</v>
      </c>
      <c r="L47" s="10">
        <f t="shared" si="4"/>
        <v>11.48</v>
      </c>
      <c r="M47" s="12">
        <f t="shared" si="5"/>
        <v>11.48</v>
      </c>
      <c r="N47" s="11">
        <v>3.04</v>
      </c>
      <c r="O47" s="27"/>
    </row>
    <row r="48" spans="1:15" ht="24.95" customHeight="1" x14ac:dyDescent="0.2">
      <c r="A48" s="7">
        <v>27</v>
      </c>
      <c r="B48" s="19">
        <v>47</v>
      </c>
      <c r="C48" s="8" t="s">
        <v>32</v>
      </c>
      <c r="D48" s="9">
        <v>6</v>
      </c>
      <c r="E48" s="9">
        <v>7.1</v>
      </c>
      <c r="F48" s="9">
        <v>6</v>
      </c>
      <c r="G48" s="10">
        <f t="shared" si="3"/>
        <v>8.3000000000000007</v>
      </c>
      <c r="H48" s="11">
        <v>1.92</v>
      </c>
      <c r="I48" s="9">
        <v>7</v>
      </c>
      <c r="J48" s="9">
        <v>8.6199999999999992</v>
      </c>
      <c r="K48" s="9">
        <v>7</v>
      </c>
      <c r="L48" s="10">
        <f t="shared" si="4"/>
        <v>10.02</v>
      </c>
      <c r="M48" s="12">
        <f t="shared" si="5"/>
        <v>18.32</v>
      </c>
      <c r="N48" s="11">
        <v>2.14</v>
      </c>
      <c r="O48" s="27"/>
    </row>
    <row r="49" spans="1:15" ht="24.95" customHeight="1" x14ac:dyDescent="0.2">
      <c r="A49" s="7">
        <v>59</v>
      </c>
      <c r="B49" s="19">
        <v>48</v>
      </c>
      <c r="C49" s="8" t="s">
        <v>136</v>
      </c>
      <c r="D49" s="9">
        <v>1</v>
      </c>
      <c r="E49" s="9">
        <v>0.88</v>
      </c>
      <c r="F49" s="9">
        <v>1</v>
      </c>
      <c r="G49" s="10">
        <f t="shared" si="3"/>
        <v>1.08</v>
      </c>
      <c r="H49" s="11"/>
      <c r="I49" s="9">
        <v>7</v>
      </c>
      <c r="J49" s="9">
        <v>6.8</v>
      </c>
      <c r="K49" s="9">
        <v>7</v>
      </c>
      <c r="L49" s="10">
        <f t="shared" si="4"/>
        <v>8.1999999999999993</v>
      </c>
      <c r="M49" s="12">
        <f t="shared" si="5"/>
        <v>9.2799999999999994</v>
      </c>
      <c r="N49" s="11"/>
      <c r="O49" s="27"/>
    </row>
    <row r="50" spans="1:15" ht="24.95" customHeight="1" x14ac:dyDescent="0.2">
      <c r="A50" s="7">
        <v>55</v>
      </c>
      <c r="B50" s="19">
        <v>49</v>
      </c>
      <c r="C50" s="8" t="s">
        <v>108</v>
      </c>
      <c r="D50" s="9"/>
      <c r="E50" s="9">
        <v>0</v>
      </c>
      <c r="F50" s="9"/>
      <c r="G50" s="10">
        <f t="shared" si="3"/>
        <v>0</v>
      </c>
      <c r="H50" s="11"/>
      <c r="I50" s="9">
        <v>7</v>
      </c>
      <c r="J50" s="9">
        <v>9.84</v>
      </c>
      <c r="K50" s="9">
        <v>0</v>
      </c>
      <c r="L50" s="10">
        <f t="shared" si="4"/>
        <v>9.84</v>
      </c>
      <c r="M50" s="12">
        <f t="shared" si="5"/>
        <v>9.84</v>
      </c>
      <c r="N50" s="11">
        <v>3.34</v>
      </c>
      <c r="O50" s="27"/>
    </row>
    <row r="51" spans="1:15" ht="24.95" customHeight="1" x14ac:dyDescent="0.2">
      <c r="A51" s="7">
        <v>42</v>
      </c>
      <c r="B51" s="19">
        <v>50</v>
      </c>
      <c r="C51" s="8" t="s">
        <v>137</v>
      </c>
      <c r="D51" s="9">
        <v>7</v>
      </c>
      <c r="E51" s="9">
        <v>9.64</v>
      </c>
      <c r="F51" s="9">
        <v>7</v>
      </c>
      <c r="G51" s="10">
        <f t="shared" si="3"/>
        <v>11.040000000000001</v>
      </c>
      <c r="H51" s="11">
        <v>3.06</v>
      </c>
      <c r="I51" s="9">
        <v>3</v>
      </c>
      <c r="J51" s="9">
        <v>2.62</v>
      </c>
      <c r="K51" s="9">
        <v>3</v>
      </c>
      <c r="L51" s="10">
        <f t="shared" si="4"/>
        <v>3.22</v>
      </c>
      <c r="M51" s="12">
        <f t="shared" si="5"/>
        <v>14.260000000000002</v>
      </c>
      <c r="N51" s="11"/>
      <c r="O51" s="27"/>
    </row>
    <row r="52" spans="1:15" ht="24.95" customHeight="1" x14ac:dyDescent="0.2">
      <c r="A52" s="7">
        <v>12</v>
      </c>
      <c r="B52" s="19">
        <v>51</v>
      </c>
      <c r="C52" s="8" t="s">
        <v>138</v>
      </c>
      <c r="D52" s="9">
        <v>7</v>
      </c>
      <c r="E52" s="9">
        <v>8.58</v>
      </c>
      <c r="F52" s="9">
        <v>7</v>
      </c>
      <c r="G52" s="10">
        <f t="shared" si="3"/>
        <v>9.98</v>
      </c>
      <c r="H52" s="11">
        <v>2.2000000000000002</v>
      </c>
      <c r="I52" s="9">
        <v>7</v>
      </c>
      <c r="J52" s="9">
        <v>8.48</v>
      </c>
      <c r="K52" s="9">
        <v>7</v>
      </c>
      <c r="L52" s="10">
        <f t="shared" si="4"/>
        <v>9.8800000000000008</v>
      </c>
      <c r="M52" s="12">
        <f t="shared" si="5"/>
        <v>19.86</v>
      </c>
      <c r="N52" s="11">
        <v>1.94</v>
      </c>
      <c r="O52" s="27"/>
    </row>
    <row r="53" spans="1:15" ht="24.95" customHeight="1" x14ac:dyDescent="0.2">
      <c r="A53" s="7">
        <v>36</v>
      </c>
      <c r="B53" s="19">
        <v>52</v>
      </c>
      <c r="C53" s="8" t="s">
        <v>34</v>
      </c>
      <c r="D53" s="9">
        <v>4</v>
      </c>
      <c r="E53" s="9">
        <v>5.62</v>
      </c>
      <c r="F53" s="9">
        <v>4</v>
      </c>
      <c r="G53" s="10">
        <f t="shared" si="3"/>
        <v>6.42</v>
      </c>
      <c r="H53" s="11">
        <v>2.02</v>
      </c>
      <c r="I53" s="9">
        <v>7</v>
      </c>
      <c r="J53" s="9">
        <v>7.94</v>
      </c>
      <c r="K53" s="9">
        <v>7</v>
      </c>
      <c r="L53" s="10">
        <f t="shared" si="4"/>
        <v>9.34</v>
      </c>
      <c r="M53" s="12">
        <f t="shared" si="5"/>
        <v>15.76</v>
      </c>
      <c r="N53" s="11">
        <v>1.98</v>
      </c>
      <c r="O53" s="27"/>
    </row>
    <row r="54" spans="1:15" ht="24.95" customHeight="1" x14ac:dyDescent="0.2">
      <c r="A54" s="7">
        <v>30</v>
      </c>
      <c r="B54" s="19">
        <v>53</v>
      </c>
      <c r="C54" s="8" t="s">
        <v>35</v>
      </c>
      <c r="D54" s="9">
        <v>7</v>
      </c>
      <c r="E54" s="9">
        <v>7.38</v>
      </c>
      <c r="F54" s="9">
        <v>7</v>
      </c>
      <c r="G54" s="10">
        <f t="shared" si="3"/>
        <v>8.7799999999999994</v>
      </c>
      <c r="H54" s="11">
        <v>1.86</v>
      </c>
      <c r="I54" s="9">
        <v>7</v>
      </c>
      <c r="J54" s="9">
        <v>7.9</v>
      </c>
      <c r="K54" s="9">
        <v>7</v>
      </c>
      <c r="L54" s="10">
        <f t="shared" si="4"/>
        <v>9.3000000000000007</v>
      </c>
      <c r="M54" s="12">
        <f t="shared" si="5"/>
        <v>18.079999999999998</v>
      </c>
      <c r="N54" s="11">
        <v>2.16</v>
      </c>
      <c r="O54" s="27"/>
    </row>
    <row r="55" spans="1:15" ht="24.95" customHeight="1" x14ac:dyDescent="0.2">
      <c r="A55" s="7">
        <v>34</v>
      </c>
      <c r="B55" s="19">
        <v>54</v>
      </c>
      <c r="C55" s="8" t="s">
        <v>48</v>
      </c>
      <c r="D55" s="9">
        <v>6</v>
      </c>
      <c r="E55" s="9">
        <v>6.16</v>
      </c>
      <c r="F55" s="9">
        <v>6</v>
      </c>
      <c r="G55" s="10">
        <f t="shared" si="3"/>
        <v>7.36</v>
      </c>
      <c r="H55" s="11">
        <v>1.62</v>
      </c>
      <c r="I55" s="9">
        <v>7</v>
      </c>
      <c r="J55" s="9">
        <v>8.92</v>
      </c>
      <c r="K55" s="9">
        <v>0</v>
      </c>
      <c r="L55" s="10">
        <f t="shared" si="4"/>
        <v>8.92</v>
      </c>
      <c r="M55" s="12">
        <f t="shared" si="5"/>
        <v>16.28</v>
      </c>
      <c r="N55" s="11">
        <v>2.2999999999999998</v>
      </c>
      <c r="O55" s="27"/>
    </row>
    <row r="56" spans="1:15" ht="24.95" customHeight="1" x14ac:dyDescent="0.2">
      <c r="A56" s="7">
        <v>9</v>
      </c>
      <c r="B56" s="19">
        <v>55</v>
      </c>
      <c r="C56" s="8" t="s">
        <v>65</v>
      </c>
      <c r="D56" s="9">
        <v>6</v>
      </c>
      <c r="E56" s="9">
        <v>9.36</v>
      </c>
      <c r="F56" s="9">
        <v>6</v>
      </c>
      <c r="G56" s="10">
        <f t="shared" si="3"/>
        <v>10.559999999999999</v>
      </c>
      <c r="H56" s="11">
        <v>2.92</v>
      </c>
      <c r="I56" s="9">
        <v>7</v>
      </c>
      <c r="J56" s="9">
        <v>8.34</v>
      </c>
      <c r="K56" s="9">
        <v>7</v>
      </c>
      <c r="L56" s="10">
        <f t="shared" si="4"/>
        <v>9.74</v>
      </c>
      <c r="M56" s="12">
        <f t="shared" si="5"/>
        <v>20.299999999999997</v>
      </c>
      <c r="N56" s="11">
        <v>2.2000000000000002</v>
      </c>
      <c r="O56" s="27"/>
    </row>
    <row r="57" spans="1:15" ht="24.95" customHeight="1" x14ac:dyDescent="0.2">
      <c r="A57" s="7">
        <v>44</v>
      </c>
      <c r="B57" s="19">
        <v>56</v>
      </c>
      <c r="C57" s="8" t="s">
        <v>139</v>
      </c>
      <c r="D57" s="9">
        <v>4</v>
      </c>
      <c r="E57" s="9">
        <v>3.48</v>
      </c>
      <c r="F57" s="9">
        <v>4</v>
      </c>
      <c r="G57" s="10">
        <f t="shared" si="3"/>
        <v>4.28</v>
      </c>
      <c r="H57" s="11"/>
      <c r="I57" s="9">
        <v>7</v>
      </c>
      <c r="J57" s="9">
        <v>8.36</v>
      </c>
      <c r="K57" s="9">
        <v>7</v>
      </c>
      <c r="L57" s="10">
        <f t="shared" si="4"/>
        <v>9.76</v>
      </c>
      <c r="M57" s="12">
        <f t="shared" si="5"/>
        <v>14.04</v>
      </c>
      <c r="N57" s="11">
        <v>2</v>
      </c>
      <c r="O57" s="27"/>
    </row>
    <row r="58" spans="1:15" ht="24.95" customHeight="1" x14ac:dyDescent="0.2">
      <c r="A58" s="7">
        <v>48</v>
      </c>
      <c r="B58" s="19">
        <v>57</v>
      </c>
      <c r="C58" s="8" t="s">
        <v>128</v>
      </c>
      <c r="D58" s="9">
        <v>6</v>
      </c>
      <c r="E58" s="9">
        <v>5.14</v>
      </c>
      <c r="F58" s="9">
        <v>6</v>
      </c>
      <c r="G58" s="10">
        <f t="shared" si="3"/>
        <v>6.34</v>
      </c>
      <c r="H58" s="11"/>
      <c r="I58" s="9">
        <v>5</v>
      </c>
      <c r="J58" s="9">
        <v>4.84</v>
      </c>
      <c r="K58" s="9">
        <v>5</v>
      </c>
      <c r="L58" s="10">
        <f t="shared" si="4"/>
        <v>5.84</v>
      </c>
      <c r="M58" s="12">
        <f t="shared" si="5"/>
        <v>12.18</v>
      </c>
      <c r="N58" s="11">
        <v>1.68</v>
      </c>
      <c r="O58" s="27"/>
    </row>
    <row r="59" spans="1:15" ht="24.95" customHeight="1" x14ac:dyDescent="0.2">
      <c r="A59" s="7">
        <v>11</v>
      </c>
      <c r="B59" s="19">
        <v>58</v>
      </c>
      <c r="C59" s="8" t="s">
        <v>140</v>
      </c>
      <c r="D59" s="9">
        <v>7</v>
      </c>
      <c r="E59" s="9">
        <v>8.2200000000000006</v>
      </c>
      <c r="F59" s="9">
        <v>7</v>
      </c>
      <c r="G59" s="10">
        <f t="shared" si="3"/>
        <v>9.620000000000001</v>
      </c>
      <c r="H59" s="11">
        <v>2</v>
      </c>
      <c r="I59" s="9">
        <v>7</v>
      </c>
      <c r="J59" s="9">
        <v>8.92</v>
      </c>
      <c r="K59" s="9">
        <v>7</v>
      </c>
      <c r="L59" s="10">
        <f t="shared" si="4"/>
        <v>10.32</v>
      </c>
      <c r="M59" s="12">
        <f t="shared" si="5"/>
        <v>19.940000000000001</v>
      </c>
      <c r="N59" s="11">
        <v>2.38</v>
      </c>
      <c r="O59" s="27"/>
    </row>
    <row r="60" spans="1:15" ht="24.95" customHeight="1" x14ac:dyDescent="0.2">
      <c r="A60" s="7">
        <v>24</v>
      </c>
      <c r="B60" s="19">
        <v>59</v>
      </c>
      <c r="C60" s="8" t="s">
        <v>56</v>
      </c>
      <c r="D60" s="9">
        <v>7</v>
      </c>
      <c r="E60" s="9">
        <v>8.06</v>
      </c>
      <c r="F60" s="9">
        <v>7</v>
      </c>
      <c r="G60" s="10">
        <f t="shared" si="3"/>
        <v>9.4600000000000009</v>
      </c>
      <c r="H60" s="11">
        <v>2</v>
      </c>
      <c r="I60" s="9">
        <v>7</v>
      </c>
      <c r="J60" s="9">
        <v>7.8</v>
      </c>
      <c r="K60" s="9">
        <v>7</v>
      </c>
      <c r="L60" s="10">
        <f t="shared" si="4"/>
        <v>9.1999999999999993</v>
      </c>
      <c r="M60" s="12">
        <f t="shared" si="5"/>
        <v>18.66</v>
      </c>
      <c r="N60" s="11">
        <v>2</v>
      </c>
      <c r="O60" s="27"/>
    </row>
    <row r="61" spans="1:15" ht="24.95" customHeight="1" x14ac:dyDescent="0.2">
      <c r="A61" s="7">
        <v>58</v>
      </c>
      <c r="B61" s="19">
        <v>60</v>
      </c>
      <c r="C61" s="8" t="s">
        <v>141</v>
      </c>
      <c r="D61" s="9">
        <v>7</v>
      </c>
      <c r="E61" s="9">
        <v>7.96</v>
      </c>
      <c r="F61" s="9">
        <v>7</v>
      </c>
      <c r="G61" s="10">
        <f t="shared" si="3"/>
        <v>9.36</v>
      </c>
      <c r="H61" s="11">
        <v>2</v>
      </c>
      <c r="I61" s="9"/>
      <c r="J61" s="9">
        <v>0</v>
      </c>
      <c r="K61" s="9"/>
      <c r="L61" s="10">
        <f t="shared" si="4"/>
        <v>0</v>
      </c>
      <c r="M61" s="12">
        <f t="shared" si="5"/>
        <v>9.36</v>
      </c>
      <c r="N61" s="11"/>
      <c r="O61" s="27"/>
    </row>
    <row r="62" spans="1:15" ht="24.95" customHeight="1" x14ac:dyDescent="0.2">
      <c r="A62" s="7">
        <v>52</v>
      </c>
      <c r="B62" s="19">
        <v>61</v>
      </c>
      <c r="C62" s="8" t="s">
        <v>101</v>
      </c>
      <c r="D62" s="9">
        <v>2</v>
      </c>
      <c r="E62" s="9">
        <v>2.44</v>
      </c>
      <c r="F62" s="9">
        <v>2</v>
      </c>
      <c r="G62" s="10">
        <f t="shared" si="3"/>
        <v>2.84</v>
      </c>
      <c r="H62" s="11">
        <v>1.56</v>
      </c>
      <c r="I62" s="9">
        <v>6</v>
      </c>
      <c r="J62" s="9">
        <v>6.6</v>
      </c>
      <c r="K62" s="9">
        <v>6</v>
      </c>
      <c r="L62" s="10">
        <f t="shared" si="4"/>
        <v>7.8</v>
      </c>
      <c r="M62" s="12">
        <f t="shared" si="5"/>
        <v>10.64</v>
      </c>
      <c r="N62" s="11">
        <v>1.66</v>
      </c>
      <c r="O62" s="27"/>
    </row>
    <row r="63" spans="1:15" ht="24.95" customHeight="1" x14ac:dyDescent="0.2">
      <c r="A63" s="7">
        <v>25</v>
      </c>
      <c r="B63" s="19">
        <v>62</v>
      </c>
      <c r="C63" s="8" t="s">
        <v>129</v>
      </c>
      <c r="D63" s="9">
        <v>6</v>
      </c>
      <c r="E63" s="9">
        <v>6.8</v>
      </c>
      <c r="F63" s="9">
        <v>6</v>
      </c>
      <c r="G63" s="10">
        <f t="shared" si="3"/>
        <v>8</v>
      </c>
      <c r="H63" s="11">
        <v>1.74</v>
      </c>
      <c r="I63" s="9">
        <v>7</v>
      </c>
      <c r="J63" s="9">
        <v>9.1</v>
      </c>
      <c r="K63" s="9">
        <v>7</v>
      </c>
      <c r="L63" s="10">
        <f t="shared" si="4"/>
        <v>10.5</v>
      </c>
      <c r="M63" s="12">
        <f t="shared" si="5"/>
        <v>18.5</v>
      </c>
      <c r="N63" s="11">
        <v>2.8</v>
      </c>
      <c r="O63" s="27"/>
    </row>
    <row r="64" spans="1:15" ht="24.95" customHeight="1" x14ac:dyDescent="0.2">
      <c r="A64" s="7">
        <v>13</v>
      </c>
      <c r="B64" s="19">
        <v>63</v>
      </c>
      <c r="C64" s="8" t="s">
        <v>104</v>
      </c>
      <c r="D64" s="9">
        <v>7</v>
      </c>
      <c r="E64" s="9">
        <v>8.66</v>
      </c>
      <c r="F64" s="9">
        <v>7</v>
      </c>
      <c r="G64" s="10">
        <f t="shared" si="3"/>
        <v>10.06</v>
      </c>
      <c r="H64" s="11">
        <v>2.56</v>
      </c>
      <c r="I64" s="9">
        <v>7</v>
      </c>
      <c r="J64" s="9">
        <v>8.2799999999999994</v>
      </c>
      <c r="K64" s="9">
        <v>7</v>
      </c>
      <c r="L64" s="10">
        <f t="shared" si="4"/>
        <v>9.68</v>
      </c>
      <c r="M64" s="12">
        <f t="shared" si="5"/>
        <v>19.740000000000002</v>
      </c>
      <c r="N64" s="11">
        <v>1.9</v>
      </c>
      <c r="O64" s="27"/>
    </row>
    <row r="65" spans="1:15" ht="24.95" customHeight="1" x14ac:dyDescent="0.2">
      <c r="A65" s="7">
        <v>29</v>
      </c>
      <c r="B65" s="19">
        <v>64</v>
      </c>
      <c r="C65" s="8" t="s">
        <v>100</v>
      </c>
      <c r="D65" s="9">
        <v>7</v>
      </c>
      <c r="E65" s="9">
        <v>6.06</v>
      </c>
      <c r="F65" s="9">
        <v>7</v>
      </c>
      <c r="G65" s="10">
        <f t="shared" si="3"/>
        <v>7.46</v>
      </c>
      <c r="H65" s="11"/>
      <c r="I65" s="9">
        <v>7</v>
      </c>
      <c r="J65" s="9">
        <v>9.2200000000000006</v>
      </c>
      <c r="K65" s="9">
        <v>7</v>
      </c>
      <c r="L65" s="10">
        <f t="shared" si="4"/>
        <v>10.620000000000001</v>
      </c>
      <c r="M65" s="12">
        <f t="shared" si="5"/>
        <v>18.080000000000002</v>
      </c>
      <c r="N65" s="11">
        <v>2.14</v>
      </c>
      <c r="O65" s="27"/>
    </row>
    <row r="66" spans="1:15" ht="24.95" customHeight="1" x14ac:dyDescent="0.2">
      <c r="A66" s="7">
        <v>16</v>
      </c>
      <c r="B66" s="19">
        <v>65</v>
      </c>
      <c r="C66" s="8" t="s">
        <v>142</v>
      </c>
      <c r="D66" s="9">
        <v>7</v>
      </c>
      <c r="E66" s="9">
        <v>8.44</v>
      </c>
      <c r="F66" s="9">
        <v>7</v>
      </c>
      <c r="G66" s="10">
        <f t="shared" ref="G66:G67" si="6">E66+F66*0.2</f>
        <v>9.84</v>
      </c>
      <c r="H66" s="11">
        <v>2.08</v>
      </c>
      <c r="I66" s="9">
        <v>7</v>
      </c>
      <c r="J66" s="9">
        <v>8.0399999999999991</v>
      </c>
      <c r="K66" s="9">
        <v>7</v>
      </c>
      <c r="L66" s="10">
        <f t="shared" ref="L66:L67" si="7">J66+K66*0.2</f>
        <v>9.44</v>
      </c>
      <c r="M66" s="12">
        <f t="shared" ref="M66:M67" si="8">L66+G66</f>
        <v>19.28</v>
      </c>
      <c r="N66" s="11">
        <v>1.88</v>
      </c>
      <c r="O66" s="27"/>
    </row>
    <row r="67" spans="1:15" ht="24.95" customHeight="1" x14ac:dyDescent="0.2">
      <c r="A67" s="7">
        <v>41</v>
      </c>
      <c r="B67" s="19">
        <v>66</v>
      </c>
      <c r="C67" s="8" t="s">
        <v>30</v>
      </c>
      <c r="D67" s="9">
        <v>4</v>
      </c>
      <c r="E67" s="9">
        <v>5.12</v>
      </c>
      <c r="F67" s="9">
        <v>4</v>
      </c>
      <c r="G67" s="10">
        <f t="shared" si="6"/>
        <v>5.92</v>
      </c>
      <c r="H67" s="11">
        <v>1.84</v>
      </c>
      <c r="I67" s="9">
        <v>7</v>
      </c>
      <c r="J67" s="9">
        <v>7.28</v>
      </c>
      <c r="K67" s="9">
        <v>7</v>
      </c>
      <c r="L67" s="10">
        <f t="shared" si="7"/>
        <v>8.68</v>
      </c>
      <c r="M67" s="12">
        <f t="shared" si="8"/>
        <v>14.6</v>
      </c>
      <c r="N67" s="11">
        <v>1.72</v>
      </c>
      <c r="O67" s="27"/>
    </row>
    <row r="68" spans="1:15" ht="24.95" customHeight="1" x14ac:dyDescent="0.2">
      <c r="A68" s="63">
        <v>67</v>
      </c>
      <c r="B68" s="63"/>
      <c r="C68" s="61"/>
      <c r="D68" s="61"/>
      <c r="E68" s="61"/>
      <c r="F68" s="61"/>
      <c r="G68" s="64"/>
      <c r="H68" s="65"/>
      <c r="I68" s="62"/>
      <c r="J68" s="62"/>
      <c r="K68" s="62"/>
      <c r="L68" s="64"/>
      <c r="M68" s="62"/>
      <c r="N68" s="65"/>
      <c r="O68" s="27"/>
    </row>
    <row r="69" spans="1:15" ht="24.95" customHeight="1" x14ac:dyDescent="0.2">
      <c r="A69" s="63">
        <v>68</v>
      </c>
      <c r="B69" s="63"/>
      <c r="C69" s="61"/>
      <c r="D69" s="61"/>
      <c r="E69" s="61"/>
      <c r="F69" s="61"/>
      <c r="G69" s="64"/>
      <c r="H69" s="65"/>
      <c r="I69" s="62"/>
      <c r="J69" s="62"/>
      <c r="K69" s="62"/>
      <c r="L69" s="64"/>
      <c r="M69" s="62"/>
      <c r="N69" s="65"/>
      <c r="O69" s="27"/>
    </row>
    <row r="70" spans="1:15" ht="24.95" customHeight="1" x14ac:dyDescent="0.2">
      <c r="A70" s="63">
        <v>69</v>
      </c>
      <c r="B70" s="63"/>
      <c r="C70" s="61"/>
      <c r="D70" s="61"/>
      <c r="E70" s="61"/>
      <c r="F70" s="61"/>
      <c r="G70" s="64"/>
      <c r="H70" s="65"/>
      <c r="I70" s="62"/>
      <c r="J70" s="62"/>
      <c r="K70" s="62"/>
      <c r="L70" s="64"/>
      <c r="M70" s="62"/>
      <c r="N70" s="65"/>
      <c r="O70" s="27"/>
    </row>
    <row r="71" spans="1:15" ht="24.95" customHeight="1" x14ac:dyDescent="0.2">
      <c r="A71" s="63">
        <v>70</v>
      </c>
      <c r="B71" s="63"/>
      <c r="C71" s="61"/>
      <c r="D71" s="61"/>
      <c r="E71" s="61"/>
      <c r="F71" s="61"/>
      <c r="G71" s="64"/>
      <c r="H71" s="65"/>
      <c r="I71" s="62"/>
      <c r="J71" s="62"/>
      <c r="K71" s="62"/>
      <c r="L71" s="64"/>
      <c r="M71" s="62"/>
      <c r="N71" s="65"/>
      <c r="O71" s="27"/>
    </row>
    <row r="72" spans="1:15" ht="24.95" customHeight="1" x14ac:dyDescent="0.2">
      <c r="A72" s="63">
        <v>71</v>
      </c>
      <c r="B72" s="63"/>
      <c r="C72" s="61"/>
      <c r="D72" s="61"/>
      <c r="E72" s="61"/>
      <c r="F72" s="61"/>
      <c r="G72" s="64"/>
      <c r="H72" s="65"/>
      <c r="I72" s="62"/>
      <c r="J72" s="62"/>
      <c r="K72" s="62"/>
      <c r="L72" s="64"/>
      <c r="M72" s="62"/>
      <c r="N72" s="65"/>
      <c r="O72" s="27"/>
    </row>
    <row r="73" spans="1:15" ht="24.95" customHeight="1" x14ac:dyDescent="0.2">
      <c r="A73" s="63">
        <v>72</v>
      </c>
      <c r="B73" s="63"/>
      <c r="C73" s="61"/>
      <c r="D73" s="61"/>
      <c r="E73" s="61"/>
      <c r="F73" s="61"/>
      <c r="G73" s="64"/>
      <c r="H73" s="65"/>
      <c r="I73" s="62"/>
      <c r="J73" s="62"/>
      <c r="K73" s="62"/>
      <c r="L73" s="64"/>
      <c r="M73" s="62"/>
      <c r="N73" s="65"/>
      <c r="O73" s="27"/>
    </row>
    <row r="74" spans="1:15" ht="24.95" customHeight="1" x14ac:dyDescent="0.2">
      <c r="A74" s="63">
        <v>73</v>
      </c>
      <c r="B74" s="63"/>
      <c r="C74" s="61"/>
      <c r="D74" s="61"/>
      <c r="E74" s="61"/>
      <c r="F74" s="61"/>
      <c r="G74" s="64"/>
      <c r="H74" s="65"/>
      <c r="I74" s="62"/>
      <c r="J74" s="62"/>
      <c r="K74" s="62"/>
      <c r="L74" s="64"/>
      <c r="M74" s="62"/>
      <c r="N74" s="65"/>
      <c r="O74" s="27"/>
    </row>
    <row r="75" spans="1:15" ht="24.95" customHeight="1" x14ac:dyDescent="0.2">
      <c r="A75" s="63">
        <v>74</v>
      </c>
      <c r="B75" s="63"/>
      <c r="C75" s="61"/>
      <c r="D75" s="61"/>
      <c r="E75" s="61"/>
      <c r="F75" s="61"/>
      <c r="G75" s="64"/>
      <c r="H75" s="65"/>
      <c r="I75" s="62"/>
      <c r="J75" s="62"/>
      <c r="K75" s="62"/>
      <c r="L75" s="64"/>
      <c r="M75" s="62"/>
      <c r="N75" s="65"/>
      <c r="O75" s="27"/>
    </row>
    <row r="76" spans="1:15" ht="24.95" customHeight="1" x14ac:dyDescent="0.2">
      <c r="A76" s="63">
        <v>75</v>
      </c>
      <c r="B76" s="63"/>
      <c r="C76" s="61"/>
      <c r="D76" s="61"/>
      <c r="E76" s="61"/>
      <c r="F76" s="61"/>
      <c r="G76" s="64"/>
      <c r="H76" s="65"/>
      <c r="I76" s="62"/>
      <c r="J76" s="62"/>
      <c r="K76" s="62"/>
      <c r="L76" s="64"/>
      <c r="M76" s="62"/>
      <c r="N76" s="65"/>
      <c r="O76" s="27"/>
    </row>
    <row r="77" spans="1:15" ht="24.95" customHeight="1" x14ac:dyDescent="0.2">
      <c r="A77" s="63">
        <v>76</v>
      </c>
      <c r="B77" s="63"/>
      <c r="C77" s="61"/>
      <c r="D77" s="61"/>
      <c r="E77" s="61"/>
      <c r="F77" s="61"/>
      <c r="G77" s="64"/>
      <c r="H77" s="65"/>
      <c r="I77" s="62"/>
      <c r="J77" s="62"/>
      <c r="K77" s="62"/>
      <c r="L77" s="64"/>
      <c r="M77" s="62"/>
      <c r="N77" s="65"/>
      <c r="O77" s="27"/>
    </row>
    <row r="78" spans="1:15" ht="24.95" customHeight="1" x14ac:dyDescent="0.2">
      <c r="A78" s="61"/>
      <c r="B78" s="63"/>
      <c r="C78" s="61"/>
      <c r="D78" s="61"/>
      <c r="E78" s="61"/>
      <c r="F78" s="61"/>
      <c r="G78" s="64"/>
      <c r="H78" s="65"/>
      <c r="I78" s="62"/>
      <c r="J78" s="62"/>
      <c r="K78" s="62"/>
      <c r="L78" s="64"/>
      <c r="M78" s="62"/>
      <c r="N78" s="65"/>
      <c r="O78" s="27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2">
    <sortCondition ref="B2:B81"/>
  </sortState>
  <pageMargins left="0.7" right="0.7" top="0.75" bottom="0.75" header="0.3" footer="0.3"/>
  <pageSetup scale="65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0000"/>
    <pageSetUpPr fitToPage="1"/>
  </sheetPr>
  <dimension ref="A1:N80"/>
  <sheetViews>
    <sheetView workbookViewId="0">
      <selection activeCell="I10" sqref="I10"/>
    </sheetView>
  </sheetViews>
  <sheetFormatPr defaultRowHeight="23.25" customHeight="1" x14ac:dyDescent="0.2"/>
  <cols>
    <col min="1" max="1" width="6.7109375" style="6" customWidth="1"/>
    <col min="2" max="2" width="7.85546875" style="6" customWidth="1"/>
    <col min="3" max="3" width="20.42578125" style="6" customWidth="1"/>
    <col min="4" max="4" width="9" style="6" customWidth="1"/>
    <col min="5" max="5" width="7.7109375" style="6" customWidth="1"/>
    <col min="6" max="6" width="10" style="6" customWidth="1"/>
    <col min="7" max="7" width="7" style="6" customWidth="1"/>
    <col min="8" max="8" width="9.28515625" style="6" customWidth="1"/>
    <col min="9" max="9" width="9.5703125" style="6" customWidth="1"/>
    <col min="10" max="10" width="8.140625" style="6" customWidth="1"/>
    <col min="11" max="11" width="9.85546875" style="6" customWidth="1"/>
    <col min="12" max="12" width="8.85546875" style="6" customWidth="1"/>
    <col min="13" max="13" width="9.140625" style="6"/>
    <col min="14" max="14" width="10.42578125" style="6" customWidth="1"/>
    <col min="15" max="16384" width="9.140625" style="6"/>
  </cols>
  <sheetData>
    <row r="1" spans="1:14" ht="43.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</row>
    <row r="2" spans="1:14" ht="30" customHeight="1" x14ac:dyDescent="0.2">
      <c r="A2" s="7">
        <v>1</v>
      </c>
      <c r="B2" s="7">
        <v>63</v>
      </c>
      <c r="C2" s="8" t="s">
        <v>71</v>
      </c>
      <c r="D2" s="9">
        <v>7</v>
      </c>
      <c r="E2" s="9">
        <v>9.32</v>
      </c>
      <c r="F2" s="9">
        <v>7</v>
      </c>
      <c r="G2" s="10">
        <f t="shared" ref="G2:G33" si="0">E2+F2*0.2</f>
        <v>10.72</v>
      </c>
      <c r="H2" s="11">
        <v>2.36</v>
      </c>
      <c r="I2" s="9">
        <v>7</v>
      </c>
      <c r="J2" s="9">
        <v>12.6</v>
      </c>
      <c r="K2" s="9">
        <v>7</v>
      </c>
      <c r="L2" s="10">
        <f t="shared" ref="L2:L33" si="1">J2+K2*0.2</f>
        <v>14</v>
      </c>
      <c r="M2" s="12">
        <f t="shared" ref="M2:M33" si="2">L2+G2</f>
        <v>24.72</v>
      </c>
      <c r="N2" s="11">
        <v>3.92</v>
      </c>
    </row>
    <row r="3" spans="1:14" ht="30" customHeight="1" x14ac:dyDescent="0.2">
      <c r="A3" s="7">
        <v>2</v>
      </c>
      <c r="B3" s="7">
        <v>28</v>
      </c>
      <c r="C3" s="8" t="s">
        <v>29</v>
      </c>
      <c r="D3" s="9">
        <v>7</v>
      </c>
      <c r="E3" s="9">
        <v>8.3800000000000008</v>
      </c>
      <c r="F3" s="9">
        <v>7</v>
      </c>
      <c r="G3" s="10">
        <f t="shared" si="0"/>
        <v>9.7800000000000011</v>
      </c>
      <c r="H3" s="11"/>
      <c r="I3" s="9">
        <v>7</v>
      </c>
      <c r="J3" s="9">
        <v>12.52</v>
      </c>
      <c r="K3" s="9">
        <v>7</v>
      </c>
      <c r="L3" s="10">
        <f t="shared" si="1"/>
        <v>13.92</v>
      </c>
      <c r="M3" s="12">
        <f t="shared" si="2"/>
        <v>23.700000000000003</v>
      </c>
      <c r="N3" s="11">
        <v>5.12</v>
      </c>
    </row>
    <row r="4" spans="1:14" ht="30" customHeight="1" x14ac:dyDescent="0.2">
      <c r="A4" s="7">
        <v>3</v>
      </c>
      <c r="B4" s="7">
        <v>2</v>
      </c>
      <c r="C4" s="8" t="s">
        <v>60</v>
      </c>
      <c r="D4" s="9">
        <v>7</v>
      </c>
      <c r="E4" s="9">
        <v>10.58</v>
      </c>
      <c r="F4" s="9">
        <v>7</v>
      </c>
      <c r="G4" s="10">
        <f t="shared" si="0"/>
        <v>11.98</v>
      </c>
      <c r="H4" s="11">
        <v>3.3</v>
      </c>
      <c r="I4" s="9">
        <v>7</v>
      </c>
      <c r="J4" s="9">
        <v>9.98</v>
      </c>
      <c r="K4" s="9">
        <v>7</v>
      </c>
      <c r="L4" s="10">
        <f t="shared" si="1"/>
        <v>11.38</v>
      </c>
      <c r="M4" s="12">
        <f t="shared" si="2"/>
        <v>23.36</v>
      </c>
      <c r="N4" s="11">
        <v>3.26</v>
      </c>
    </row>
    <row r="5" spans="1:14" ht="30" customHeight="1" x14ac:dyDescent="0.2">
      <c r="A5" s="7">
        <v>4</v>
      </c>
      <c r="B5" s="7">
        <v>50</v>
      </c>
      <c r="C5" s="8" t="s">
        <v>118</v>
      </c>
      <c r="D5" s="9">
        <v>7</v>
      </c>
      <c r="E5" s="9">
        <v>9.76</v>
      </c>
      <c r="F5" s="9">
        <v>7</v>
      </c>
      <c r="G5" s="10">
        <f t="shared" si="0"/>
        <v>11.16</v>
      </c>
      <c r="H5" s="11">
        <v>3.2</v>
      </c>
      <c r="I5" s="9">
        <v>7</v>
      </c>
      <c r="J5" s="9">
        <v>10.68</v>
      </c>
      <c r="K5" s="9">
        <v>7</v>
      </c>
      <c r="L5" s="10">
        <f t="shared" si="1"/>
        <v>12.08</v>
      </c>
      <c r="M5" s="12">
        <f t="shared" si="2"/>
        <v>23.240000000000002</v>
      </c>
      <c r="N5" s="11">
        <v>3.88</v>
      </c>
    </row>
    <row r="6" spans="1:14" ht="30" customHeight="1" x14ac:dyDescent="0.2">
      <c r="A6" s="7">
        <v>5</v>
      </c>
      <c r="B6" s="7">
        <v>34</v>
      </c>
      <c r="C6" s="8" t="s">
        <v>37</v>
      </c>
      <c r="D6" s="9">
        <v>7</v>
      </c>
      <c r="E6" s="9">
        <v>11.24</v>
      </c>
      <c r="F6" s="9">
        <v>7</v>
      </c>
      <c r="G6" s="10">
        <f t="shared" si="0"/>
        <v>12.64</v>
      </c>
      <c r="H6" s="11">
        <v>3.28</v>
      </c>
      <c r="I6" s="9">
        <v>7</v>
      </c>
      <c r="J6" s="9">
        <v>9.14</v>
      </c>
      <c r="K6" s="9">
        <v>7</v>
      </c>
      <c r="L6" s="10">
        <f t="shared" si="1"/>
        <v>10.540000000000001</v>
      </c>
      <c r="M6" s="12">
        <f t="shared" si="2"/>
        <v>23.18</v>
      </c>
      <c r="N6" s="11">
        <v>2.42</v>
      </c>
    </row>
    <row r="7" spans="1:14" ht="30" customHeight="1" x14ac:dyDescent="0.2">
      <c r="A7" s="7">
        <v>6</v>
      </c>
      <c r="B7" s="7">
        <v>43</v>
      </c>
      <c r="C7" s="8" t="s">
        <v>68</v>
      </c>
      <c r="D7" s="9">
        <v>7</v>
      </c>
      <c r="E7" s="9">
        <v>11.56</v>
      </c>
      <c r="F7" s="9">
        <v>7</v>
      </c>
      <c r="G7" s="10">
        <f t="shared" si="0"/>
        <v>12.96</v>
      </c>
      <c r="H7" s="11">
        <v>3.56</v>
      </c>
      <c r="I7" s="9">
        <v>7</v>
      </c>
      <c r="J7" s="9">
        <v>8.56</v>
      </c>
      <c r="K7" s="9">
        <v>7</v>
      </c>
      <c r="L7" s="10">
        <f t="shared" si="1"/>
        <v>9.9600000000000009</v>
      </c>
      <c r="M7" s="12">
        <f t="shared" si="2"/>
        <v>22.92</v>
      </c>
      <c r="N7" s="11">
        <v>2.04</v>
      </c>
    </row>
    <row r="8" spans="1:14" ht="30" customHeight="1" x14ac:dyDescent="0.2">
      <c r="A8" s="7">
        <v>7</v>
      </c>
      <c r="B8" s="7">
        <v>21</v>
      </c>
      <c r="C8" s="8" t="s">
        <v>70</v>
      </c>
      <c r="D8" s="9">
        <v>7</v>
      </c>
      <c r="E8" s="9">
        <v>11.18</v>
      </c>
      <c r="F8" s="9">
        <v>7</v>
      </c>
      <c r="G8" s="10">
        <f t="shared" si="0"/>
        <v>12.58</v>
      </c>
      <c r="H8" s="11">
        <v>3.48</v>
      </c>
      <c r="I8" s="9">
        <v>7</v>
      </c>
      <c r="J8" s="9">
        <v>8.9</v>
      </c>
      <c r="K8" s="9">
        <v>7</v>
      </c>
      <c r="L8" s="10">
        <f t="shared" si="1"/>
        <v>10.3</v>
      </c>
      <c r="M8" s="12">
        <f t="shared" si="2"/>
        <v>22.880000000000003</v>
      </c>
      <c r="N8" s="11">
        <v>2.2799999999999998</v>
      </c>
    </row>
    <row r="9" spans="1:14" ht="30" customHeight="1" x14ac:dyDescent="0.2">
      <c r="A9" s="7">
        <v>8</v>
      </c>
      <c r="B9" s="7">
        <v>1</v>
      </c>
      <c r="C9" s="8" t="s">
        <v>43</v>
      </c>
      <c r="D9" s="9">
        <v>7</v>
      </c>
      <c r="E9" s="9">
        <v>8.7799999999999994</v>
      </c>
      <c r="F9" s="9">
        <v>7</v>
      </c>
      <c r="G9" s="10">
        <f t="shared" si="0"/>
        <v>10.18</v>
      </c>
      <c r="H9" s="11">
        <v>2.58</v>
      </c>
      <c r="I9" s="9">
        <v>7</v>
      </c>
      <c r="J9" s="9">
        <v>11.28</v>
      </c>
      <c r="K9" s="9">
        <v>7</v>
      </c>
      <c r="L9" s="10">
        <f t="shared" si="1"/>
        <v>12.68</v>
      </c>
      <c r="M9" s="12">
        <f t="shared" si="2"/>
        <v>22.86</v>
      </c>
      <c r="N9" s="11">
        <v>3.86</v>
      </c>
    </row>
    <row r="10" spans="1:14" ht="30" customHeight="1" x14ac:dyDescent="0.2">
      <c r="A10" s="7">
        <v>9</v>
      </c>
      <c r="B10" s="7">
        <v>48</v>
      </c>
      <c r="C10" s="8" t="s">
        <v>67</v>
      </c>
      <c r="D10" s="9">
        <v>7</v>
      </c>
      <c r="E10" s="9">
        <v>9.86</v>
      </c>
      <c r="F10" s="9">
        <v>7</v>
      </c>
      <c r="G10" s="10">
        <f t="shared" si="0"/>
        <v>11.26</v>
      </c>
      <c r="H10" s="11">
        <v>3.4</v>
      </c>
      <c r="I10" s="9">
        <v>7</v>
      </c>
      <c r="J10" s="9">
        <v>10.08</v>
      </c>
      <c r="K10" s="9">
        <v>7</v>
      </c>
      <c r="L10" s="10">
        <f t="shared" si="1"/>
        <v>11.48</v>
      </c>
      <c r="M10" s="12">
        <f t="shared" si="2"/>
        <v>22.740000000000002</v>
      </c>
      <c r="N10" s="11">
        <v>2.98</v>
      </c>
    </row>
    <row r="11" spans="1:14" ht="30" customHeight="1" x14ac:dyDescent="0.2">
      <c r="A11" s="7">
        <v>10</v>
      </c>
      <c r="B11" s="7">
        <v>54</v>
      </c>
      <c r="C11" s="8" t="s">
        <v>65</v>
      </c>
      <c r="D11" s="9">
        <v>7</v>
      </c>
      <c r="E11" s="9">
        <v>10.54</v>
      </c>
      <c r="F11" s="9">
        <v>7</v>
      </c>
      <c r="G11" s="10">
        <f t="shared" si="0"/>
        <v>11.94</v>
      </c>
      <c r="H11" s="11">
        <v>3.62</v>
      </c>
      <c r="I11" s="9">
        <v>7</v>
      </c>
      <c r="J11" s="9">
        <v>8.82</v>
      </c>
      <c r="K11" s="9">
        <v>7</v>
      </c>
      <c r="L11" s="10">
        <f t="shared" si="1"/>
        <v>10.220000000000001</v>
      </c>
      <c r="M11" s="12">
        <f t="shared" si="2"/>
        <v>22.16</v>
      </c>
      <c r="N11" s="11">
        <v>2.4</v>
      </c>
    </row>
    <row r="12" spans="1:14" ht="30" customHeight="1" x14ac:dyDescent="0.2">
      <c r="A12" s="7">
        <v>11</v>
      </c>
      <c r="B12" s="7">
        <v>8</v>
      </c>
      <c r="C12" s="8" t="s">
        <v>106</v>
      </c>
      <c r="D12" s="9">
        <v>7</v>
      </c>
      <c r="E12" s="9">
        <v>9.7200000000000006</v>
      </c>
      <c r="F12" s="9">
        <v>7</v>
      </c>
      <c r="G12" s="10">
        <f t="shared" si="0"/>
        <v>11.120000000000001</v>
      </c>
      <c r="H12" s="11"/>
      <c r="I12" s="9">
        <v>7</v>
      </c>
      <c r="J12" s="9">
        <v>9.6</v>
      </c>
      <c r="K12" s="9">
        <v>7</v>
      </c>
      <c r="L12" s="10">
        <f t="shared" si="1"/>
        <v>11</v>
      </c>
      <c r="M12" s="12">
        <f t="shared" si="2"/>
        <v>22.12</v>
      </c>
      <c r="N12" s="11"/>
    </row>
    <row r="13" spans="1:14" ht="30" customHeight="1" x14ac:dyDescent="0.2">
      <c r="A13" s="7">
        <v>12</v>
      </c>
      <c r="B13" s="7">
        <v>32</v>
      </c>
      <c r="C13" s="8" t="s">
        <v>109</v>
      </c>
      <c r="D13" s="9">
        <v>7</v>
      </c>
      <c r="E13" s="9">
        <v>9.0399999999999991</v>
      </c>
      <c r="F13" s="9">
        <v>7</v>
      </c>
      <c r="G13" s="10">
        <f t="shared" si="0"/>
        <v>10.44</v>
      </c>
      <c r="H13" s="11"/>
      <c r="I13" s="9">
        <v>7</v>
      </c>
      <c r="J13" s="9">
        <v>10.1</v>
      </c>
      <c r="K13" s="9">
        <v>7</v>
      </c>
      <c r="L13" s="10">
        <f t="shared" si="1"/>
        <v>11.5</v>
      </c>
      <c r="M13" s="12">
        <f t="shared" si="2"/>
        <v>21.939999999999998</v>
      </c>
      <c r="N13" s="11">
        <v>3.2</v>
      </c>
    </row>
    <row r="14" spans="1:14" ht="30" customHeight="1" x14ac:dyDescent="0.2">
      <c r="A14" s="7">
        <v>13</v>
      </c>
      <c r="B14" s="7">
        <v>23</v>
      </c>
      <c r="C14" s="8" t="s">
        <v>55</v>
      </c>
      <c r="D14" s="9">
        <v>7</v>
      </c>
      <c r="E14" s="9">
        <v>9.16</v>
      </c>
      <c r="F14" s="9">
        <v>7</v>
      </c>
      <c r="G14" s="10">
        <f t="shared" si="0"/>
        <v>10.56</v>
      </c>
      <c r="H14" s="11"/>
      <c r="I14" s="9">
        <v>7</v>
      </c>
      <c r="J14" s="9">
        <v>9.86</v>
      </c>
      <c r="K14" s="9">
        <v>7</v>
      </c>
      <c r="L14" s="10">
        <f t="shared" si="1"/>
        <v>11.26</v>
      </c>
      <c r="M14" s="12">
        <f t="shared" si="2"/>
        <v>21.82</v>
      </c>
      <c r="N14" s="11">
        <v>2.7</v>
      </c>
    </row>
    <row r="15" spans="1:14" ht="30" customHeight="1" x14ac:dyDescent="0.2">
      <c r="A15" s="7">
        <v>14</v>
      </c>
      <c r="B15" s="7">
        <v>41</v>
      </c>
      <c r="C15" s="8" t="s">
        <v>50</v>
      </c>
      <c r="D15" s="9">
        <v>7</v>
      </c>
      <c r="E15" s="9">
        <v>9.7799999999999994</v>
      </c>
      <c r="F15" s="9">
        <v>7</v>
      </c>
      <c r="G15" s="10">
        <f t="shared" si="0"/>
        <v>11.18</v>
      </c>
      <c r="H15" s="11">
        <v>2.96</v>
      </c>
      <c r="I15" s="9">
        <v>7</v>
      </c>
      <c r="J15" s="9">
        <v>9.02</v>
      </c>
      <c r="K15" s="9">
        <v>7</v>
      </c>
      <c r="L15" s="10">
        <f t="shared" si="1"/>
        <v>10.42</v>
      </c>
      <c r="M15" s="12">
        <f t="shared" si="2"/>
        <v>21.6</v>
      </c>
      <c r="N15" s="11">
        <v>2.42</v>
      </c>
    </row>
    <row r="16" spans="1:14" ht="30" customHeight="1" x14ac:dyDescent="0.2">
      <c r="A16" s="7">
        <v>15</v>
      </c>
      <c r="B16" s="7">
        <v>47</v>
      </c>
      <c r="C16" s="8" t="s">
        <v>104</v>
      </c>
      <c r="D16" s="9">
        <v>7</v>
      </c>
      <c r="E16" s="9">
        <v>9.06</v>
      </c>
      <c r="F16" s="9">
        <v>7</v>
      </c>
      <c r="G16" s="10">
        <f t="shared" si="0"/>
        <v>10.46</v>
      </c>
      <c r="H16" s="11">
        <v>2.98</v>
      </c>
      <c r="I16" s="9">
        <v>7</v>
      </c>
      <c r="J16" s="9">
        <v>9.66</v>
      </c>
      <c r="K16" s="9">
        <v>7</v>
      </c>
      <c r="L16" s="10">
        <f t="shared" si="1"/>
        <v>11.06</v>
      </c>
      <c r="M16" s="12">
        <f t="shared" si="2"/>
        <v>21.520000000000003</v>
      </c>
      <c r="N16" s="11">
        <v>3.08</v>
      </c>
    </row>
    <row r="17" spans="1:14" ht="30" customHeight="1" x14ac:dyDescent="0.2">
      <c r="A17" s="7">
        <v>16</v>
      </c>
      <c r="B17" s="7">
        <v>29</v>
      </c>
      <c r="C17" s="8" t="s">
        <v>30</v>
      </c>
      <c r="D17" s="9">
        <v>7</v>
      </c>
      <c r="E17" s="9">
        <v>8.2799999999999994</v>
      </c>
      <c r="F17" s="9">
        <v>7</v>
      </c>
      <c r="G17" s="10">
        <f t="shared" si="0"/>
        <v>9.68</v>
      </c>
      <c r="H17" s="11">
        <v>3.2</v>
      </c>
      <c r="I17" s="9">
        <v>7</v>
      </c>
      <c r="J17" s="9">
        <v>10.44</v>
      </c>
      <c r="K17" s="9">
        <v>7</v>
      </c>
      <c r="L17" s="10">
        <f t="shared" si="1"/>
        <v>11.84</v>
      </c>
      <c r="M17" s="12">
        <f t="shared" si="2"/>
        <v>21.52</v>
      </c>
      <c r="N17" s="11">
        <v>3.54</v>
      </c>
    </row>
    <row r="18" spans="1:14" ht="30" customHeight="1" x14ac:dyDescent="0.2">
      <c r="A18" s="7">
        <v>17</v>
      </c>
      <c r="B18" s="7">
        <v>46</v>
      </c>
      <c r="C18" s="8" t="s">
        <v>103</v>
      </c>
      <c r="D18" s="9">
        <v>7</v>
      </c>
      <c r="E18" s="9">
        <v>8.5</v>
      </c>
      <c r="F18" s="9">
        <v>7</v>
      </c>
      <c r="G18" s="10">
        <f t="shared" si="0"/>
        <v>9.9</v>
      </c>
      <c r="H18" s="11">
        <v>1.9</v>
      </c>
      <c r="I18" s="9">
        <v>7</v>
      </c>
      <c r="J18" s="9">
        <v>10.1</v>
      </c>
      <c r="K18" s="9">
        <v>7</v>
      </c>
      <c r="L18" s="10">
        <f t="shared" si="1"/>
        <v>11.5</v>
      </c>
      <c r="M18" s="12">
        <f t="shared" si="2"/>
        <v>21.4</v>
      </c>
      <c r="N18" s="11">
        <v>3.18</v>
      </c>
    </row>
    <row r="19" spans="1:14" ht="30" customHeight="1" x14ac:dyDescent="0.2">
      <c r="A19" s="7">
        <v>18</v>
      </c>
      <c r="B19" s="7">
        <v>3</v>
      </c>
      <c r="C19" s="8" t="s">
        <v>42</v>
      </c>
      <c r="D19" s="9">
        <v>7</v>
      </c>
      <c r="E19" s="9">
        <v>9.18</v>
      </c>
      <c r="F19" s="9">
        <v>7</v>
      </c>
      <c r="G19" s="10">
        <f t="shared" si="0"/>
        <v>10.58</v>
      </c>
      <c r="H19" s="11">
        <v>3.28</v>
      </c>
      <c r="I19" s="9">
        <v>7</v>
      </c>
      <c r="J19" s="9">
        <v>9.42</v>
      </c>
      <c r="K19" s="9">
        <v>7</v>
      </c>
      <c r="L19" s="10">
        <f t="shared" si="1"/>
        <v>10.82</v>
      </c>
      <c r="M19" s="12">
        <f t="shared" si="2"/>
        <v>21.4</v>
      </c>
      <c r="N19" s="11">
        <v>2.74</v>
      </c>
    </row>
    <row r="20" spans="1:14" ht="30" customHeight="1" x14ac:dyDescent="0.2">
      <c r="A20" s="7">
        <v>19</v>
      </c>
      <c r="B20" s="7">
        <v>18</v>
      </c>
      <c r="C20" s="8" t="s">
        <v>51</v>
      </c>
      <c r="D20" s="9">
        <v>7</v>
      </c>
      <c r="E20" s="9">
        <v>10.26</v>
      </c>
      <c r="F20" s="9">
        <v>7</v>
      </c>
      <c r="G20" s="10">
        <f t="shared" si="0"/>
        <v>11.66</v>
      </c>
      <c r="H20" s="11">
        <v>3</v>
      </c>
      <c r="I20" s="9">
        <v>7</v>
      </c>
      <c r="J20" s="9">
        <v>8.34</v>
      </c>
      <c r="K20" s="9">
        <v>7</v>
      </c>
      <c r="L20" s="10">
        <f t="shared" si="1"/>
        <v>9.74</v>
      </c>
      <c r="M20" s="12">
        <f t="shared" si="2"/>
        <v>21.4</v>
      </c>
      <c r="N20" s="11">
        <v>2.08</v>
      </c>
    </row>
    <row r="21" spans="1:14" ht="30" customHeight="1" x14ac:dyDescent="0.2">
      <c r="A21" s="7">
        <v>20</v>
      </c>
      <c r="B21" s="7">
        <v>33</v>
      </c>
      <c r="C21" s="8" t="s">
        <v>39</v>
      </c>
      <c r="D21" s="9">
        <v>7</v>
      </c>
      <c r="E21" s="9">
        <v>7.32</v>
      </c>
      <c r="F21" s="9">
        <v>7</v>
      </c>
      <c r="G21" s="10">
        <f t="shared" si="0"/>
        <v>8.7200000000000006</v>
      </c>
      <c r="H21" s="11"/>
      <c r="I21" s="9">
        <v>7</v>
      </c>
      <c r="J21" s="9">
        <v>11.08</v>
      </c>
      <c r="K21" s="9">
        <v>7</v>
      </c>
      <c r="L21" s="10">
        <f t="shared" si="1"/>
        <v>12.48</v>
      </c>
      <c r="M21" s="12">
        <f t="shared" si="2"/>
        <v>21.200000000000003</v>
      </c>
      <c r="N21" s="11">
        <v>3.8</v>
      </c>
    </row>
    <row r="22" spans="1:14" ht="30" customHeight="1" x14ac:dyDescent="0.2">
      <c r="A22" s="7">
        <v>21</v>
      </c>
      <c r="B22" s="7">
        <v>11</v>
      </c>
      <c r="C22" s="8" t="s">
        <v>38</v>
      </c>
      <c r="D22" s="9">
        <v>7</v>
      </c>
      <c r="E22" s="9">
        <v>9.32</v>
      </c>
      <c r="F22" s="9">
        <v>7</v>
      </c>
      <c r="G22" s="10">
        <f t="shared" si="0"/>
        <v>10.72</v>
      </c>
      <c r="H22" s="11">
        <v>2.46</v>
      </c>
      <c r="I22" s="9">
        <v>7</v>
      </c>
      <c r="J22" s="9">
        <v>9.06</v>
      </c>
      <c r="K22" s="9">
        <v>7</v>
      </c>
      <c r="L22" s="10">
        <f t="shared" si="1"/>
        <v>10.46</v>
      </c>
      <c r="M22" s="12">
        <f t="shared" si="2"/>
        <v>21.18</v>
      </c>
      <c r="N22" s="11">
        <v>2.5</v>
      </c>
    </row>
    <row r="23" spans="1:14" ht="30" customHeight="1" x14ac:dyDescent="0.2">
      <c r="A23" s="7">
        <v>22</v>
      </c>
      <c r="B23" s="7">
        <v>27</v>
      </c>
      <c r="C23" s="8" t="s">
        <v>61</v>
      </c>
      <c r="D23" s="9">
        <v>7</v>
      </c>
      <c r="E23" s="7">
        <v>9.58</v>
      </c>
      <c r="F23" s="9">
        <v>7</v>
      </c>
      <c r="G23" s="10">
        <f t="shared" si="0"/>
        <v>10.98</v>
      </c>
      <c r="H23" s="11">
        <v>3.58</v>
      </c>
      <c r="I23" s="9">
        <v>7</v>
      </c>
      <c r="J23" s="9">
        <v>8.7799999999999994</v>
      </c>
      <c r="K23" s="9">
        <v>7</v>
      </c>
      <c r="L23" s="10">
        <f t="shared" si="1"/>
        <v>10.18</v>
      </c>
      <c r="M23" s="12">
        <f t="shared" si="2"/>
        <v>21.16</v>
      </c>
      <c r="N23" s="11">
        <v>2.6</v>
      </c>
    </row>
    <row r="24" spans="1:14" ht="30" customHeight="1" x14ac:dyDescent="0.2">
      <c r="A24" s="7">
        <v>23</v>
      </c>
      <c r="B24" s="7">
        <v>60</v>
      </c>
      <c r="C24" s="8" t="s">
        <v>119</v>
      </c>
      <c r="D24" s="9">
        <v>7</v>
      </c>
      <c r="E24" s="9">
        <v>8.56</v>
      </c>
      <c r="F24" s="9">
        <v>7</v>
      </c>
      <c r="G24" s="10">
        <f t="shared" si="0"/>
        <v>9.9600000000000009</v>
      </c>
      <c r="H24" s="11">
        <v>2.4</v>
      </c>
      <c r="I24" s="9">
        <v>7</v>
      </c>
      <c r="J24" s="9">
        <v>9.64</v>
      </c>
      <c r="K24" s="9">
        <v>7</v>
      </c>
      <c r="L24" s="10">
        <f t="shared" si="1"/>
        <v>11.040000000000001</v>
      </c>
      <c r="M24" s="12">
        <f t="shared" si="2"/>
        <v>21</v>
      </c>
      <c r="N24" s="11">
        <v>2.98</v>
      </c>
    </row>
    <row r="25" spans="1:14" ht="30" customHeight="1" x14ac:dyDescent="0.2">
      <c r="A25" s="7">
        <v>24</v>
      </c>
      <c r="B25" s="7">
        <v>5</v>
      </c>
      <c r="C25" s="8" t="s">
        <v>64</v>
      </c>
      <c r="D25" s="9">
        <v>7</v>
      </c>
      <c r="E25" s="9">
        <v>9.3800000000000008</v>
      </c>
      <c r="F25" s="9">
        <v>7</v>
      </c>
      <c r="G25" s="10">
        <f t="shared" si="0"/>
        <v>10.780000000000001</v>
      </c>
      <c r="H25" s="11">
        <v>3.34</v>
      </c>
      <c r="I25" s="9">
        <v>7</v>
      </c>
      <c r="J25" s="9">
        <v>8.76</v>
      </c>
      <c r="K25" s="9">
        <v>7</v>
      </c>
      <c r="L25" s="10">
        <f t="shared" si="1"/>
        <v>10.16</v>
      </c>
      <c r="M25" s="12">
        <f t="shared" si="2"/>
        <v>20.94</v>
      </c>
      <c r="N25" s="11">
        <v>2.2799999999999998</v>
      </c>
    </row>
    <row r="26" spans="1:14" ht="30" customHeight="1" x14ac:dyDescent="0.2">
      <c r="A26" s="7">
        <v>25</v>
      </c>
      <c r="B26" s="7">
        <v>45</v>
      </c>
      <c r="C26" s="8" t="s">
        <v>117</v>
      </c>
      <c r="D26" s="9">
        <v>7</v>
      </c>
      <c r="E26" s="9">
        <v>9.02</v>
      </c>
      <c r="F26" s="9">
        <v>7</v>
      </c>
      <c r="G26" s="10">
        <f t="shared" si="0"/>
        <v>10.42</v>
      </c>
      <c r="H26" s="11"/>
      <c r="I26" s="9">
        <v>7</v>
      </c>
      <c r="J26" s="9">
        <v>9</v>
      </c>
      <c r="K26" s="9">
        <v>7</v>
      </c>
      <c r="L26" s="10">
        <f t="shared" si="1"/>
        <v>10.4</v>
      </c>
      <c r="M26" s="12">
        <f t="shared" si="2"/>
        <v>20.82</v>
      </c>
      <c r="N26" s="11">
        <v>2.2599999999999998</v>
      </c>
    </row>
    <row r="27" spans="1:14" ht="30" customHeight="1" x14ac:dyDescent="0.2">
      <c r="A27" s="7">
        <v>26</v>
      </c>
      <c r="B27" s="7">
        <v>52</v>
      </c>
      <c r="C27" s="8" t="s">
        <v>45</v>
      </c>
      <c r="D27" s="9">
        <v>7</v>
      </c>
      <c r="E27" s="9">
        <v>9.2799999999999994</v>
      </c>
      <c r="F27" s="9">
        <v>7</v>
      </c>
      <c r="G27" s="10">
        <f t="shared" si="0"/>
        <v>10.68</v>
      </c>
      <c r="H27" s="11"/>
      <c r="I27" s="9">
        <v>7</v>
      </c>
      <c r="J27" s="9">
        <v>8.68</v>
      </c>
      <c r="K27" s="9">
        <v>7</v>
      </c>
      <c r="L27" s="10">
        <f t="shared" si="1"/>
        <v>10.08</v>
      </c>
      <c r="M27" s="12">
        <f t="shared" si="2"/>
        <v>20.759999999999998</v>
      </c>
      <c r="N27" s="11">
        <v>2.2799999999999998</v>
      </c>
    </row>
    <row r="28" spans="1:14" ht="30" customHeight="1" x14ac:dyDescent="0.2">
      <c r="A28" s="7">
        <v>27</v>
      </c>
      <c r="B28" s="7">
        <v>66</v>
      </c>
      <c r="C28" s="8" t="s">
        <v>40</v>
      </c>
      <c r="D28" s="9">
        <v>7</v>
      </c>
      <c r="E28" s="9">
        <v>9.7200000000000006</v>
      </c>
      <c r="F28" s="9">
        <v>7</v>
      </c>
      <c r="G28" s="10">
        <f t="shared" si="0"/>
        <v>11.120000000000001</v>
      </c>
      <c r="H28" s="11">
        <v>3.82</v>
      </c>
      <c r="I28" s="9">
        <v>7</v>
      </c>
      <c r="J28" s="9">
        <v>7.94</v>
      </c>
      <c r="K28" s="9">
        <v>7</v>
      </c>
      <c r="L28" s="10">
        <f t="shared" si="1"/>
        <v>9.34</v>
      </c>
      <c r="M28" s="12">
        <f t="shared" si="2"/>
        <v>20.46</v>
      </c>
      <c r="N28" s="11">
        <v>1.78</v>
      </c>
    </row>
    <row r="29" spans="1:14" ht="30" customHeight="1" x14ac:dyDescent="0.2">
      <c r="A29" s="7">
        <v>28</v>
      </c>
      <c r="B29" s="7">
        <v>53</v>
      </c>
      <c r="C29" s="8" t="s">
        <v>54</v>
      </c>
      <c r="D29" s="9">
        <v>7</v>
      </c>
      <c r="E29" s="9">
        <v>9.76</v>
      </c>
      <c r="F29" s="9">
        <v>7</v>
      </c>
      <c r="G29" s="10">
        <f t="shared" si="0"/>
        <v>11.16</v>
      </c>
      <c r="H29" s="11">
        <v>3.4</v>
      </c>
      <c r="I29" s="9">
        <v>7</v>
      </c>
      <c r="J29" s="9">
        <v>7.9</v>
      </c>
      <c r="K29" s="9">
        <v>7</v>
      </c>
      <c r="L29" s="10">
        <f t="shared" si="1"/>
        <v>9.3000000000000007</v>
      </c>
      <c r="M29" s="12">
        <f t="shared" si="2"/>
        <v>20.46</v>
      </c>
      <c r="N29" s="11">
        <v>2.08</v>
      </c>
    </row>
    <row r="30" spans="1:14" ht="30" customHeight="1" x14ac:dyDescent="0.2">
      <c r="A30" s="7">
        <v>29</v>
      </c>
      <c r="B30" s="7">
        <v>24</v>
      </c>
      <c r="C30" s="8" t="s">
        <v>33</v>
      </c>
      <c r="D30" s="9">
        <v>7</v>
      </c>
      <c r="E30" s="9">
        <v>8.58</v>
      </c>
      <c r="F30" s="9">
        <v>7</v>
      </c>
      <c r="G30" s="10">
        <f t="shared" si="0"/>
        <v>9.98</v>
      </c>
      <c r="H30" s="11"/>
      <c r="I30" s="9">
        <v>7</v>
      </c>
      <c r="J30" s="9">
        <v>9.06</v>
      </c>
      <c r="K30" s="9">
        <v>7</v>
      </c>
      <c r="L30" s="10">
        <f t="shared" si="1"/>
        <v>10.46</v>
      </c>
      <c r="M30" s="12">
        <f t="shared" si="2"/>
        <v>20.440000000000001</v>
      </c>
      <c r="N30" s="11">
        <v>2.38</v>
      </c>
    </row>
    <row r="31" spans="1:14" ht="30" customHeight="1" x14ac:dyDescent="0.2">
      <c r="A31" s="7">
        <v>30</v>
      </c>
      <c r="B31" s="7">
        <v>49</v>
      </c>
      <c r="C31" s="8" t="s">
        <v>34</v>
      </c>
      <c r="D31" s="9">
        <v>7</v>
      </c>
      <c r="E31" s="9">
        <v>8.3800000000000008</v>
      </c>
      <c r="F31" s="9">
        <v>7</v>
      </c>
      <c r="G31" s="10">
        <f t="shared" si="0"/>
        <v>9.7800000000000011</v>
      </c>
      <c r="H31" s="11"/>
      <c r="I31" s="9">
        <v>7</v>
      </c>
      <c r="J31" s="9">
        <v>9.24</v>
      </c>
      <c r="K31" s="9">
        <v>7</v>
      </c>
      <c r="L31" s="10">
        <f t="shared" si="1"/>
        <v>10.64</v>
      </c>
      <c r="M31" s="12">
        <f t="shared" si="2"/>
        <v>20.420000000000002</v>
      </c>
      <c r="N31" s="11">
        <v>2.38</v>
      </c>
    </row>
    <row r="32" spans="1:14" ht="30" customHeight="1" x14ac:dyDescent="0.2">
      <c r="A32" s="7">
        <v>31</v>
      </c>
      <c r="B32" s="7">
        <v>38</v>
      </c>
      <c r="C32" s="8" t="s">
        <v>31</v>
      </c>
      <c r="D32" s="9">
        <v>7</v>
      </c>
      <c r="E32" s="9">
        <v>8.36</v>
      </c>
      <c r="F32" s="9">
        <v>7</v>
      </c>
      <c r="G32" s="10">
        <f t="shared" si="0"/>
        <v>9.76</v>
      </c>
      <c r="H32" s="11">
        <v>1.94</v>
      </c>
      <c r="I32" s="9">
        <v>7</v>
      </c>
      <c r="J32" s="9">
        <v>9.1999999999999993</v>
      </c>
      <c r="K32" s="9">
        <v>7</v>
      </c>
      <c r="L32" s="10">
        <f t="shared" si="1"/>
        <v>10.6</v>
      </c>
      <c r="M32" s="12">
        <f t="shared" si="2"/>
        <v>20.36</v>
      </c>
      <c r="N32" s="11">
        <v>2.4</v>
      </c>
    </row>
    <row r="33" spans="1:14" ht="30" customHeight="1" x14ac:dyDescent="0.2">
      <c r="A33" s="7">
        <v>32</v>
      </c>
      <c r="B33" s="7">
        <v>26</v>
      </c>
      <c r="C33" s="8" t="s">
        <v>100</v>
      </c>
      <c r="D33" s="9">
        <v>7</v>
      </c>
      <c r="E33" s="9">
        <v>9.94</v>
      </c>
      <c r="F33" s="9">
        <v>7</v>
      </c>
      <c r="G33" s="10">
        <f t="shared" si="0"/>
        <v>11.34</v>
      </c>
      <c r="H33" s="11">
        <v>2.84</v>
      </c>
      <c r="I33" s="9">
        <v>6</v>
      </c>
      <c r="J33" s="9">
        <v>7.76</v>
      </c>
      <c r="K33" s="9">
        <v>6</v>
      </c>
      <c r="L33" s="10">
        <f t="shared" si="1"/>
        <v>8.9600000000000009</v>
      </c>
      <c r="M33" s="12">
        <f t="shared" si="2"/>
        <v>20.3</v>
      </c>
      <c r="N33" s="11">
        <v>2.94</v>
      </c>
    </row>
    <row r="34" spans="1:14" ht="30" customHeight="1" x14ac:dyDescent="0.2">
      <c r="A34" s="7">
        <v>33</v>
      </c>
      <c r="B34" s="7">
        <v>15</v>
      </c>
      <c r="C34" s="8" t="s">
        <v>66</v>
      </c>
      <c r="D34" s="9">
        <v>7</v>
      </c>
      <c r="E34" s="9">
        <v>9.0399999999999991</v>
      </c>
      <c r="F34" s="9">
        <v>7</v>
      </c>
      <c r="G34" s="10">
        <f t="shared" ref="G34:G65" si="3">E34+F34*0.2</f>
        <v>10.44</v>
      </c>
      <c r="H34" s="11">
        <v>2.56</v>
      </c>
      <c r="I34" s="9">
        <v>7</v>
      </c>
      <c r="J34" s="9">
        <v>8.42</v>
      </c>
      <c r="K34" s="9">
        <v>7</v>
      </c>
      <c r="L34" s="10">
        <f t="shared" ref="L34:L65" si="4">J34+K34*0.2</f>
        <v>9.82</v>
      </c>
      <c r="M34" s="12">
        <f t="shared" ref="M34:M65" si="5">L34+G34</f>
        <v>20.259999999999998</v>
      </c>
      <c r="N34" s="11">
        <v>2.48</v>
      </c>
    </row>
    <row r="35" spans="1:14" ht="30" customHeight="1" x14ac:dyDescent="0.2">
      <c r="A35" s="7">
        <v>34</v>
      </c>
      <c r="B35" s="7">
        <v>25</v>
      </c>
      <c r="C35" s="8" t="s">
        <v>47</v>
      </c>
      <c r="D35" s="9">
        <v>7</v>
      </c>
      <c r="E35" s="9">
        <v>8.7200000000000006</v>
      </c>
      <c r="F35" s="9">
        <v>7</v>
      </c>
      <c r="G35" s="10">
        <f t="shared" si="3"/>
        <v>10.120000000000001</v>
      </c>
      <c r="H35" s="11">
        <v>2.12</v>
      </c>
      <c r="I35" s="9">
        <v>7</v>
      </c>
      <c r="J35" s="9">
        <v>8.6</v>
      </c>
      <c r="K35" s="9">
        <v>7</v>
      </c>
      <c r="L35" s="10">
        <f t="shared" si="4"/>
        <v>10</v>
      </c>
      <c r="M35" s="12">
        <f t="shared" si="5"/>
        <v>20.12</v>
      </c>
      <c r="N35" s="11">
        <v>2.06</v>
      </c>
    </row>
    <row r="36" spans="1:14" ht="30" customHeight="1" x14ac:dyDescent="0.2">
      <c r="A36" s="7">
        <v>35</v>
      </c>
      <c r="B36" s="7">
        <v>65</v>
      </c>
      <c r="C36" s="8" t="s">
        <v>116</v>
      </c>
      <c r="D36" s="9">
        <v>7</v>
      </c>
      <c r="E36" s="9">
        <v>8.58</v>
      </c>
      <c r="F36" s="9">
        <v>7</v>
      </c>
      <c r="G36" s="10">
        <f t="shared" si="3"/>
        <v>9.98</v>
      </c>
      <c r="H36" s="11">
        <v>2.5</v>
      </c>
      <c r="I36" s="9">
        <v>7</v>
      </c>
      <c r="J36" s="9">
        <v>8.6199999999999992</v>
      </c>
      <c r="K36" s="9">
        <v>7</v>
      </c>
      <c r="L36" s="10">
        <f t="shared" si="4"/>
        <v>10.02</v>
      </c>
      <c r="M36" s="12">
        <f t="shared" si="5"/>
        <v>20</v>
      </c>
      <c r="N36" s="11">
        <v>2.84</v>
      </c>
    </row>
    <row r="37" spans="1:14" ht="30" customHeight="1" x14ac:dyDescent="0.2">
      <c r="A37" s="7">
        <v>36</v>
      </c>
      <c r="B37" s="7">
        <v>44</v>
      </c>
      <c r="C37" s="8" t="s">
        <v>111</v>
      </c>
      <c r="D37" s="9">
        <v>7</v>
      </c>
      <c r="E37" s="9">
        <v>8.68</v>
      </c>
      <c r="F37" s="9">
        <v>7</v>
      </c>
      <c r="G37" s="10">
        <f t="shared" si="3"/>
        <v>10.08</v>
      </c>
      <c r="H37" s="11"/>
      <c r="I37" s="9">
        <v>7</v>
      </c>
      <c r="J37" s="9">
        <v>8.42</v>
      </c>
      <c r="K37" s="9">
        <v>7</v>
      </c>
      <c r="L37" s="10">
        <f t="shared" si="4"/>
        <v>9.82</v>
      </c>
      <c r="M37" s="12">
        <f t="shared" si="5"/>
        <v>19.899999999999999</v>
      </c>
      <c r="N37" s="11"/>
    </row>
    <row r="38" spans="1:14" ht="30" customHeight="1" x14ac:dyDescent="0.2">
      <c r="A38" s="7">
        <v>37</v>
      </c>
      <c r="B38" s="7">
        <v>35</v>
      </c>
      <c r="C38" s="8" t="s">
        <v>101</v>
      </c>
      <c r="D38" s="9">
        <v>6</v>
      </c>
      <c r="E38" s="9">
        <v>7.72</v>
      </c>
      <c r="F38" s="9">
        <v>6</v>
      </c>
      <c r="G38" s="10">
        <f t="shared" si="3"/>
        <v>8.92</v>
      </c>
      <c r="H38" s="11">
        <v>2.2799999999999998</v>
      </c>
      <c r="I38" s="9">
        <v>7</v>
      </c>
      <c r="J38" s="9">
        <v>9.48</v>
      </c>
      <c r="K38" s="9">
        <v>7</v>
      </c>
      <c r="L38" s="10">
        <f t="shared" si="4"/>
        <v>10.88</v>
      </c>
      <c r="M38" s="12">
        <f t="shared" si="5"/>
        <v>19.8</v>
      </c>
      <c r="N38" s="11"/>
    </row>
    <row r="39" spans="1:14" ht="30" customHeight="1" x14ac:dyDescent="0.2">
      <c r="A39" s="7">
        <v>38</v>
      </c>
      <c r="B39" s="7">
        <v>40</v>
      </c>
      <c r="C39" s="8" t="s">
        <v>35</v>
      </c>
      <c r="D39" s="9">
        <v>7</v>
      </c>
      <c r="E39" s="9">
        <v>8.1199999999999992</v>
      </c>
      <c r="F39" s="9">
        <v>7</v>
      </c>
      <c r="G39" s="10">
        <f t="shared" si="3"/>
        <v>9.52</v>
      </c>
      <c r="H39" s="11"/>
      <c r="I39" s="9">
        <v>7</v>
      </c>
      <c r="J39" s="9">
        <v>8.76</v>
      </c>
      <c r="K39" s="9">
        <v>7</v>
      </c>
      <c r="L39" s="10">
        <f t="shared" si="4"/>
        <v>10.16</v>
      </c>
      <c r="M39" s="12">
        <f t="shared" si="5"/>
        <v>19.68</v>
      </c>
      <c r="N39" s="11">
        <v>2.54</v>
      </c>
    </row>
    <row r="40" spans="1:14" ht="30" customHeight="1" x14ac:dyDescent="0.2">
      <c r="A40" s="7">
        <v>39</v>
      </c>
      <c r="B40" s="7">
        <v>57</v>
      </c>
      <c r="C40" s="8" t="s">
        <v>56</v>
      </c>
      <c r="D40" s="9">
        <v>7</v>
      </c>
      <c r="E40" s="9">
        <v>8.5</v>
      </c>
      <c r="F40" s="9">
        <v>7</v>
      </c>
      <c r="G40" s="10">
        <f t="shared" si="3"/>
        <v>9.9</v>
      </c>
      <c r="H40" s="11"/>
      <c r="I40" s="9">
        <v>7</v>
      </c>
      <c r="J40" s="9">
        <v>8.18</v>
      </c>
      <c r="K40" s="9">
        <v>7</v>
      </c>
      <c r="L40" s="10">
        <f t="shared" si="4"/>
        <v>9.58</v>
      </c>
      <c r="M40" s="12">
        <f t="shared" si="5"/>
        <v>19.48</v>
      </c>
      <c r="N40" s="11">
        <v>2.14</v>
      </c>
    </row>
    <row r="41" spans="1:14" ht="30" customHeight="1" x14ac:dyDescent="0.2">
      <c r="A41" s="7">
        <v>40</v>
      </c>
      <c r="B41" s="7">
        <v>20</v>
      </c>
      <c r="C41" s="8" t="s">
        <v>99</v>
      </c>
      <c r="D41" s="9">
        <v>7</v>
      </c>
      <c r="E41" s="9">
        <v>8.68</v>
      </c>
      <c r="F41" s="9">
        <v>7</v>
      </c>
      <c r="G41" s="10">
        <f t="shared" si="3"/>
        <v>10.08</v>
      </c>
      <c r="H41" s="11"/>
      <c r="I41" s="9">
        <v>7</v>
      </c>
      <c r="J41" s="9">
        <v>7.54</v>
      </c>
      <c r="K41" s="9">
        <v>7</v>
      </c>
      <c r="L41" s="10">
        <f t="shared" si="4"/>
        <v>8.94</v>
      </c>
      <c r="M41" s="12">
        <f t="shared" si="5"/>
        <v>19.02</v>
      </c>
      <c r="N41" s="11">
        <v>2.1</v>
      </c>
    </row>
    <row r="42" spans="1:14" ht="30" customHeight="1" x14ac:dyDescent="0.2">
      <c r="A42" s="7">
        <v>41</v>
      </c>
      <c r="B42" s="7">
        <v>58</v>
      </c>
      <c r="C42" s="8" t="s">
        <v>112</v>
      </c>
      <c r="D42" s="9">
        <v>7</v>
      </c>
      <c r="E42" s="9">
        <v>7.64</v>
      </c>
      <c r="F42" s="9">
        <v>7</v>
      </c>
      <c r="G42" s="10">
        <f t="shared" si="3"/>
        <v>9.0399999999999991</v>
      </c>
      <c r="H42" s="11"/>
      <c r="I42" s="9">
        <v>7</v>
      </c>
      <c r="J42" s="9">
        <v>8.24</v>
      </c>
      <c r="K42" s="9">
        <v>7</v>
      </c>
      <c r="L42" s="10">
        <f t="shared" si="4"/>
        <v>9.64</v>
      </c>
      <c r="M42" s="12">
        <f t="shared" si="5"/>
        <v>18.68</v>
      </c>
      <c r="N42" s="11">
        <v>2.52</v>
      </c>
    </row>
    <row r="43" spans="1:14" ht="30" customHeight="1" x14ac:dyDescent="0.2">
      <c r="A43" s="7">
        <v>42</v>
      </c>
      <c r="B43" s="7">
        <v>51</v>
      </c>
      <c r="C43" s="8" t="s">
        <v>46</v>
      </c>
      <c r="D43" s="9">
        <v>7</v>
      </c>
      <c r="E43" s="9">
        <v>7.82</v>
      </c>
      <c r="F43" s="9">
        <v>7</v>
      </c>
      <c r="G43" s="10">
        <f t="shared" si="3"/>
        <v>9.2200000000000006</v>
      </c>
      <c r="H43" s="11"/>
      <c r="I43" s="9">
        <v>7</v>
      </c>
      <c r="J43" s="9">
        <v>8.06</v>
      </c>
      <c r="K43" s="9">
        <v>7</v>
      </c>
      <c r="L43" s="10">
        <f t="shared" si="4"/>
        <v>9.4600000000000009</v>
      </c>
      <c r="M43" s="12">
        <f t="shared" si="5"/>
        <v>18.68</v>
      </c>
      <c r="N43" s="11">
        <v>2.2999999999999998</v>
      </c>
    </row>
    <row r="44" spans="1:14" ht="30" customHeight="1" x14ac:dyDescent="0.2">
      <c r="A44" s="7">
        <v>43</v>
      </c>
      <c r="B44" s="7">
        <v>30</v>
      </c>
      <c r="C44" s="8" t="s">
        <v>32</v>
      </c>
      <c r="D44" s="9">
        <v>3</v>
      </c>
      <c r="E44" s="9">
        <v>6.22</v>
      </c>
      <c r="F44" s="9">
        <v>3</v>
      </c>
      <c r="G44" s="10">
        <f t="shared" si="3"/>
        <v>6.82</v>
      </c>
      <c r="H44" s="11">
        <v>2.56</v>
      </c>
      <c r="I44" s="9">
        <v>7</v>
      </c>
      <c r="J44" s="9">
        <v>10.24</v>
      </c>
      <c r="K44" s="9">
        <v>7</v>
      </c>
      <c r="L44" s="10">
        <f t="shared" si="4"/>
        <v>11.64</v>
      </c>
      <c r="M44" s="12">
        <f t="shared" si="5"/>
        <v>18.46</v>
      </c>
      <c r="N44" s="11">
        <v>4.12</v>
      </c>
    </row>
    <row r="45" spans="1:14" ht="30" customHeight="1" x14ac:dyDescent="0.2">
      <c r="A45" s="7">
        <v>44</v>
      </c>
      <c r="B45" s="7">
        <v>64</v>
      </c>
      <c r="C45" s="8" t="s">
        <v>115</v>
      </c>
      <c r="D45" s="9">
        <v>4</v>
      </c>
      <c r="E45" s="9">
        <v>7.42</v>
      </c>
      <c r="F45" s="9">
        <v>4</v>
      </c>
      <c r="G45" s="10">
        <f t="shared" si="3"/>
        <v>8.2200000000000006</v>
      </c>
      <c r="H45" s="11">
        <v>3.04</v>
      </c>
      <c r="I45" s="9">
        <v>7</v>
      </c>
      <c r="J45" s="9">
        <v>8.84</v>
      </c>
      <c r="K45" s="9">
        <v>7</v>
      </c>
      <c r="L45" s="10">
        <f t="shared" si="4"/>
        <v>10.24</v>
      </c>
      <c r="M45" s="12">
        <f t="shared" si="5"/>
        <v>18.46</v>
      </c>
      <c r="N45" s="11">
        <v>2.64</v>
      </c>
    </row>
    <row r="46" spans="1:14" ht="30" customHeight="1" x14ac:dyDescent="0.2">
      <c r="A46" s="7">
        <v>45</v>
      </c>
      <c r="B46" s="7">
        <v>16</v>
      </c>
      <c r="C46" s="8" t="s">
        <v>63</v>
      </c>
      <c r="D46" s="9">
        <v>7</v>
      </c>
      <c r="E46" s="9">
        <v>7.38</v>
      </c>
      <c r="F46" s="9">
        <v>7</v>
      </c>
      <c r="G46" s="10">
        <f t="shared" si="3"/>
        <v>8.7799999999999994</v>
      </c>
      <c r="H46" s="11"/>
      <c r="I46" s="9">
        <v>7</v>
      </c>
      <c r="J46" s="9">
        <v>8.2799999999999994</v>
      </c>
      <c r="K46" s="9">
        <v>7</v>
      </c>
      <c r="L46" s="10">
        <f t="shared" si="4"/>
        <v>9.68</v>
      </c>
      <c r="M46" s="12">
        <f t="shared" si="5"/>
        <v>18.46</v>
      </c>
      <c r="N46" s="11">
        <v>1.98</v>
      </c>
    </row>
    <row r="47" spans="1:14" ht="30" customHeight="1" x14ac:dyDescent="0.2">
      <c r="A47" s="7">
        <v>46</v>
      </c>
      <c r="B47" s="7">
        <v>31</v>
      </c>
      <c r="C47" s="8" t="s">
        <v>108</v>
      </c>
      <c r="D47" s="9">
        <v>6</v>
      </c>
      <c r="E47" s="9">
        <v>6.48</v>
      </c>
      <c r="F47" s="9">
        <v>6</v>
      </c>
      <c r="G47" s="10">
        <f t="shared" si="3"/>
        <v>7.6800000000000006</v>
      </c>
      <c r="H47" s="11"/>
      <c r="I47" s="9">
        <v>7</v>
      </c>
      <c r="J47" s="9">
        <v>9.26</v>
      </c>
      <c r="K47" s="9">
        <v>7</v>
      </c>
      <c r="L47" s="10">
        <f t="shared" si="4"/>
        <v>10.66</v>
      </c>
      <c r="M47" s="12">
        <f t="shared" si="5"/>
        <v>18.34</v>
      </c>
      <c r="N47" s="11">
        <v>2.14</v>
      </c>
    </row>
    <row r="48" spans="1:14" ht="30" customHeight="1" x14ac:dyDescent="0.2">
      <c r="A48" s="7">
        <v>47</v>
      </c>
      <c r="B48" s="7">
        <v>22</v>
      </c>
      <c r="C48" s="8" t="s">
        <v>49</v>
      </c>
      <c r="D48" s="9">
        <v>7</v>
      </c>
      <c r="E48" s="9">
        <v>7.68</v>
      </c>
      <c r="F48" s="9">
        <v>7</v>
      </c>
      <c r="G48" s="10">
        <f t="shared" si="3"/>
        <v>9.08</v>
      </c>
      <c r="H48" s="11"/>
      <c r="I48" s="9">
        <v>7</v>
      </c>
      <c r="J48" s="9">
        <v>7.86</v>
      </c>
      <c r="K48" s="9">
        <v>7</v>
      </c>
      <c r="L48" s="10">
        <f t="shared" si="4"/>
        <v>9.26</v>
      </c>
      <c r="M48" s="12">
        <f t="shared" si="5"/>
        <v>18.34</v>
      </c>
      <c r="N48" s="11">
        <v>2.04</v>
      </c>
    </row>
    <row r="49" spans="1:14" ht="30" customHeight="1" x14ac:dyDescent="0.2">
      <c r="A49" s="7">
        <v>48</v>
      </c>
      <c r="B49" s="7">
        <v>10</v>
      </c>
      <c r="C49" s="8" t="s">
        <v>96</v>
      </c>
      <c r="D49" s="9">
        <v>7</v>
      </c>
      <c r="E49" s="9">
        <v>7.98</v>
      </c>
      <c r="F49" s="9">
        <v>7</v>
      </c>
      <c r="G49" s="10">
        <f t="shared" si="3"/>
        <v>9.3800000000000008</v>
      </c>
      <c r="H49" s="11"/>
      <c r="I49" s="9">
        <v>6</v>
      </c>
      <c r="J49" s="9">
        <v>7.64</v>
      </c>
      <c r="K49" s="9">
        <v>6</v>
      </c>
      <c r="L49" s="10">
        <f t="shared" si="4"/>
        <v>8.84</v>
      </c>
      <c r="M49" s="12">
        <f t="shared" si="5"/>
        <v>18.22</v>
      </c>
      <c r="N49" s="11">
        <v>2.08</v>
      </c>
    </row>
    <row r="50" spans="1:14" ht="30" customHeight="1" x14ac:dyDescent="0.2">
      <c r="A50" s="7">
        <v>49</v>
      </c>
      <c r="B50" s="7">
        <v>19</v>
      </c>
      <c r="C50" s="8" t="s">
        <v>53</v>
      </c>
      <c r="D50" s="9">
        <v>7</v>
      </c>
      <c r="E50" s="9">
        <v>6.88</v>
      </c>
      <c r="F50" s="9">
        <v>7</v>
      </c>
      <c r="G50" s="10">
        <f t="shared" si="3"/>
        <v>8.2799999999999994</v>
      </c>
      <c r="H50" s="11">
        <v>2.52</v>
      </c>
      <c r="I50" s="9">
        <v>7</v>
      </c>
      <c r="J50" s="9">
        <v>8.48</v>
      </c>
      <c r="K50" s="9">
        <v>7</v>
      </c>
      <c r="L50" s="10">
        <f t="shared" si="4"/>
        <v>9.8800000000000008</v>
      </c>
      <c r="M50" s="12">
        <f t="shared" si="5"/>
        <v>18.16</v>
      </c>
      <c r="N50" s="11">
        <v>2.2000000000000002</v>
      </c>
    </row>
    <row r="51" spans="1:14" ht="30" customHeight="1" x14ac:dyDescent="0.2">
      <c r="A51" s="7">
        <v>50</v>
      </c>
      <c r="B51" s="7">
        <v>37</v>
      </c>
      <c r="C51" s="8" t="s">
        <v>102</v>
      </c>
      <c r="D51" s="9">
        <v>7</v>
      </c>
      <c r="E51" s="9">
        <v>9.24</v>
      </c>
      <c r="F51" s="9">
        <v>7</v>
      </c>
      <c r="G51" s="10">
        <f t="shared" si="3"/>
        <v>10.64</v>
      </c>
      <c r="H51" s="11"/>
      <c r="I51" s="9">
        <v>6</v>
      </c>
      <c r="J51" s="9">
        <v>6.12</v>
      </c>
      <c r="K51" s="9">
        <v>6</v>
      </c>
      <c r="L51" s="10">
        <f t="shared" si="4"/>
        <v>7.32</v>
      </c>
      <c r="M51" s="12">
        <f t="shared" si="5"/>
        <v>17.96</v>
      </c>
      <c r="N51" s="11">
        <v>2.64</v>
      </c>
    </row>
    <row r="52" spans="1:14" ht="30" customHeight="1" x14ac:dyDescent="0.2">
      <c r="A52" s="7">
        <v>51</v>
      </c>
      <c r="B52" s="7">
        <v>36</v>
      </c>
      <c r="C52" s="8" t="s">
        <v>120</v>
      </c>
      <c r="D52" s="9">
        <v>5</v>
      </c>
      <c r="E52" s="9">
        <v>6.18</v>
      </c>
      <c r="F52" s="9">
        <v>5</v>
      </c>
      <c r="G52" s="10">
        <f t="shared" si="3"/>
        <v>7.18</v>
      </c>
      <c r="H52" s="11">
        <v>3.08</v>
      </c>
      <c r="I52" s="9">
        <v>7</v>
      </c>
      <c r="J52" s="9">
        <v>9.0399999999999991</v>
      </c>
      <c r="K52" s="9">
        <v>7</v>
      </c>
      <c r="L52" s="10">
        <f t="shared" si="4"/>
        <v>10.44</v>
      </c>
      <c r="M52" s="12">
        <f t="shared" si="5"/>
        <v>17.619999999999997</v>
      </c>
      <c r="N52" s="11">
        <v>2.44</v>
      </c>
    </row>
    <row r="53" spans="1:14" ht="30" customHeight="1" x14ac:dyDescent="0.2">
      <c r="A53" s="7">
        <v>52</v>
      </c>
      <c r="B53" s="7">
        <v>7</v>
      </c>
      <c r="C53" s="8" t="s">
        <v>105</v>
      </c>
      <c r="D53" s="9">
        <v>7</v>
      </c>
      <c r="E53" s="9">
        <v>7.38</v>
      </c>
      <c r="F53" s="9">
        <v>7</v>
      </c>
      <c r="G53" s="10">
        <f t="shared" si="3"/>
        <v>8.7799999999999994</v>
      </c>
      <c r="H53" s="11"/>
      <c r="I53" s="9">
        <v>7</v>
      </c>
      <c r="J53" s="9">
        <v>7.42</v>
      </c>
      <c r="K53" s="9">
        <v>7</v>
      </c>
      <c r="L53" s="10">
        <f t="shared" si="4"/>
        <v>8.82</v>
      </c>
      <c r="M53" s="12">
        <f t="shared" si="5"/>
        <v>17.600000000000001</v>
      </c>
      <c r="N53" s="11">
        <v>3.38</v>
      </c>
    </row>
    <row r="54" spans="1:14" ht="30" customHeight="1" x14ac:dyDescent="0.2">
      <c r="A54" s="7">
        <v>53</v>
      </c>
      <c r="B54" s="7">
        <v>42</v>
      </c>
      <c r="C54" s="8" t="s">
        <v>44</v>
      </c>
      <c r="D54" s="9">
        <v>7</v>
      </c>
      <c r="E54" s="9">
        <v>6.28</v>
      </c>
      <c r="F54" s="9">
        <v>7</v>
      </c>
      <c r="G54" s="10">
        <f t="shared" si="3"/>
        <v>7.6800000000000006</v>
      </c>
      <c r="H54" s="11"/>
      <c r="I54" s="9">
        <v>7</v>
      </c>
      <c r="J54" s="9">
        <v>8.26</v>
      </c>
      <c r="K54" s="9">
        <v>7</v>
      </c>
      <c r="L54" s="10">
        <f t="shared" si="4"/>
        <v>9.66</v>
      </c>
      <c r="M54" s="12">
        <f t="shared" si="5"/>
        <v>17.34</v>
      </c>
      <c r="N54" s="11"/>
    </row>
    <row r="55" spans="1:14" ht="30" customHeight="1" x14ac:dyDescent="0.2">
      <c r="A55" s="7">
        <v>54</v>
      </c>
      <c r="B55" s="7">
        <v>17</v>
      </c>
      <c r="C55" s="8" t="s">
        <v>107</v>
      </c>
      <c r="D55" s="9">
        <v>7</v>
      </c>
      <c r="E55" s="9">
        <v>7.18</v>
      </c>
      <c r="F55" s="9">
        <v>7</v>
      </c>
      <c r="G55" s="10">
        <f t="shared" si="3"/>
        <v>8.58</v>
      </c>
      <c r="H55" s="11"/>
      <c r="I55" s="9">
        <v>7</v>
      </c>
      <c r="J55" s="9">
        <v>7.24</v>
      </c>
      <c r="K55" s="9">
        <v>7</v>
      </c>
      <c r="L55" s="10">
        <f t="shared" si="4"/>
        <v>8.64</v>
      </c>
      <c r="M55" s="12">
        <f t="shared" si="5"/>
        <v>17.22</v>
      </c>
      <c r="N55" s="11">
        <v>1.96</v>
      </c>
    </row>
    <row r="56" spans="1:14" ht="30" customHeight="1" x14ac:dyDescent="0.2">
      <c r="A56" s="7">
        <v>55</v>
      </c>
      <c r="B56" s="7">
        <v>62</v>
      </c>
      <c r="C56" s="8" t="s">
        <v>114</v>
      </c>
      <c r="D56" s="9">
        <v>7</v>
      </c>
      <c r="E56" s="9">
        <v>7.54</v>
      </c>
      <c r="F56" s="9">
        <v>0</v>
      </c>
      <c r="G56" s="10">
        <f t="shared" si="3"/>
        <v>7.54</v>
      </c>
      <c r="H56" s="11">
        <v>2.68</v>
      </c>
      <c r="I56" s="9">
        <v>7</v>
      </c>
      <c r="J56" s="9">
        <v>8.06</v>
      </c>
      <c r="K56" s="9"/>
      <c r="L56" s="10">
        <f t="shared" si="4"/>
        <v>8.06</v>
      </c>
      <c r="M56" s="12">
        <f t="shared" si="5"/>
        <v>15.600000000000001</v>
      </c>
      <c r="N56" s="11">
        <v>2.1</v>
      </c>
    </row>
    <row r="57" spans="1:14" ht="30" customHeight="1" x14ac:dyDescent="0.2">
      <c r="A57" s="7">
        <v>56</v>
      </c>
      <c r="B57" s="7">
        <v>59</v>
      </c>
      <c r="C57" s="8" t="s">
        <v>72</v>
      </c>
      <c r="D57" s="9">
        <v>7</v>
      </c>
      <c r="E57" s="9">
        <v>8.18</v>
      </c>
      <c r="F57" s="9">
        <v>7</v>
      </c>
      <c r="G57" s="10">
        <f t="shared" si="3"/>
        <v>9.58</v>
      </c>
      <c r="H57" s="11"/>
      <c r="I57" s="9">
        <v>5</v>
      </c>
      <c r="J57" s="9">
        <v>4.8600000000000003</v>
      </c>
      <c r="K57" s="9">
        <v>5</v>
      </c>
      <c r="L57" s="10">
        <f t="shared" si="4"/>
        <v>5.86</v>
      </c>
      <c r="M57" s="12">
        <f t="shared" si="5"/>
        <v>15.440000000000001</v>
      </c>
      <c r="N57" s="11"/>
    </row>
    <row r="58" spans="1:14" ht="30" customHeight="1" x14ac:dyDescent="0.2">
      <c r="A58" s="7">
        <v>57</v>
      </c>
      <c r="B58" s="7">
        <v>55</v>
      </c>
      <c r="C58" s="8" t="s">
        <v>48</v>
      </c>
      <c r="D58" s="9">
        <v>7</v>
      </c>
      <c r="E58" s="9">
        <v>5.12</v>
      </c>
      <c r="F58" s="9">
        <v>6</v>
      </c>
      <c r="G58" s="10">
        <f t="shared" si="3"/>
        <v>6.32</v>
      </c>
      <c r="H58" s="11"/>
      <c r="I58" s="9">
        <v>7</v>
      </c>
      <c r="J58" s="9">
        <v>8.44</v>
      </c>
      <c r="K58" s="9"/>
      <c r="L58" s="10">
        <f t="shared" si="4"/>
        <v>8.44</v>
      </c>
      <c r="M58" s="12">
        <f t="shared" si="5"/>
        <v>14.76</v>
      </c>
      <c r="N58" s="11"/>
    </row>
    <row r="59" spans="1:14" ht="30" customHeight="1" x14ac:dyDescent="0.2">
      <c r="A59" s="7">
        <v>58</v>
      </c>
      <c r="B59" s="7">
        <v>12</v>
      </c>
      <c r="C59" s="8" t="s">
        <v>62</v>
      </c>
      <c r="D59" s="9">
        <v>6</v>
      </c>
      <c r="E59" s="9">
        <v>4.58</v>
      </c>
      <c r="F59" s="9">
        <v>6</v>
      </c>
      <c r="G59" s="10">
        <f t="shared" si="3"/>
        <v>5.78</v>
      </c>
      <c r="H59" s="11"/>
      <c r="I59" s="9">
        <v>7</v>
      </c>
      <c r="J59" s="9">
        <v>7.52</v>
      </c>
      <c r="K59" s="9">
        <v>7</v>
      </c>
      <c r="L59" s="10">
        <f t="shared" si="4"/>
        <v>8.92</v>
      </c>
      <c r="M59" s="12">
        <f t="shared" si="5"/>
        <v>14.7</v>
      </c>
      <c r="N59" s="11">
        <v>2.92</v>
      </c>
    </row>
    <row r="60" spans="1:14" ht="30" customHeight="1" x14ac:dyDescent="0.2">
      <c r="A60" s="7">
        <v>59</v>
      </c>
      <c r="B60" s="7">
        <v>14</v>
      </c>
      <c r="C60" s="8" t="s">
        <v>98</v>
      </c>
      <c r="D60" s="9">
        <v>7</v>
      </c>
      <c r="E60" s="9">
        <v>7.96</v>
      </c>
      <c r="F60" s="9"/>
      <c r="G60" s="10">
        <f t="shared" si="3"/>
        <v>7.96</v>
      </c>
      <c r="H60" s="11">
        <v>3.52</v>
      </c>
      <c r="I60" s="9">
        <v>6</v>
      </c>
      <c r="J60" s="9">
        <v>5.34</v>
      </c>
      <c r="K60" s="9"/>
      <c r="L60" s="10">
        <f t="shared" si="4"/>
        <v>5.34</v>
      </c>
      <c r="M60" s="12">
        <f t="shared" si="5"/>
        <v>13.3</v>
      </c>
      <c r="N60" s="11"/>
    </row>
    <row r="61" spans="1:14" ht="30" customHeight="1" x14ac:dyDescent="0.2">
      <c r="A61" s="7">
        <v>60</v>
      </c>
      <c r="B61" s="7">
        <v>4</v>
      </c>
      <c r="C61" s="8" t="s">
        <v>97</v>
      </c>
      <c r="D61" s="9">
        <v>5</v>
      </c>
      <c r="E61" s="9">
        <v>6.08</v>
      </c>
      <c r="F61" s="9">
        <v>5</v>
      </c>
      <c r="G61" s="10">
        <f t="shared" si="3"/>
        <v>7.08</v>
      </c>
      <c r="H61" s="11">
        <v>2.6</v>
      </c>
      <c r="I61" s="9">
        <v>7</v>
      </c>
      <c r="J61" s="9">
        <v>4.6399999999999997</v>
      </c>
      <c r="K61" s="9">
        <v>7</v>
      </c>
      <c r="L61" s="10">
        <f t="shared" si="4"/>
        <v>6.04</v>
      </c>
      <c r="M61" s="12">
        <f t="shared" si="5"/>
        <v>13.120000000000001</v>
      </c>
      <c r="N61" s="11"/>
    </row>
    <row r="62" spans="1:14" ht="30" customHeight="1" x14ac:dyDescent="0.2">
      <c r="A62" s="7">
        <v>61</v>
      </c>
      <c r="B62" s="7">
        <v>13</v>
      </c>
      <c r="C62" s="8" t="s">
        <v>110</v>
      </c>
      <c r="D62" s="9">
        <v>3</v>
      </c>
      <c r="E62" s="9">
        <v>5.96</v>
      </c>
      <c r="F62" s="9">
        <v>3</v>
      </c>
      <c r="G62" s="10">
        <f t="shared" si="3"/>
        <v>6.5600000000000005</v>
      </c>
      <c r="H62" s="11">
        <v>2.4</v>
      </c>
      <c r="I62" s="9">
        <v>4</v>
      </c>
      <c r="J62" s="9">
        <v>5.48</v>
      </c>
      <c r="K62" s="9">
        <v>4</v>
      </c>
      <c r="L62" s="10">
        <f t="shared" si="4"/>
        <v>6.28</v>
      </c>
      <c r="M62" s="12">
        <f t="shared" si="5"/>
        <v>12.84</v>
      </c>
      <c r="N62" s="11">
        <v>2.1</v>
      </c>
    </row>
    <row r="63" spans="1:14" ht="30" customHeight="1" x14ac:dyDescent="0.2">
      <c r="A63" s="7">
        <v>62</v>
      </c>
      <c r="B63" s="7">
        <v>61</v>
      </c>
      <c r="C63" s="8" t="s">
        <v>113</v>
      </c>
      <c r="D63" s="9">
        <v>7</v>
      </c>
      <c r="E63" s="9">
        <v>4.78</v>
      </c>
      <c r="F63" s="9">
        <v>7</v>
      </c>
      <c r="G63" s="10">
        <f t="shared" si="3"/>
        <v>6.1800000000000006</v>
      </c>
      <c r="H63" s="11"/>
      <c r="I63" s="9">
        <v>6</v>
      </c>
      <c r="J63" s="9">
        <v>4.82</v>
      </c>
      <c r="K63" s="9">
        <v>5</v>
      </c>
      <c r="L63" s="10">
        <f t="shared" si="4"/>
        <v>5.82</v>
      </c>
      <c r="M63" s="12">
        <f t="shared" si="5"/>
        <v>12</v>
      </c>
      <c r="N63" s="11"/>
    </row>
    <row r="64" spans="1:14" ht="30" customHeight="1" x14ac:dyDescent="0.2">
      <c r="A64" s="7">
        <v>63</v>
      </c>
      <c r="B64" s="7">
        <v>9</v>
      </c>
      <c r="C64" s="8" t="s">
        <v>41</v>
      </c>
      <c r="D64" s="9"/>
      <c r="E64" s="9"/>
      <c r="F64" s="9"/>
      <c r="G64" s="10">
        <f t="shared" si="3"/>
        <v>0</v>
      </c>
      <c r="H64" s="11"/>
      <c r="I64" s="9">
        <v>7</v>
      </c>
      <c r="J64" s="9">
        <v>5.92</v>
      </c>
      <c r="K64" s="9">
        <v>7</v>
      </c>
      <c r="L64" s="10">
        <f t="shared" si="4"/>
        <v>7.32</v>
      </c>
      <c r="M64" s="12">
        <f t="shared" si="5"/>
        <v>7.32</v>
      </c>
      <c r="N64" s="11"/>
    </row>
    <row r="65" spans="1:14" ht="30" customHeight="1" x14ac:dyDescent="0.2">
      <c r="A65" s="7">
        <v>64</v>
      </c>
      <c r="B65" s="7">
        <v>39</v>
      </c>
      <c r="C65" s="8" t="s">
        <v>69</v>
      </c>
      <c r="D65" s="9">
        <v>5</v>
      </c>
      <c r="E65" s="9">
        <v>3.78</v>
      </c>
      <c r="F65" s="9">
        <v>5</v>
      </c>
      <c r="G65" s="10">
        <f t="shared" si="3"/>
        <v>4.7799999999999994</v>
      </c>
      <c r="H65" s="11">
        <v>0.86</v>
      </c>
      <c r="I65" s="9">
        <v>1</v>
      </c>
      <c r="J65" s="9">
        <v>2.1</v>
      </c>
      <c r="K65" s="9">
        <v>1</v>
      </c>
      <c r="L65" s="10">
        <f t="shared" si="4"/>
        <v>2.3000000000000003</v>
      </c>
      <c r="M65" s="12">
        <f t="shared" si="5"/>
        <v>7.08</v>
      </c>
      <c r="N65" s="11"/>
    </row>
    <row r="66" spans="1:14" ht="30" customHeight="1" x14ac:dyDescent="0.2">
      <c r="A66" s="7">
        <v>65</v>
      </c>
      <c r="B66" s="7">
        <v>6</v>
      </c>
      <c r="C66" s="8" t="s">
        <v>52</v>
      </c>
      <c r="D66" s="9">
        <v>5</v>
      </c>
      <c r="E66" s="9">
        <v>5.44</v>
      </c>
      <c r="F66" s="9">
        <v>5</v>
      </c>
      <c r="G66" s="10">
        <f t="shared" ref="G66:G68" si="6">E66+F66*0.2</f>
        <v>6.44</v>
      </c>
      <c r="H66" s="11"/>
      <c r="I66" s="9"/>
      <c r="J66" s="9"/>
      <c r="K66" s="9"/>
      <c r="L66" s="10">
        <f t="shared" ref="L66:L68" si="7">J66+K66*0.2</f>
        <v>0</v>
      </c>
      <c r="M66" s="12">
        <f t="shared" ref="M66:M68" si="8">L66+G66</f>
        <v>6.44</v>
      </c>
      <c r="N66" s="11"/>
    </row>
    <row r="67" spans="1:14" ht="26.45" customHeight="1" x14ac:dyDescent="0.2">
      <c r="A67" s="7">
        <v>66</v>
      </c>
      <c r="B67" s="7">
        <v>56</v>
      </c>
      <c r="C67" s="8" t="s">
        <v>73</v>
      </c>
      <c r="G67" s="10">
        <f t="shared" si="6"/>
        <v>0</v>
      </c>
      <c r="H67" s="11"/>
      <c r="L67" s="10">
        <f t="shared" si="7"/>
        <v>0</v>
      </c>
      <c r="M67" s="12">
        <f t="shared" si="8"/>
        <v>0</v>
      </c>
      <c r="N67" s="11"/>
    </row>
    <row r="68" spans="1:14" ht="23.25" customHeight="1" x14ac:dyDescent="0.2">
      <c r="A68" s="7">
        <v>2</v>
      </c>
      <c r="B68" s="7"/>
      <c r="C68" s="8"/>
      <c r="D68" s="9"/>
      <c r="E68" s="9"/>
      <c r="F68" s="9"/>
      <c r="G68" s="10">
        <f t="shared" si="6"/>
        <v>0</v>
      </c>
      <c r="H68" s="13"/>
      <c r="I68" s="9"/>
      <c r="J68" s="9"/>
      <c r="K68" s="9"/>
      <c r="L68" s="10">
        <f t="shared" si="7"/>
        <v>0</v>
      </c>
      <c r="M68" s="12">
        <f t="shared" si="8"/>
        <v>0</v>
      </c>
      <c r="N68" s="11"/>
    </row>
    <row r="69" spans="1:14" ht="23.25" customHeight="1" x14ac:dyDescent="0.2">
      <c r="A69" s="7">
        <v>2</v>
      </c>
      <c r="C69" s="8"/>
    </row>
    <row r="70" spans="1:14" ht="23.25" customHeight="1" x14ac:dyDescent="0.2">
      <c r="C70" s="8"/>
    </row>
    <row r="71" spans="1:14" ht="23.25" customHeight="1" x14ac:dyDescent="0.2">
      <c r="C71" s="8"/>
    </row>
    <row r="72" spans="1:14" ht="23.25" customHeight="1" x14ac:dyDescent="0.2">
      <c r="C72" s="8"/>
    </row>
    <row r="73" spans="1:14" ht="23.25" customHeight="1" x14ac:dyDescent="0.2">
      <c r="C73" s="8"/>
    </row>
    <row r="74" spans="1:14" ht="23.25" customHeight="1" x14ac:dyDescent="0.2">
      <c r="C74" s="8"/>
    </row>
    <row r="75" spans="1:14" ht="23.25" customHeight="1" x14ac:dyDescent="0.2">
      <c r="C75" s="8"/>
    </row>
    <row r="76" spans="1:14" ht="23.25" customHeight="1" x14ac:dyDescent="0.2">
      <c r="C76" s="8"/>
    </row>
    <row r="77" spans="1:14" ht="23.25" customHeight="1" x14ac:dyDescent="0.2">
      <c r="C77" s="8"/>
    </row>
    <row r="78" spans="1:14" ht="23.25" customHeight="1" x14ac:dyDescent="0.2">
      <c r="C78" s="8"/>
    </row>
    <row r="79" spans="1:14" ht="23.25" customHeight="1" x14ac:dyDescent="0.2">
      <c r="C79" s="8"/>
    </row>
    <row r="80" spans="1:14" ht="23.25" customHeight="1" x14ac:dyDescent="0.2">
      <c r="C80" s="8"/>
    </row>
  </sheetData>
  <autoFilter ref="B1:B66" xr:uid="{00000000-0009-0000-0000-000008000000}">
    <sortState xmlns:xlrd2="http://schemas.microsoft.com/office/spreadsheetml/2017/richdata2" ref="A2:N68">
      <sortCondition ref="B1:B66"/>
    </sortState>
  </autoFilter>
  <sortState xmlns:xlrd2="http://schemas.microsoft.com/office/spreadsheetml/2017/richdata2" ref="A2:N80">
    <sortCondition descending="1" ref="M2:M80"/>
  </sortState>
  <phoneticPr fontId="0" type="noConversion"/>
  <printOptions horizontalCentered="1" headings="1" gridLines="1"/>
  <pageMargins left="0" right="0" top="1" bottom="0" header="0.5" footer="0.5"/>
  <pageSetup scale="64" fitToHeight="2" orientation="portrait" r:id="rId1"/>
  <headerFooter alignWithMargins="0">
    <oddHeader>&amp;CHIGH PLAINS ANGLARS FISHING DERBY 2016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6D6AC-7756-4944-88ED-037FAC9BAE8D}">
  <sheetPr codeName="Sheet2"/>
  <dimension ref="A1"/>
  <sheetViews>
    <sheetView workbookViewId="0">
      <selection activeCell="T40" sqref="T4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H111"/>
  <sheetViews>
    <sheetView workbookViewId="0">
      <selection activeCell="I33" sqref="I33"/>
    </sheetView>
  </sheetViews>
  <sheetFormatPr defaultRowHeight="12.75" x14ac:dyDescent="0.2"/>
  <cols>
    <col min="1" max="1" width="11.7109375" style="18" customWidth="1"/>
    <col min="4" max="4" width="14" customWidth="1"/>
    <col min="6" max="6" width="19" customWidth="1"/>
  </cols>
  <sheetData>
    <row r="1" spans="1:8" x14ac:dyDescent="0.2">
      <c r="A1" s="18">
        <v>1</v>
      </c>
      <c r="B1" t="s">
        <v>74</v>
      </c>
      <c r="C1" s="4">
        <f>'2016'!L3+'2016'!L51+'2016'!L53</f>
        <v>30.060000000000002</v>
      </c>
    </row>
    <row r="2" spans="1:8" x14ac:dyDescent="0.2">
      <c r="A2" s="18">
        <v>2</v>
      </c>
      <c r="B2" t="s">
        <v>75</v>
      </c>
      <c r="C2">
        <f>'2016'!L25+'2016'!L32+'2016'!L37</f>
        <v>30.58</v>
      </c>
    </row>
    <row r="3" spans="1:8" x14ac:dyDescent="0.2">
      <c r="A3" s="18">
        <v>3</v>
      </c>
      <c r="B3" t="s">
        <v>76</v>
      </c>
      <c r="C3">
        <f>'2016'!L7+'2016'!L35+'2016'!L40</f>
        <v>29.54</v>
      </c>
      <c r="D3" s="4"/>
    </row>
    <row r="4" spans="1:8" x14ac:dyDescent="0.2">
      <c r="A4" s="18">
        <v>4</v>
      </c>
      <c r="B4" t="s">
        <v>77</v>
      </c>
      <c r="C4" s="4">
        <f>'2016'!L38+'2016'!L26+'2016'!L16</f>
        <v>32.340000000000003</v>
      </c>
    </row>
    <row r="5" spans="1:8" x14ac:dyDescent="0.2">
      <c r="A5" s="18">
        <v>5</v>
      </c>
      <c r="B5" t="s">
        <v>78</v>
      </c>
      <c r="C5" s="4">
        <f>'2016'!L8+'2016'!L22+'2016'!L36</f>
        <v>30.78</v>
      </c>
    </row>
    <row r="6" spans="1:8" x14ac:dyDescent="0.2">
      <c r="A6" s="18">
        <v>6</v>
      </c>
      <c r="B6" t="s">
        <v>79</v>
      </c>
      <c r="C6" s="15">
        <f>'2016'!L5+'2016'!L31+'2016'!L65</f>
        <v>25.02</v>
      </c>
    </row>
    <row r="7" spans="1:8" x14ac:dyDescent="0.2">
      <c r="A7" s="18">
        <v>7</v>
      </c>
      <c r="B7" s="16" t="s">
        <v>80</v>
      </c>
      <c r="C7" s="4">
        <f>'2016'!L11+'2016'!L39+'2016'!L54</f>
        <v>30.040000000000003</v>
      </c>
      <c r="H7" s="3"/>
    </row>
    <row r="8" spans="1:8" x14ac:dyDescent="0.2">
      <c r="A8" s="18">
        <v>8</v>
      </c>
      <c r="B8" t="s">
        <v>81</v>
      </c>
      <c r="C8" s="4">
        <f>'2016'!L57+'2016'!L44+'2016'!L21</f>
        <v>29.98</v>
      </c>
    </row>
    <row r="9" spans="1:8" x14ac:dyDescent="0.2">
      <c r="A9" s="18">
        <v>9</v>
      </c>
      <c r="B9" t="s">
        <v>82</v>
      </c>
      <c r="C9" s="4">
        <f>'2016'!L6+'2016'!L18+'2016'!L50</f>
        <v>31.92</v>
      </c>
      <c r="D9" s="4"/>
    </row>
    <row r="10" spans="1:8" x14ac:dyDescent="0.2">
      <c r="A10" s="18">
        <v>10</v>
      </c>
      <c r="B10" t="s">
        <v>83</v>
      </c>
      <c r="C10" s="15">
        <f>'2016'!L14+'2016'!L10+'2016'!L62</f>
        <v>29.020000000000003</v>
      </c>
    </row>
    <row r="11" spans="1:8" x14ac:dyDescent="0.2">
      <c r="A11" s="18">
        <v>11</v>
      </c>
      <c r="B11" t="s">
        <v>84</v>
      </c>
      <c r="C11" s="4">
        <f>'2016'!L48+'2016'!L29+'2016'!L19</f>
        <v>29.380000000000003</v>
      </c>
    </row>
    <row r="12" spans="1:8" x14ac:dyDescent="0.2">
      <c r="A12" s="18">
        <v>12</v>
      </c>
      <c r="B12" t="s">
        <v>85</v>
      </c>
      <c r="C12">
        <f>'2016'!L12+'2016'!L17+'2016'!L43</f>
        <v>32.299999999999997</v>
      </c>
    </row>
    <row r="13" spans="1:8" x14ac:dyDescent="0.2">
      <c r="A13" s="18">
        <v>13</v>
      </c>
      <c r="B13" t="s">
        <v>86</v>
      </c>
      <c r="C13" s="4">
        <f>'2016'!L2+'2016'!L28+'2016'!L66</f>
        <v>23.34</v>
      </c>
    </row>
    <row r="14" spans="1:8" x14ac:dyDescent="0.2">
      <c r="A14" s="18">
        <v>14</v>
      </c>
      <c r="B14" t="s">
        <v>87</v>
      </c>
      <c r="C14" s="4">
        <f>'2016'!L61+'2016'!L30+'2016'!L9</f>
        <v>29.18</v>
      </c>
      <c r="D14" s="4"/>
    </row>
    <row r="15" spans="1:8" x14ac:dyDescent="0.2">
      <c r="A15" s="18">
        <v>15</v>
      </c>
      <c r="B15" t="s">
        <v>88</v>
      </c>
      <c r="C15">
        <f>'2016'!L20+'2016'!L42+'2016'!L67</f>
        <v>19.380000000000003</v>
      </c>
    </row>
    <row r="16" spans="1:8" x14ac:dyDescent="0.2">
      <c r="A16" s="18">
        <v>16</v>
      </c>
      <c r="B16" t="s">
        <v>89</v>
      </c>
      <c r="C16" s="4">
        <f>'2016'!L63+'2016'!L55+'2016'!L23</f>
        <v>24.64</v>
      </c>
    </row>
    <row r="17" spans="1:5" x14ac:dyDescent="0.2">
      <c r="A17" s="18">
        <v>17</v>
      </c>
      <c r="B17" t="s">
        <v>90</v>
      </c>
      <c r="C17" s="4">
        <f>'2016'!L15+'2016'!L60+'2016'!L64</f>
        <v>23.08</v>
      </c>
      <c r="D17" s="4"/>
    </row>
    <row r="18" spans="1:5" x14ac:dyDescent="0.2">
      <c r="A18" s="18">
        <v>18</v>
      </c>
      <c r="B18" t="s">
        <v>91</v>
      </c>
      <c r="C18" s="15">
        <f>'2016'!L47+'2016'!L49+'2016'!L58</f>
        <v>27.939999999999998</v>
      </c>
    </row>
    <row r="19" spans="1:5" x14ac:dyDescent="0.2">
      <c r="A19" s="18">
        <v>19</v>
      </c>
      <c r="B19" t="s">
        <v>92</v>
      </c>
      <c r="C19" s="4">
        <f>'2016'!L27+'2016'!L33+'2016'!L45</f>
        <v>29.28</v>
      </c>
    </row>
    <row r="20" spans="1:5" x14ac:dyDescent="0.2">
      <c r="A20" s="18">
        <v>20</v>
      </c>
      <c r="B20" t="s">
        <v>93</v>
      </c>
      <c r="C20">
        <f>'2016'!L13+'2016'!L24+'2016'!L59</f>
        <v>31.46</v>
      </c>
    </row>
    <row r="21" spans="1:5" x14ac:dyDescent="0.2">
      <c r="A21" s="18">
        <v>21</v>
      </c>
      <c r="B21" t="s">
        <v>94</v>
      </c>
      <c r="C21" s="4">
        <f>'2016'!L56+'2016'!L41+'2016'!L34</f>
        <v>26.82</v>
      </c>
    </row>
    <row r="22" spans="1:5" x14ac:dyDescent="0.2">
      <c r="A22" s="18">
        <v>22</v>
      </c>
      <c r="B22" t="s">
        <v>95</v>
      </c>
      <c r="C22" s="4">
        <f>'2016'!L52+'2016'!L46+'2016'!L4</f>
        <v>31.5</v>
      </c>
      <c r="D22" s="4"/>
    </row>
    <row r="23" spans="1:5" x14ac:dyDescent="0.2">
      <c r="A23" s="17" t="s">
        <v>59</v>
      </c>
      <c r="B23" s="1" t="s">
        <v>27</v>
      </c>
      <c r="C23" s="1" t="s">
        <v>28</v>
      </c>
      <c r="D23" s="1" t="s">
        <v>57</v>
      </c>
      <c r="E23" s="1" t="s">
        <v>58</v>
      </c>
    </row>
    <row r="25" spans="1:5" x14ac:dyDescent="0.2">
      <c r="C25" s="5"/>
    </row>
    <row r="26" spans="1:5" x14ac:dyDescent="0.2">
      <c r="C26" s="4"/>
    </row>
    <row r="28" spans="1:5" x14ac:dyDescent="0.2">
      <c r="C28" s="4"/>
    </row>
    <row r="29" spans="1:5" x14ac:dyDescent="0.2">
      <c r="A29" s="1"/>
      <c r="C29" s="4"/>
      <c r="D29" s="4"/>
    </row>
    <row r="30" spans="1:5" x14ac:dyDescent="0.2">
      <c r="C30" s="4"/>
    </row>
    <row r="31" spans="1:5" x14ac:dyDescent="0.2">
      <c r="A31" s="1"/>
    </row>
    <row r="32" spans="1:5" x14ac:dyDescent="0.2">
      <c r="C32" s="4"/>
    </row>
    <row r="33" spans="1:4" x14ac:dyDescent="0.2">
      <c r="A33" s="1"/>
      <c r="C33" s="4"/>
      <c r="D33" s="4"/>
    </row>
    <row r="34" spans="1:4" x14ac:dyDescent="0.2">
      <c r="C34" s="5"/>
    </row>
    <row r="35" spans="1:4" x14ac:dyDescent="0.2">
      <c r="A35" s="1"/>
      <c r="C35" s="4"/>
    </row>
    <row r="37" spans="1:4" x14ac:dyDescent="0.2">
      <c r="A37" s="1"/>
      <c r="C37" s="4"/>
    </row>
    <row r="38" spans="1:4" x14ac:dyDescent="0.2">
      <c r="C38" s="4"/>
      <c r="D38" s="4"/>
    </row>
    <row r="39" spans="1:4" x14ac:dyDescent="0.2">
      <c r="A39" s="1"/>
      <c r="C39" s="5"/>
    </row>
    <row r="40" spans="1:4" x14ac:dyDescent="0.2">
      <c r="C40" s="4"/>
    </row>
    <row r="41" spans="1:4" x14ac:dyDescent="0.2">
      <c r="A41" s="1"/>
    </row>
    <row r="42" spans="1:4" x14ac:dyDescent="0.2">
      <c r="C42" s="4"/>
    </row>
    <row r="43" spans="1:4" x14ac:dyDescent="0.2">
      <c r="A43" s="1"/>
      <c r="C43" s="4"/>
      <c r="D43" s="4"/>
    </row>
    <row r="44" spans="1:4" x14ac:dyDescent="0.2">
      <c r="C44" s="5"/>
    </row>
    <row r="45" spans="1:4" x14ac:dyDescent="0.2">
      <c r="A45" s="1"/>
      <c r="C45" s="4"/>
    </row>
    <row r="47" spans="1:4" x14ac:dyDescent="0.2">
      <c r="C47" s="4"/>
    </row>
    <row r="48" spans="1:4" x14ac:dyDescent="0.2">
      <c r="C48" s="4"/>
      <c r="D48" s="4"/>
    </row>
    <row r="49" spans="3:4" x14ac:dyDescent="0.2">
      <c r="C49" s="5"/>
    </row>
    <row r="50" spans="3:4" x14ac:dyDescent="0.2">
      <c r="C50" s="4"/>
    </row>
    <row r="52" spans="3:4" x14ac:dyDescent="0.2">
      <c r="C52" s="4"/>
    </row>
    <row r="53" spans="3:4" x14ac:dyDescent="0.2">
      <c r="C53" s="4"/>
      <c r="D53" s="4"/>
    </row>
    <row r="54" spans="3:4" x14ac:dyDescent="0.2">
      <c r="C54" s="5"/>
    </row>
    <row r="55" spans="3:4" x14ac:dyDescent="0.2">
      <c r="C55" s="4"/>
    </row>
    <row r="57" spans="3:4" x14ac:dyDescent="0.2">
      <c r="C57" s="4"/>
    </row>
    <row r="58" spans="3:4" x14ac:dyDescent="0.2">
      <c r="C58" s="4"/>
      <c r="D58" s="4"/>
    </row>
    <row r="59" spans="3:4" x14ac:dyDescent="0.2">
      <c r="C59" s="5"/>
    </row>
    <row r="60" spans="3:4" x14ac:dyDescent="0.2">
      <c r="C60" s="4"/>
    </row>
    <row r="62" spans="3:4" x14ac:dyDescent="0.2">
      <c r="C62" s="4"/>
    </row>
    <row r="63" spans="3:4" x14ac:dyDescent="0.2">
      <c r="C63" s="4"/>
      <c r="D63" s="4"/>
    </row>
    <row r="64" spans="3:4" x14ac:dyDescent="0.2">
      <c r="C64" s="14"/>
    </row>
    <row r="65" spans="3:4" x14ac:dyDescent="0.2">
      <c r="C65" s="4"/>
    </row>
    <row r="67" spans="3:4" x14ac:dyDescent="0.2">
      <c r="C67" s="4"/>
    </row>
    <row r="68" spans="3:4" x14ac:dyDescent="0.2">
      <c r="C68" s="4"/>
      <c r="D68" s="4"/>
    </row>
    <row r="69" spans="3:4" x14ac:dyDescent="0.2">
      <c r="C69" s="5"/>
    </row>
    <row r="70" spans="3:4" x14ac:dyDescent="0.2">
      <c r="C70" s="4"/>
    </row>
    <row r="72" spans="3:4" x14ac:dyDescent="0.2">
      <c r="C72" s="4"/>
    </row>
    <row r="73" spans="3:4" x14ac:dyDescent="0.2">
      <c r="C73" s="4"/>
      <c r="D73" s="4"/>
    </row>
    <row r="74" spans="3:4" x14ac:dyDescent="0.2">
      <c r="C74" s="5"/>
    </row>
    <row r="75" spans="3:4" x14ac:dyDescent="0.2">
      <c r="C75" s="4"/>
    </row>
    <row r="77" spans="3:4" x14ac:dyDescent="0.2">
      <c r="C77" s="4"/>
    </row>
    <row r="78" spans="3:4" x14ac:dyDescent="0.2">
      <c r="C78" s="4"/>
      <c r="D78" s="4"/>
    </row>
    <row r="79" spans="3:4" x14ac:dyDescent="0.2">
      <c r="C79" s="5"/>
    </row>
    <row r="80" spans="3:4" x14ac:dyDescent="0.2">
      <c r="C80" s="4"/>
    </row>
    <row r="82" spans="3:4" x14ac:dyDescent="0.2">
      <c r="C82" s="4"/>
    </row>
    <row r="83" spans="3:4" x14ac:dyDescent="0.2">
      <c r="C83" s="4"/>
      <c r="D83" s="4"/>
    </row>
    <row r="84" spans="3:4" x14ac:dyDescent="0.2">
      <c r="C84" s="5"/>
    </row>
    <row r="85" spans="3:4" x14ac:dyDescent="0.2">
      <c r="C85" s="4"/>
    </row>
    <row r="87" spans="3:4" x14ac:dyDescent="0.2">
      <c r="C87" s="4"/>
    </row>
    <row r="88" spans="3:4" x14ac:dyDescent="0.2">
      <c r="C88" s="4"/>
      <c r="D88" s="4"/>
    </row>
    <row r="89" spans="3:4" x14ac:dyDescent="0.2">
      <c r="C89" s="5"/>
    </row>
    <row r="90" spans="3:4" x14ac:dyDescent="0.2">
      <c r="C90" s="4"/>
    </row>
    <row r="92" spans="3:4" x14ac:dyDescent="0.2">
      <c r="C92" s="4"/>
    </row>
    <row r="93" spans="3:4" x14ac:dyDescent="0.2">
      <c r="C93" s="4"/>
      <c r="D93" s="4"/>
    </row>
    <row r="94" spans="3:4" x14ac:dyDescent="0.2">
      <c r="C94" s="5"/>
    </row>
    <row r="95" spans="3:4" x14ac:dyDescent="0.2">
      <c r="C95" s="4"/>
    </row>
    <row r="97" spans="1:7" x14ac:dyDescent="0.2">
      <c r="C97" s="4"/>
    </row>
    <row r="98" spans="1:7" x14ac:dyDescent="0.2">
      <c r="C98" s="4"/>
      <c r="D98" s="4"/>
    </row>
    <row r="99" spans="1:7" x14ac:dyDescent="0.2">
      <c r="C99" s="15"/>
    </row>
    <row r="100" spans="1:7" x14ac:dyDescent="0.2">
      <c r="C100" s="14"/>
    </row>
    <row r="101" spans="1:7" x14ac:dyDescent="0.2">
      <c r="C101" s="4"/>
    </row>
    <row r="102" spans="1:7" x14ac:dyDescent="0.2">
      <c r="C102" s="4"/>
    </row>
    <row r="103" spans="1:7" x14ac:dyDescent="0.2">
      <c r="A103" s="1"/>
      <c r="C103" s="4"/>
      <c r="D103" s="4"/>
      <c r="F103" s="2"/>
      <c r="G103" s="2"/>
    </row>
    <row r="104" spans="1:7" x14ac:dyDescent="0.2">
      <c r="C104" s="5"/>
    </row>
    <row r="105" spans="1:7" x14ac:dyDescent="0.2">
      <c r="C105" s="4"/>
    </row>
    <row r="107" spans="1:7" x14ac:dyDescent="0.2">
      <c r="C107" s="4"/>
    </row>
    <row r="108" spans="1:7" x14ac:dyDescent="0.2">
      <c r="A108" s="1"/>
      <c r="C108" s="4"/>
    </row>
    <row r="110" spans="1:7" x14ac:dyDescent="0.2">
      <c r="C110" s="4"/>
    </row>
    <row r="111" spans="1:7" x14ac:dyDescent="0.2">
      <c r="A111" s="1"/>
    </row>
  </sheetData>
  <phoneticPr fontId="0" type="noConversion"/>
  <pageMargins left="0.75" right="0.75" top="1" bottom="1" header="0.5" footer="0.5"/>
  <pageSetup paperSize="5" orientation="portrait" r:id="rId1"/>
  <headerFooter alignWithMargins="0">
    <oddHeader>&amp;C2015 CALCUTTA RESULTS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76"/>
  <sheetViews>
    <sheetView topLeftCell="A22" workbookViewId="0">
      <selection activeCell="K25" sqref="K25"/>
    </sheetView>
  </sheetViews>
  <sheetFormatPr defaultRowHeight="12.75" x14ac:dyDescent="0.2"/>
  <cols>
    <col min="3" max="3" width="27.140625" bestFit="1" customWidth="1"/>
    <col min="14" max="14" width="13.4257812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36</v>
      </c>
      <c r="J1" t="s">
        <v>8</v>
      </c>
      <c r="K1" t="s">
        <v>5</v>
      </c>
      <c r="L1" t="s">
        <v>9</v>
      </c>
      <c r="M1" t="s">
        <v>10</v>
      </c>
      <c r="N1" t="s">
        <v>11</v>
      </c>
      <c r="O1" t="s">
        <v>164</v>
      </c>
    </row>
    <row r="2" spans="1:18" x14ac:dyDescent="0.2">
      <c r="A2">
        <v>1</v>
      </c>
      <c r="B2">
        <v>10</v>
      </c>
      <c r="C2" t="s">
        <v>440</v>
      </c>
      <c r="D2">
        <v>5</v>
      </c>
      <c r="E2">
        <v>7.25</v>
      </c>
      <c r="F2">
        <v>5</v>
      </c>
      <c r="G2">
        <v>8.25</v>
      </c>
      <c r="H2">
        <v>2.36</v>
      </c>
      <c r="I2">
        <v>5</v>
      </c>
      <c r="J2">
        <v>8.75</v>
      </c>
      <c r="K2">
        <v>5</v>
      </c>
      <c r="L2">
        <v>9.75</v>
      </c>
      <c r="M2">
        <v>18</v>
      </c>
      <c r="N2">
        <v>3.03</v>
      </c>
    </row>
    <row r="3" spans="1:18" x14ac:dyDescent="0.2">
      <c r="A3">
        <v>2</v>
      </c>
      <c r="B3">
        <v>8</v>
      </c>
      <c r="C3" t="s">
        <v>197</v>
      </c>
      <c r="D3">
        <v>2</v>
      </c>
      <c r="E3">
        <v>4.3</v>
      </c>
      <c r="F3">
        <v>2</v>
      </c>
      <c r="G3">
        <v>4.7</v>
      </c>
      <c r="H3">
        <v>2.2200000000000002</v>
      </c>
      <c r="I3">
        <v>7</v>
      </c>
      <c r="J3">
        <v>9.5299999999999994</v>
      </c>
      <c r="K3">
        <v>7</v>
      </c>
      <c r="L3">
        <v>10.93</v>
      </c>
      <c r="M3">
        <v>15.63</v>
      </c>
      <c r="N3">
        <v>2.72</v>
      </c>
    </row>
    <row r="4" spans="1:18" x14ac:dyDescent="0.2">
      <c r="A4">
        <v>3</v>
      </c>
      <c r="B4">
        <v>44</v>
      </c>
      <c r="C4" t="s">
        <v>345</v>
      </c>
      <c r="D4">
        <v>5</v>
      </c>
      <c r="E4">
        <v>5.96</v>
      </c>
      <c r="F4">
        <v>5</v>
      </c>
      <c r="G4">
        <v>6.96</v>
      </c>
      <c r="H4">
        <v>2.2000000000000002</v>
      </c>
      <c r="I4">
        <v>4</v>
      </c>
      <c r="J4">
        <v>5.48</v>
      </c>
      <c r="K4">
        <v>4</v>
      </c>
      <c r="L4">
        <v>6.28</v>
      </c>
      <c r="M4">
        <v>13.24</v>
      </c>
      <c r="N4">
        <v>1.89</v>
      </c>
    </row>
    <row r="5" spans="1:18" x14ac:dyDescent="0.2">
      <c r="A5">
        <v>4</v>
      </c>
      <c r="B5">
        <v>22</v>
      </c>
      <c r="C5" t="s">
        <v>287</v>
      </c>
      <c r="D5">
        <v>2</v>
      </c>
      <c r="E5">
        <v>4.3899999999999997</v>
      </c>
      <c r="F5">
        <v>2</v>
      </c>
      <c r="G5">
        <v>4.79</v>
      </c>
      <c r="H5">
        <v>2.2999999999999998</v>
      </c>
      <c r="I5">
        <v>5</v>
      </c>
      <c r="J5">
        <v>7.22</v>
      </c>
      <c r="K5">
        <v>5</v>
      </c>
      <c r="L5">
        <v>8.2200000000000006</v>
      </c>
      <c r="M5">
        <v>13.01</v>
      </c>
      <c r="N5">
        <v>2.46</v>
      </c>
    </row>
    <row r="6" spans="1:18" x14ac:dyDescent="0.2">
      <c r="A6">
        <v>5</v>
      </c>
      <c r="B6">
        <v>34</v>
      </c>
      <c r="C6" t="s">
        <v>258</v>
      </c>
      <c r="D6">
        <v>2</v>
      </c>
      <c r="E6">
        <v>4.3899999999999997</v>
      </c>
      <c r="F6">
        <v>2</v>
      </c>
      <c r="G6">
        <v>4.79</v>
      </c>
      <c r="H6">
        <v>2.23</v>
      </c>
      <c r="I6">
        <v>2</v>
      </c>
      <c r="J6">
        <v>6.93</v>
      </c>
      <c r="K6">
        <v>2</v>
      </c>
      <c r="L6">
        <v>7.33</v>
      </c>
      <c r="M6">
        <v>12.12</v>
      </c>
      <c r="N6">
        <v>4.5999999999999996</v>
      </c>
    </row>
    <row r="7" spans="1:18" x14ac:dyDescent="0.2">
      <c r="A7">
        <v>6</v>
      </c>
      <c r="B7">
        <v>55</v>
      </c>
      <c r="C7" t="s">
        <v>352</v>
      </c>
      <c r="D7">
        <v>3</v>
      </c>
      <c r="E7">
        <v>4.49</v>
      </c>
      <c r="F7">
        <v>3</v>
      </c>
      <c r="G7">
        <v>5.09</v>
      </c>
      <c r="H7">
        <v>2.0499999999999998</v>
      </c>
      <c r="I7">
        <v>5</v>
      </c>
      <c r="J7">
        <v>5.65</v>
      </c>
      <c r="K7">
        <v>5</v>
      </c>
      <c r="L7">
        <v>6.65</v>
      </c>
      <c r="M7">
        <v>11.74</v>
      </c>
      <c r="N7">
        <v>2.11</v>
      </c>
    </row>
    <row r="8" spans="1:18" x14ac:dyDescent="0.2">
      <c r="A8">
        <v>7</v>
      </c>
      <c r="B8">
        <v>63</v>
      </c>
      <c r="C8" t="s">
        <v>459</v>
      </c>
      <c r="D8">
        <v>4</v>
      </c>
      <c r="E8">
        <v>5.41</v>
      </c>
      <c r="F8">
        <v>4</v>
      </c>
      <c r="G8">
        <v>6.21</v>
      </c>
      <c r="H8">
        <v>2.11</v>
      </c>
      <c r="I8">
        <v>2</v>
      </c>
      <c r="J8">
        <v>4.92</v>
      </c>
      <c r="K8">
        <v>2</v>
      </c>
      <c r="L8">
        <v>5.32</v>
      </c>
      <c r="M8">
        <v>11.53</v>
      </c>
      <c r="N8">
        <v>2.54</v>
      </c>
    </row>
    <row r="9" spans="1:18" x14ac:dyDescent="0.2">
      <c r="A9">
        <v>8</v>
      </c>
      <c r="B9">
        <v>28</v>
      </c>
      <c r="C9" t="s">
        <v>326</v>
      </c>
      <c r="D9">
        <v>3</v>
      </c>
      <c r="E9">
        <v>5.2</v>
      </c>
      <c r="F9">
        <v>3</v>
      </c>
      <c r="G9">
        <v>5.8</v>
      </c>
      <c r="H9">
        <v>2.27</v>
      </c>
      <c r="I9">
        <v>3</v>
      </c>
      <c r="J9">
        <v>4.92</v>
      </c>
      <c r="K9">
        <v>3</v>
      </c>
      <c r="L9">
        <v>5.52</v>
      </c>
      <c r="M9">
        <v>11.32</v>
      </c>
      <c r="N9">
        <v>2.15</v>
      </c>
      <c r="Q9" t="s">
        <v>372</v>
      </c>
    </row>
    <row r="10" spans="1:18" x14ac:dyDescent="0.2">
      <c r="A10">
        <v>9</v>
      </c>
      <c r="B10">
        <v>18</v>
      </c>
      <c r="C10" t="s">
        <v>363</v>
      </c>
      <c r="D10">
        <v>2</v>
      </c>
      <c r="E10">
        <v>5.16</v>
      </c>
      <c r="F10">
        <v>2</v>
      </c>
      <c r="G10">
        <v>5.56</v>
      </c>
      <c r="H10">
        <v>2.81</v>
      </c>
      <c r="I10">
        <v>3</v>
      </c>
      <c r="J10">
        <v>5.15</v>
      </c>
      <c r="K10">
        <v>3</v>
      </c>
      <c r="L10">
        <v>5.75</v>
      </c>
      <c r="M10">
        <v>11.31</v>
      </c>
      <c r="N10">
        <v>2.3199999999999998</v>
      </c>
    </row>
    <row r="11" spans="1:18" x14ac:dyDescent="0.2">
      <c r="A11">
        <v>10</v>
      </c>
      <c r="B11">
        <v>14</v>
      </c>
      <c r="C11" t="s">
        <v>379</v>
      </c>
      <c r="D11">
        <v>2</v>
      </c>
      <c r="E11">
        <v>3.87</v>
      </c>
      <c r="F11">
        <v>2</v>
      </c>
      <c r="G11">
        <v>4.2699999999999996</v>
      </c>
      <c r="H11">
        <v>1.96</v>
      </c>
      <c r="I11">
        <v>4</v>
      </c>
      <c r="J11">
        <v>6.02</v>
      </c>
      <c r="K11">
        <v>4</v>
      </c>
      <c r="L11">
        <v>6.82</v>
      </c>
      <c r="M11">
        <v>11.09</v>
      </c>
      <c r="N11">
        <v>2.31</v>
      </c>
    </row>
    <row r="12" spans="1:18" x14ac:dyDescent="0.2">
      <c r="A12">
        <v>11</v>
      </c>
      <c r="B12">
        <v>51</v>
      </c>
      <c r="C12" t="s">
        <v>320</v>
      </c>
      <c r="D12">
        <v>4</v>
      </c>
      <c r="E12">
        <v>5.54</v>
      </c>
      <c r="F12">
        <v>4</v>
      </c>
      <c r="G12">
        <v>6.34</v>
      </c>
      <c r="H12">
        <v>2.1800000000000002</v>
      </c>
      <c r="I12">
        <v>2</v>
      </c>
      <c r="J12">
        <v>4.28</v>
      </c>
      <c r="K12">
        <v>2</v>
      </c>
      <c r="L12">
        <v>4.68</v>
      </c>
      <c r="M12">
        <v>11.02</v>
      </c>
      <c r="N12">
        <v>2.17</v>
      </c>
    </row>
    <row r="13" spans="1:18" x14ac:dyDescent="0.2">
      <c r="A13">
        <v>12</v>
      </c>
      <c r="B13">
        <v>39</v>
      </c>
      <c r="C13" t="s">
        <v>307</v>
      </c>
      <c r="D13">
        <v>2</v>
      </c>
      <c r="E13">
        <v>4.5199999999999996</v>
      </c>
      <c r="F13">
        <v>2</v>
      </c>
      <c r="G13">
        <v>4.92</v>
      </c>
      <c r="H13">
        <v>2.35</v>
      </c>
      <c r="I13">
        <v>2</v>
      </c>
      <c r="J13">
        <v>5.52</v>
      </c>
      <c r="K13">
        <v>2</v>
      </c>
      <c r="L13">
        <v>5.92</v>
      </c>
      <c r="M13">
        <v>10.84</v>
      </c>
      <c r="N13">
        <v>2.38</v>
      </c>
    </row>
    <row r="14" spans="1:18" x14ac:dyDescent="0.2">
      <c r="A14">
        <v>13</v>
      </c>
      <c r="B14">
        <v>2</v>
      </c>
      <c r="C14" t="s">
        <v>397</v>
      </c>
      <c r="D14">
        <v>2</v>
      </c>
      <c r="E14">
        <v>4.12</v>
      </c>
      <c r="F14">
        <v>2</v>
      </c>
      <c r="G14">
        <v>4.5199999999999996</v>
      </c>
      <c r="H14">
        <v>2.12</v>
      </c>
      <c r="I14">
        <v>3</v>
      </c>
      <c r="J14">
        <v>5.58</v>
      </c>
      <c r="K14">
        <v>3</v>
      </c>
      <c r="L14">
        <v>6.18</v>
      </c>
      <c r="M14">
        <v>10.7</v>
      </c>
      <c r="N14">
        <v>2.4500000000000002</v>
      </c>
      <c r="Q14" t="s">
        <v>372</v>
      </c>
    </row>
    <row r="15" spans="1:18" x14ac:dyDescent="0.2">
      <c r="A15">
        <v>14</v>
      </c>
      <c r="B15">
        <v>45</v>
      </c>
      <c r="C15" t="s">
        <v>253</v>
      </c>
      <c r="D15">
        <v>3</v>
      </c>
      <c r="E15">
        <v>4.93</v>
      </c>
      <c r="F15">
        <v>3</v>
      </c>
      <c r="G15">
        <v>5.53</v>
      </c>
      <c r="H15">
        <v>2.0499999999999998</v>
      </c>
      <c r="I15">
        <v>3</v>
      </c>
      <c r="J15">
        <v>4.4000000000000004</v>
      </c>
      <c r="K15">
        <v>3</v>
      </c>
      <c r="L15">
        <v>5</v>
      </c>
      <c r="M15">
        <v>10.53</v>
      </c>
      <c r="N15">
        <v>1.79</v>
      </c>
      <c r="Q15" t="s">
        <v>372</v>
      </c>
      <c r="R15" t="s">
        <v>372</v>
      </c>
    </row>
    <row r="16" spans="1:18" x14ac:dyDescent="0.2">
      <c r="A16">
        <v>15</v>
      </c>
      <c r="B16">
        <v>15</v>
      </c>
      <c r="C16" t="s">
        <v>323</v>
      </c>
      <c r="D16">
        <v>3</v>
      </c>
      <c r="E16">
        <v>5.4</v>
      </c>
      <c r="F16">
        <v>3</v>
      </c>
      <c r="G16">
        <v>6</v>
      </c>
      <c r="H16">
        <v>2.35</v>
      </c>
      <c r="I16">
        <v>2</v>
      </c>
      <c r="J16">
        <v>4.04</v>
      </c>
      <c r="K16">
        <v>2</v>
      </c>
      <c r="L16">
        <v>4.4400000000000004</v>
      </c>
      <c r="M16">
        <v>10.44</v>
      </c>
      <c r="N16">
        <v>2.11</v>
      </c>
      <c r="Q16" t="s">
        <v>372</v>
      </c>
    </row>
    <row r="17" spans="1:18" x14ac:dyDescent="0.2">
      <c r="A17">
        <v>16</v>
      </c>
      <c r="B17">
        <v>6</v>
      </c>
      <c r="C17" t="s">
        <v>439</v>
      </c>
      <c r="D17">
        <v>2</v>
      </c>
      <c r="E17">
        <v>3.62</v>
      </c>
      <c r="F17">
        <v>2</v>
      </c>
      <c r="G17">
        <v>4.0199999999999996</v>
      </c>
      <c r="H17">
        <v>2.46</v>
      </c>
      <c r="I17">
        <v>3</v>
      </c>
      <c r="J17">
        <v>5.56</v>
      </c>
      <c r="K17">
        <v>3</v>
      </c>
      <c r="L17">
        <v>6.16</v>
      </c>
      <c r="M17">
        <v>10.18</v>
      </c>
      <c r="N17">
        <v>2.2599999999999998</v>
      </c>
      <c r="Q17" t="s">
        <v>372</v>
      </c>
    </row>
    <row r="18" spans="1:18" x14ac:dyDescent="0.2">
      <c r="A18">
        <v>17</v>
      </c>
      <c r="B18">
        <v>4</v>
      </c>
      <c r="C18" t="s">
        <v>387</v>
      </c>
      <c r="D18">
        <v>2</v>
      </c>
      <c r="E18">
        <v>3.68</v>
      </c>
      <c r="F18">
        <v>2</v>
      </c>
      <c r="G18">
        <v>4.08</v>
      </c>
      <c r="H18">
        <v>1.96</v>
      </c>
      <c r="I18">
        <v>3</v>
      </c>
      <c r="J18">
        <v>5.47</v>
      </c>
      <c r="K18">
        <v>3</v>
      </c>
      <c r="L18">
        <v>6.07</v>
      </c>
      <c r="M18">
        <v>10.15</v>
      </c>
      <c r="N18">
        <v>2.3199999999999998</v>
      </c>
    </row>
    <row r="19" spans="1:18" x14ac:dyDescent="0.2">
      <c r="A19">
        <v>18</v>
      </c>
      <c r="B19">
        <v>9</v>
      </c>
      <c r="C19" t="s">
        <v>238</v>
      </c>
      <c r="D19">
        <v>3</v>
      </c>
      <c r="E19">
        <v>4.99</v>
      </c>
      <c r="F19">
        <v>3</v>
      </c>
      <c r="G19">
        <v>5.59</v>
      </c>
      <c r="H19">
        <v>2.1</v>
      </c>
      <c r="I19">
        <v>2</v>
      </c>
      <c r="J19">
        <v>3.98</v>
      </c>
      <c r="K19">
        <v>2</v>
      </c>
      <c r="L19">
        <v>4.38</v>
      </c>
      <c r="M19">
        <v>9.9700000000000006</v>
      </c>
      <c r="N19">
        <v>2.0699999999999998</v>
      </c>
      <c r="Q19" t="s">
        <v>372</v>
      </c>
    </row>
    <row r="20" spans="1:18" x14ac:dyDescent="0.2">
      <c r="A20">
        <v>19</v>
      </c>
      <c r="B20">
        <v>46</v>
      </c>
      <c r="C20" t="s">
        <v>448</v>
      </c>
      <c r="D20">
        <v>2</v>
      </c>
      <c r="E20">
        <v>4.7</v>
      </c>
      <c r="F20">
        <v>2</v>
      </c>
      <c r="G20">
        <v>5.0999999999999996</v>
      </c>
      <c r="H20">
        <v>2.5299999999999998</v>
      </c>
      <c r="I20">
        <v>2</v>
      </c>
      <c r="J20">
        <v>4.45</v>
      </c>
      <c r="K20">
        <v>2</v>
      </c>
      <c r="L20">
        <v>4.8499999999999996</v>
      </c>
      <c r="M20">
        <v>9.9499999999999993</v>
      </c>
      <c r="N20">
        <v>2.38</v>
      </c>
      <c r="Q20" t="s">
        <v>372</v>
      </c>
    </row>
    <row r="21" spans="1:18" x14ac:dyDescent="0.2">
      <c r="A21">
        <v>20</v>
      </c>
      <c r="B21">
        <v>12</v>
      </c>
      <c r="C21" t="s">
        <v>393</v>
      </c>
      <c r="D21">
        <v>2</v>
      </c>
      <c r="E21">
        <v>3.8</v>
      </c>
      <c r="F21">
        <v>2</v>
      </c>
      <c r="G21">
        <v>4.2</v>
      </c>
      <c r="H21">
        <v>1.86</v>
      </c>
      <c r="I21">
        <v>3</v>
      </c>
      <c r="J21">
        <v>4.88</v>
      </c>
      <c r="K21">
        <v>3</v>
      </c>
      <c r="L21">
        <v>5.48</v>
      </c>
      <c r="M21">
        <v>9.68</v>
      </c>
      <c r="N21">
        <v>2.1</v>
      </c>
      <c r="Q21" t="s">
        <v>372</v>
      </c>
    </row>
    <row r="22" spans="1:18" x14ac:dyDescent="0.2">
      <c r="A22">
        <v>21</v>
      </c>
      <c r="B22">
        <v>52</v>
      </c>
      <c r="C22" t="s">
        <v>211</v>
      </c>
      <c r="D22">
        <v>2</v>
      </c>
      <c r="E22">
        <v>4.5599999999999996</v>
      </c>
      <c r="F22">
        <v>2</v>
      </c>
      <c r="G22">
        <v>4.96</v>
      </c>
      <c r="H22">
        <v>2.42</v>
      </c>
      <c r="I22">
        <v>2</v>
      </c>
      <c r="J22">
        <v>4.1399999999999997</v>
      </c>
      <c r="K22">
        <v>2</v>
      </c>
      <c r="L22">
        <v>4.54</v>
      </c>
      <c r="M22">
        <v>9.5</v>
      </c>
      <c r="N22">
        <v>2.33</v>
      </c>
      <c r="Q22" t="s">
        <v>372</v>
      </c>
      <c r="R22" t="s">
        <v>372</v>
      </c>
    </row>
    <row r="23" spans="1:18" x14ac:dyDescent="0.2">
      <c r="A23">
        <v>22</v>
      </c>
      <c r="B23">
        <v>31</v>
      </c>
      <c r="C23" t="s">
        <v>297</v>
      </c>
      <c r="D23">
        <v>2</v>
      </c>
      <c r="E23">
        <v>4.8600000000000003</v>
      </c>
      <c r="F23">
        <v>2</v>
      </c>
      <c r="G23">
        <v>5.26</v>
      </c>
      <c r="H23">
        <v>2.67</v>
      </c>
      <c r="I23">
        <v>2</v>
      </c>
      <c r="J23">
        <v>3.72</v>
      </c>
      <c r="K23">
        <v>2</v>
      </c>
      <c r="L23">
        <v>4.12</v>
      </c>
      <c r="M23">
        <v>9.3800000000000008</v>
      </c>
      <c r="N23">
        <v>2.02</v>
      </c>
      <c r="Q23" t="s">
        <v>372</v>
      </c>
    </row>
    <row r="24" spans="1:18" x14ac:dyDescent="0.2">
      <c r="A24">
        <v>23</v>
      </c>
      <c r="B24">
        <v>72</v>
      </c>
      <c r="C24" t="s">
        <v>466</v>
      </c>
      <c r="D24">
        <v>2</v>
      </c>
      <c r="E24">
        <v>3.77</v>
      </c>
      <c r="F24">
        <v>2</v>
      </c>
      <c r="G24">
        <v>4.17</v>
      </c>
      <c r="H24">
        <v>2.0299999999999998</v>
      </c>
      <c r="I24">
        <v>3</v>
      </c>
      <c r="J24">
        <v>4.58</v>
      </c>
      <c r="K24">
        <v>3</v>
      </c>
      <c r="L24">
        <v>5.18</v>
      </c>
      <c r="M24">
        <v>9.35</v>
      </c>
      <c r="N24">
        <v>1.93</v>
      </c>
    </row>
    <row r="25" spans="1:18" x14ac:dyDescent="0.2">
      <c r="A25">
        <v>24</v>
      </c>
      <c r="B25">
        <v>26</v>
      </c>
      <c r="C25" t="s">
        <v>444</v>
      </c>
      <c r="D25">
        <v>2</v>
      </c>
      <c r="E25">
        <v>4.24</v>
      </c>
      <c r="F25">
        <v>2</v>
      </c>
      <c r="G25">
        <v>4.6399999999999997</v>
      </c>
      <c r="H25">
        <v>2.2400000000000002</v>
      </c>
      <c r="I25">
        <v>2</v>
      </c>
      <c r="J25">
        <v>4.24</v>
      </c>
      <c r="K25">
        <v>2</v>
      </c>
      <c r="L25">
        <v>4.6399999999999997</v>
      </c>
      <c r="M25">
        <v>9.2799999999999994</v>
      </c>
      <c r="N25">
        <v>2.14</v>
      </c>
    </row>
    <row r="26" spans="1:18" x14ac:dyDescent="0.2">
      <c r="A26">
        <v>25</v>
      </c>
      <c r="B26">
        <v>16</v>
      </c>
      <c r="C26" t="s">
        <v>442</v>
      </c>
      <c r="D26">
        <v>2</v>
      </c>
      <c r="E26">
        <v>3.67</v>
      </c>
      <c r="F26">
        <v>2</v>
      </c>
      <c r="G26">
        <v>4.07</v>
      </c>
      <c r="H26">
        <v>1.89</v>
      </c>
      <c r="I26">
        <v>2</v>
      </c>
      <c r="J26">
        <v>4.5599999999999996</v>
      </c>
      <c r="K26">
        <v>2</v>
      </c>
      <c r="L26">
        <v>4.96</v>
      </c>
      <c r="M26">
        <v>9.0299999999999994</v>
      </c>
      <c r="N26">
        <v>2.4900000000000002</v>
      </c>
      <c r="Q26" t="s">
        <v>372</v>
      </c>
    </row>
    <row r="27" spans="1:18" x14ac:dyDescent="0.2">
      <c r="A27">
        <v>26</v>
      </c>
      <c r="B27">
        <v>38</v>
      </c>
      <c r="C27" t="s">
        <v>225</v>
      </c>
      <c r="D27">
        <v>2</v>
      </c>
      <c r="E27">
        <v>3.77</v>
      </c>
      <c r="F27">
        <v>2</v>
      </c>
      <c r="G27">
        <v>4.17</v>
      </c>
      <c r="H27">
        <v>2.0099999999999998</v>
      </c>
      <c r="I27">
        <v>2</v>
      </c>
      <c r="J27">
        <v>4.41</v>
      </c>
      <c r="K27">
        <v>2</v>
      </c>
      <c r="L27">
        <v>4.8099999999999996</v>
      </c>
      <c r="M27">
        <v>8.98</v>
      </c>
      <c r="N27">
        <v>2.5</v>
      </c>
    </row>
    <row r="28" spans="1:18" x14ac:dyDescent="0.2">
      <c r="A28">
        <v>27</v>
      </c>
      <c r="B28">
        <v>5</v>
      </c>
      <c r="C28" t="s">
        <v>438</v>
      </c>
      <c r="D28">
        <v>2</v>
      </c>
      <c r="E28">
        <v>4.29</v>
      </c>
      <c r="F28">
        <v>2</v>
      </c>
      <c r="G28">
        <v>4.6900000000000004</v>
      </c>
      <c r="H28">
        <v>2.3199999999999998</v>
      </c>
      <c r="I28">
        <v>2</v>
      </c>
      <c r="J28">
        <v>3.6</v>
      </c>
      <c r="K28">
        <v>2</v>
      </c>
      <c r="L28">
        <v>4</v>
      </c>
      <c r="M28">
        <v>8.69</v>
      </c>
      <c r="N28">
        <v>1.81</v>
      </c>
      <c r="Q28" t="s">
        <v>372</v>
      </c>
    </row>
    <row r="29" spans="1:18" x14ac:dyDescent="0.2">
      <c r="A29">
        <v>28</v>
      </c>
      <c r="B29">
        <v>60</v>
      </c>
      <c r="C29" t="s">
        <v>456</v>
      </c>
      <c r="D29">
        <v>2</v>
      </c>
      <c r="E29">
        <v>3.66</v>
      </c>
      <c r="F29">
        <v>2</v>
      </c>
      <c r="G29">
        <v>4.0599999999999996</v>
      </c>
      <c r="H29">
        <v>1.99</v>
      </c>
      <c r="I29">
        <v>2</v>
      </c>
      <c r="J29">
        <v>4.22</v>
      </c>
      <c r="K29">
        <v>2</v>
      </c>
      <c r="L29">
        <v>4.62</v>
      </c>
      <c r="M29">
        <v>8.68</v>
      </c>
      <c r="N29">
        <v>2.2599999999999998</v>
      </c>
      <c r="Q29" t="s">
        <v>372</v>
      </c>
    </row>
    <row r="30" spans="1:18" x14ac:dyDescent="0.2">
      <c r="A30">
        <v>29</v>
      </c>
      <c r="B30">
        <v>17</v>
      </c>
      <c r="C30" t="s">
        <v>226</v>
      </c>
      <c r="D30">
        <v>2</v>
      </c>
      <c r="E30">
        <v>4.0999999999999996</v>
      </c>
      <c r="F30">
        <v>2</v>
      </c>
      <c r="G30">
        <v>4.5</v>
      </c>
      <c r="H30">
        <v>2.29</v>
      </c>
      <c r="I30">
        <v>2</v>
      </c>
      <c r="J30">
        <v>3.77</v>
      </c>
      <c r="K30">
        <v>2</v>
      </c>
      <c r="L30">
        <v>4.17</v>
      </c>
      <c r="M30">
        <v>8.67</v>
      </c>
      <c r="N30">
        <v>2.0299999999999998</v>
      </c>
    </row>
    <row r="31" spans="1:18" x14ac:dyDescent="0.2">
      <c r="A31">
        <v>30</v>
      </c>
      <c r="B31">
        <v>23</v>
      </c>
      <c r="C31" t="s">
        <v>391</v>
      </c>
      <c r="D31">
        <v>4</v>
      </c>
      <c r="E31">
        <v>5.05</v>
      </c>
      <c r="F31">
        <v>4</v>
      </c>
      <c r="G31">
        <v>5.85</v>
      </c>
      <c r="H31">
        <v>1.79</v>
      </c>
      <c r="I31">
        <v>2</v>
      </c>
      <c r="J31">
        <v>2.41</v>
      </c>
      <c r="K31">
        <v>2</v>
      </c>
      <c r="L31">
        <v>2.81</v>
      </c>
      <c r="M31">
        <v>8.66</v>
      </c>
      <c r="N31">
        <v>1.63</v>
      </c>
      <c r="Q31" t="s">
        <v>372</v>
      </c>
    </row>
    <row r="32" spans="1:18" x14ac:dyDescent="0.2">
      <c r="A32">
        <v>31</v>
      </c>
      <c r="B32">
        <v>21</v>
      </c>
      <c r="C32" t="s">
        <v>210</v>
      </c>
      <c r="D32">
        <v>2</v>
      </c>
      <c r="E32">
        <v>4.3899999999999997</v>
      </c>
      <c r="F32">
        <v>2</v>
      </c>
      <c r="G32">
        <v>4.79</v>
      </c>
      <c r="H32">
        <v>2.2599999999999998</v>
      </c>
      <c r="I32">
        <v>3</v>
      </c>
      <c r="J32">
        <v>3.24</v>
      </c>
      <c r="K32">
        <v>3</v>
      </c>
      <c r="L32">
        <v>3.84</v>
      </c>
      <c r="M32">
        <v>8.6300000000000008</v>
      </c>
      <c r="N32">
        <v>2.08</v>
      </c>
    </row>
    <row r="33" spans="1:18" x14ac:dyDescent="0.2">
      <c r="A33">
        <v>32</v>
      </c>
      <c r="B33">
        <v>19</v>
      </c>
      <c r="C33" t="s">
        <v>443</v>
      </c>
      <c r="D33">
        <v>2</v>
      </c>
      <c r="E33">
        <v>3.5</v>
      </c>
      <c r="F33">
        <v>2</v>
      </c>
      <c r="G33">
        <v>3.9</v>
      </c>
      <c r="H33">
        <v>1.79</v>
      </c>
      <c r="I33">
        <v>2</v>
      </c>
      <c r="J33">
        <v>4.3</v>
      </c>
      <c r="K33">
        <v>2</v>
      </c>
      <c r="L33">
        <v>4.7</v>
      </c>
      <c r="M33">
        <v>8.6</v>
      </c>
      <c r="N33">
        <v>2.37</v>
      </c>
      <c r="Q33" t="s">
        <v>372</v>
      </c>
      <c r="R33" t="s">
        <v>372</v>
      </c>
    </row>
    <row r="34" spans="1:18" x14ac:dyDescent="0.2">
      <c r="A34">
        <v>33</v>
      </c>
      <c r="B34">
        <v>7</v>
      </c>
      <c r="C34" t="s">
        <v>246</v>
      </c>
      <c r="D34">
        <v>2</v>
      </c>
      <c r="E34">
        <v>3.58</v>
      </c>
      <c r="F34">
        <v>2</v>
      </c>
      <c r="G34">
        <v>3.98</v>
      </c>
      <c r="H34">
        <v>1.92</v>
      </c>
      <c r="I34">
        <v>2</v>
      </c>
      <c r="J34">
        <v>3.8</v>
      </c>
      <c r="K34">
        <v>2</v>
      </c>
      <c r="L34">
        <v>4.2</v>
      </c>
      <c r="M34">
        <v>8.18</v>
      </c>
      <c r="N34">
        <v>1.9</v>
      </c>
      <c r="Q34" t="s">
        <v>372</v>
      </c>
      <c r="R34" t="s">
        <v>372</v>
      </c>
    </row>
    <row r="35" spans="1:18" x14ac:dyDescent="0.2">
      <c r="A35">
        <v>34</v>
      </c>
      <c r="B35">
        <v>24</v>
      </c>
      <c r="C35" t="s">
        <v>310</v>
      </c>
      <c r="D35">
        <v>2</v>
      </c>
      <c r="E35">
        <v>4.45</v>
      </c>
      <c r="F35">
        <v>2</v>
      </c>
      <c r="G35">
        <v>4.8499999999999996</v>
      </c>
      <c r="H35">
        <v>2.2400000000000002</v>
      </c>
      <c r="I35">
        <v>2</v>
      </c>
      <c r="J35">
        <v>2.7</v>
      </c>
      <c r="K35">
        <v>2</v>
      </c>
      <c r="L35">
        <v>3.1</v>
      </c>
      <c r="M35">
        <v>7.95</v>
      </c>
      <c r="N35">
        <v>2.0699999999999998</v>
      </c>
      <c r="Q35" t="s">
        <v>372</v>
      </c>
    </row>
    <row r="36" spans="1:18" x14ac:dyDescent="0.2">
      <c r="A36">
        <v>35</v>
      </c>
      <c r="B36">
        <v>68</v>
      </c>
      <c r="C36" t="s">
        <v>462</v>
      </c>
      <c r="D36">
        <v>2</v>
      </c>
      <c r="E36">
        <v>3.48</v>
      </c>
      <c r="F36">
        <v>2</v>
      </c>
      <c r="G36">
        <v>3.88</v>
      </c>
      <c r="H36">
        <v>1.89</v>
      </c>
      <c r="I36">
        <v>2</v>
      </c>
      <c r="J36">
        <v>3.58</v>
      </c>
      <c r="K36">
        <v>2</v>
      </c>
      <c r="L36">
        <v>3.98</v>
      </c>
      <c r="M36">
        <v>7.86</v>
      </c>
      <c r="N36">
        <v>1.89</v>
      </c>
      <c r="Q36" t="s">
        <v>372</v>
      </c>
    </row>
    <row r="37" spans="1:18" x14ac:dyDescent="0.2">
      <c r="A37">
        <v>36</v>
      </c>
      <c r="B37">
        <v>30</v>
      </c>
      <c r="C37" t="s">
        <v>219</v>
      </c>
      <c r="D37">
        <v>2</v>
      </c>
      <c r="E37">
        <v>4.1900000000000004</v>
      </c>
      <c r="F37">
        <v>2</v>
      </c>
      <c r="G37">
        <v>4.59</v>
      </c>
      <c r="H37">
        <v>2.37</v>
      </c>
      <c r="I37">
        <v>2</v>
      </c>
      <c r="J37">
        <v>2.4300000000000002</v>
      </c>
      <c r="K37">
        <v>2</v>
      </c>
      <c r="L37">
        <v>2.83</v>
      </c>
      <c r="M37">
        <v>7.42</v>
      </c>
      <c r="N37">
        <v>1.92</v>
      </c>
    </row>
    <row r="38" spans="1:18" x14ac:dyDescent="0.2">
      <c r="A38">
        <v>37</v>
      </c>
      <c r="B38">
        <v>69</v>
      </c>
      <c r="C38" t="s">
        <v>463</v>
      </c>
      <c r="D38">
        <v>0</v>
      </c>
      <c r="E38">
        <v>0</v>
      </c>
      <c r="F38">
        <v>0</v>
      </c>
      <c r="G38">
        <v>0</v>
      </c>
      <c r="H38">
        <v>0</v>
      </c>
      <c r="I38">
        <v>4</v>
      </c>
      <c r="J38">
        <v>6.49</v>
      </c>
      <c r="K38">
        <v>4</v>
      </c>
      <c r="L38">
        <v>7.29</v>
      </c>
      <c r="M38">
        <v>7.29</v>
      </c>
      <c r="N38">
        <v>2.2999999999999998</v>
      </c>
      <c r="Q38" t="s">
        <v>372</v>
      </c>
      <c r="R38" t="s">
        <v>372</v>
      </c>
    </row>
    <row r="39" spans="1:18" x14ac:dyDescent="0.2">
      <c r="A39">
        <v>38</v>
      </c>
      <c r="B39">
        <v>32</v>
      </c>
      <c r="C39" t="s">
        <v>245</v>
      </c>
      <c r="D39">
        <v>1</v>
      </c>
      <c r="E39">
        <v>1.85</v>
      </c>
      <c r="F39">
        <v>1</v>
      </c>
      <c r="G39">
        <v>2.0499999999999998</v>
      </c>
      <c r="H39">
        <v>1.85</v>
      </c>
      <c r="I39">
        <v>2</v>
      </c>
      <c r="J39">
        <v>4.79</v>
      </c>
      <c r="K39">
        <v>2</v>
      </c>
      <c r="L39">
        <v>5.19</v>
      </c>
      <c r="M39">
        <v>7.24</v>
      </c>
      <c r="N39">
        <v>2.5299999999999998</v>
      </c>
      <c r="Q39" t="s">
        <v>372</v>
      </c>
      <c r="R39" t="s">
        <v>372</v>
      </c>
    </row>
    <row r="40" spans="1:18" x14ac:dyDescent="0.2">
      <c r="A40">
        <v>39</v>
      </c>
      <c r="B40">
        <v>3</v>
      </c>
      <c r="C40" t="s">
        <v>471</v>
      </c>
      <c r="D40">
        <v>2</v>
      </c>
      <c r="E40">
        <v>4.1399999999999997</v>
      </c>
      <c r="F40">
        <v>2</v>
      </c>
      <c r="G40">
        <v>4.54</v>
      </c>
      <c r="H40">
        <v>2.2799999999999998</v>
      </c>
      <c r="I40">
        <v>1</v>
      </c>
      <c r="J40">
        <v>2.4300000000000002</v>
      </c>
      <c r="K40">
        <v>1</v>
      </c>
      <c r="L40">
        <v>2.63</v>
      </c>
      <c r="M40">
        <v>7.17</v>
      </c>
      <c r="N40">
        <v>2.4300000000000002</v>
      </c>
      <c r="Q40" t="s">
        <v>372</v>
      </c>
      <c r="R40" t="s">
        <v>372</v>
      </c>
    </row>
    <row r="41" spans="1:18" x14ac:dyDescent="0.2">
      <c r="A41">
        <v>40</v>
      </c>
      <c r="B41">
        <v>33</v>
      </c>
      <c r="C41" t="s">
        <v>445</v>
      </c>
      <c r="D41">
        <v>1</v>
      </c>
      <c r="E41">
        <v>2.0099999999999998</v>
      </c>
      <c r="F41">
        <v>1</v>
      </c>
      <c r="G41">
        <v>2.21</v>
      </c>
      <c r="H41">
        <v>2.0099999999999998</v>
      </c>
      <c r="I41">
        <v>2</v>
      </c>
      <c r="J41">
        <v>4.54</v>
      </c>
      <c r="K41">
        <v>2</v>
      </c>
      <c r="L41">
        <v>4.9400000000000004</v>
      </c>
      <c r="M41">
        <v>7.15</v>
      </c>
      <c r="N41">
        <v>2.56</v>
      </c>
      <c r="Q41" t="s">
        <v>372</v>
      </c>
      <c r="R41" t="s">
        <v>372</v>
      </c>
    </row>
    <row r="42" spans="1:18" x14ac:dyDescent="0.2">
      <c r="A42">
        <v>41</v>
      </c>
      <c r="B42">
        <v>25</v>
      </c>
      <c r="C42" t="s">
        <v>284</v>
      </c>
      <c r="D42">
        <v>2</v>
      </c>
      <c r="E42">
        <v>4.3099999999999996</v>
      </c>
      <c r="F42">
        <v>2</v>
      </c>
      <c r="G42">
        <v>4.71</v>
      </c>
      <c r="H42">
        <v>2.1</v>
      </c>
      <c r="I42">
        <v>1</v>
      </c>
      <c r="J42">
        <v>2.1800000000000002</v>
      </c>
      <c r="K42">
        <v>1</v>
      </c>
      <c r="L42">
        <v>2.38</v>
      </c>
      <c r="M42">
        <v>7.09</v>
      </c>
      <c r="N42">
        <v>2.1800000000000002</v>
      </c>
      <c r="O42" t="s">
        <v>473</v>
      </c>
      <c r="Q42" t="s">
        <v>372</v>
      </c>
      <c r="R42" t="s">
        <v>372</v>
      </c>
    </row>
    <row r="43" spans="1:18" x14ac:dyDescent="0.2">
      <c r="A43">
        <v>42</v>
      </c>
      <c r="B43">
        <v>35</v>
      </c>
      <c r="C43" t="s">
        <v>263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6.15</v>
      </c>
      <c r="K43">
        <v>4</v>
      </c>
      <c r="L43">
        <v>6.95</v>
      </c>
      <c r="M43">
        <v>6.95</v>
      </c>
      <c r="N43">
        <v>2.39</v>
      </c>
      <c r="Q43" t="s">
        <v>372</v>
      </c>
      <c r="R43" t="s">
        <v>372</v>
      </c>
    </row>
    <row r="44" spans="1:18" x14ac:dyDescent="0.2">
      <c r="A44">
        <v>43</v>
      </c>
      <c r="B44">
        <v>53</v>
      </c>
      <c r="C44" t="s">
        <v>367</v>
      </c>
      <c r="D44">
        <v>1</v>
      </c>
      <c r="E44">
        <v>2.2999999999999998</v>
      </c>
      <c r="F44">
        <v>1</v>
      </c>
      <c r="G44">
        <v>2.5</v>
      </c>
      <c r="H44">
        <v>2.2999999999999998</v>
      </c>
      <c r="I44">
        <v>2</v>
      </c>
      <c r="J44">
        <v>3.86</v>
      </c>
      <c r="K44">
        <v>2</v>
      </c>
      <c r="L44">
        <v>4.26</v>
      </c>
      <c r="M44">
        <v>6.76</v>
      </c>
      <c r="N44">
        <v>1.97</v>
      </c>
      <c r="Q44" t="s">
        <v>372</v>
      </c>
      <c r="R44" t="s">
        <v>372</v>
      </c>
    </row>
    <row r="45" spans="1:18" x14ac:dyDescent="0.2">
      <c r="A45">
        <v>44</v>
      </c>
      <c r="B45">
        <v>62</v>
      </c>
      <c r="C45" t="s">
        <v>458</v>
      </c>
      <c r="D45">
        <v>2</v>
      </c>
      <c r="E45">
        <v>4.0999999999999996</v>
      </c>
      <c r="F45">
        <v>2</v>
      </c>
      <c r="G45">
        <v>4.5</v>
      </c>
      <c r="H45">
        <v>2.1</v>
      </c>
      <c r="I45">
        <v>1</v>
      </c>
      <c r="J45">
        <v>2.04</v>
      </c>
      <c r="K45">
        <v>1</v>
      </c>
      <c r="L45">
        <v>2.2400000000000002</v>
      </c>
      <c r="M45">
        <v>6.74</v>
      </c>
      <c r="N45">
        <v>2.04</v>
      </c>
      <c r="Q45" t="s">
        <v>372</v>
      </c>
      <c r="R45" t="s">
        <v>372</v>
      </c>
    </row>
    <row r="46" spans="1:18" x14ac:dyDescent="0.2">
      <c r="A46">
        <v>45</v>
      </c>
      <c r="B46">
        <v>66</v>
      </c>
      <c r="C46" t="s">
        <v>461</v>
      </c>
      <c r="D46">
        <v>2</v>
      </c>
      <c r="E46">
        <v>4.0599999999999996</v>
      </c>
      <c r="F46">
        <v>2</v>
      </c>
      <c r="G46">
        <v>4.46</v>
      </c>
      <c r="H46">
        <v>2.13</v>
      </c>
      <c r="I46">
        <v>1</v>
      </c>
      <c r="J46">
        <v>2</v>
      </c>
      <c r="K46">
        <v>1</v>
      </c>
      <c r="L46">
        <v>2.2000000000000002</v>
      </c>
      <c r="M46">
        <v>6.66</v>
      </c>
      <c r="N46">
        <v>2</v>
      </c>
      <c r="Q46" t="s">
        <v>372</v>
      </c>
      <c r="R46" t="s">
        <v>372</v>
      </c>
    </row>
    <row r="47" spans="1:18" x14ac:dyDescent="0.2">
      <c r="A47">
        <v>46</v>
      </c>
      <c r="B47">
        <v>41</v>
      </c>
      <c r="C47" t="s">
        <v>447</v>
      </c>
      <c r="D47">
        <v>1</v>
      </c>
      <c r="E47">
        <v>1.95</v>
      </c>
      <c r="F47">
        <v>1</v>
      </c>
      <c r="G47">
        <v>2.15</v>
      </c>
      <c r="H47">
        <v>1.95</v>
      </c>
      <c r="I47">
        <v>2</v>
      </c>
      <c r="J47">
        <v>4.01</v>
      </c>
      <c r="K47">
        <v>2</v>
      </c>
      <c r="L47">
        <v>4.41</v>
      </c>
      <c r="M47">
        <v>6.56</v>
      </c>
      <c r="N47">
        <v>2.14</v>
      </c>
      <c r="Q47" t="s">
        <v>372</v>
      </c>
      <c r="R47" t="s">
        <v>372</v>
      </c>
    </row>
    <row r="48" spans="1:18" x14ac:dyDescent="0.2">
      <c r="A48">
        <v>47</v>
      </c>
      <c r="B48">
        <v>74</v>
      </c>
      <c r="C48" t="s">
        <v>468</v>
      </c>
      <c r="D48">
        <v>2</v>
      </c>
      <c r="E48">
        <v>3.46</v>
      </c>
      <c r="F48">
        <v>2</v>
      </c>
      <c r="G48">
        <v>3.86</v>
      </c>
      <c r="H48">
        <v>1.8</v>
      </c>
      <c r="I48">
        <v>1</v>
      </c>
      <c r="J48">
        <v>2.25</v>
      </c>
      <c r="K48">
        <v>1</v>
      </c>
      <c r="L48">
        <v>2.4500000000000002</v>
      </c>
      <c r="M48">
        <v>6.31</v>
      </c>
      <c r="N48">
        <v>2.25</v>
      </c>
      <c r="Q48" t="s">
        <v>372</v>
      </c>
      <c r="R48" t="s">
        <v>372</v>
      </c>
    </row>
    <row r="49" spans="1:18" x14ac:dyDescent="0.2">
      <c r="A49">
        <v>48</v>
      </c>
      <c r="B49">
        <v>27</v>
      </c>
      <c r="C49" t="s">
        <v>384</v>
      </c>
      <c r="D49">
        <v>1</v>
      </c>
      <c r="E49">
        <v>0.56000000000000005</v>
      </c>
      <c r="F49">
        <v>1</v>
      </c>
      <c r="G49">
        <v>0.76</v>
      </c>
      <c r="H49">
        <v>0.56000000000000005</v>
      </c>
      <c r="I49">
        <v>2</v>
      </c>
      <c r="J49">
        <v>4.41</v>
      </c>
      <c r="K49">
        <v>2</v>
      </c>
      <c r="L49">
        <v>4.8099999999999996</v>
      </c>
      <c r="M49">
        <v>5.57</v>
      </c>
      <c r="N49">
        <v>2.4300000000000002</v>
      </c>
      <c r="Q49" t="s">
        <v>372</v>
      </c>
      <c r="R49" t="s">
        <v>372</v>
      </c>
    </row>
    <row r="50" spans="1:18" x14ac:dyDescent="0.2">
      <c r="A50">
        <v>49</v>
      </c>
      <c r="B50">
        <v>13</v>
      </c>
      <c r="C50" t="s">
        <v>441</v>
      </c>
      <c r="D50">
        <v>0</v>
      </c>
      <c r="E50">
        <v>0</v>
      </c>
      <c r="F50">
        <v>0</v>
      </c>
      <c r="G50">
        <v>0</v>
      </c>
      <c r="H50">
        <v>0</v>
      </c>
      <c r="I50">
        <v>2</v>
      </c>
      <c r="J50">
        <v>5.0599999999999996</v>
      </c>
      <c r="K50">
        <v>2</v>
      </c>
      <c r="L50">
        <v>5.46</v>
      </c>
      <c r="M50">
        <v>5.46</v>
      </c>
      <c r="N50">
        <v>2.67</v>
      </c>
      <c r="Q50" t="s">
        <v>372</v>
      </c>
      <c r="R50" t="s">
        <v>372</v>
      </c>
    </row>
    <row r="51" spans="1:18" x14ac:dyDescent="0.2">
      <c r="A51">
        <v>50</v>
      </c>
      <c r="B51">
        <v>75</v>
      </c>
      <c r="C51" t="s">
        <v>472</v>
      </c>
      <c r="D51">
        <v>1</v>
      </c>
      <c r="E51">
        <v>1.64</v>
      </c>
      <c r="F51">
        <v>1</v>
      </c>
      <c r="G51">
        <v>1.84</v>
      </c>
      <c r="H51">
        <v>1.64</v>
      </c>
      <c r="I51">
        <v>1</v>
      </c>
      <c r="J51">
        <v>2.71</v>
      </c>
      <c r="K51">
        <v>1</v>
      </c>
      <c r="L51">
        <v>2.91</v>
      </c>
      <c r="M51">
        <v>4.75</v>
      </c>
      <c r="N51">
        <v>2.71</v>
      </c>
      <c r="Q51" t="s">
        <v>372</v>
      </c>
      <c r="R51" t="s">
        <v>372</v>
      </c>
    </row>
    <row r="52" spans="1:18" x14ac:dyDescent="0.2">
      <c r="A52">
        <v>51</v>
      </c>
      <c r="B52">
        <v>29</v>
      </c>
      <c r="C52" t="s">
        <v>234</v>
      </c>
      <c r="D52">
        <v>0</v>
      </c>
      <c r="E52">
        <v>0</v>
      </c>
      <c r="F52">
        <v>0</v>
      </c>
      <c r="G52">
        <v>0</v>
      </c>
      <c r="H52">
        <v>0</v>
      </c>
      <c r="I52">
        <v>2</v>
      </c>
      <c r="J52">
        <v>4.17</v>
      </c>
      <c r="K52">
        <v>2</v>
      </c>
      <c r="L52">
        <v>4.57</v>
      </c>
      <c r="M52">
        <v>4.57</v>
      </c>
      <c r="N52">
        <v>2.09</v>
      </c>
      <c r="Q52" t="s">
        <v>372</v>
      </c>
    </row>
    <row r="53" spans="1:18" x14ac:dyDescent="0.2">
      <c r="A53">
        <v>52</v>
      </c>
      <c r="B53">
        <v>36</v>
      </c>
      <c r="C53" t="s">
        <v>386</v>
      </c>
      <c r="D53">
        <v>2</v>
      </c>
      <c r="E53">
        <v>4.1100000000000003</v>
      </c>
      <c r="F53">
        <v>2</v>
      </c>
      <c r="G53">
        <v>4.51</v>
      </c>
      <c r="H53">
        <v>2.23</v>
      </c>
      <c r="I53">
        <v>0</v>
      </c>
      <c r="J53">
        <v>0</v>
      </c>
      <c r="K53">
        <v>0</v>
      </c>
      <c r="L53">
        <v>0</v>
      </c>
      <c r="M53">
        <v>4.51</v>
      </c>
      <c r="N53">
        <v>0</v>
      </c>
      <c r="Q53" t="s">
        <v>372</v>
      </c>
      <c r="R53" t="s">
        <v>372</v>
      </c>
    </row>
    <row r="54" spans="1:18" x14ac:dyDescent="0.2">
      <c r="A54">
        <v>53</v>
      </c>
      <c r="B54">
        <v>42</v>
      </c>
      <c r="C54" t="s">
        <v>411</v>
      </c>
      <c r="D54">
        <v>2</v>
      </c>
      <c r="E54">
        <v>4.01</v>
      </c>
      <c r="F54">
        <v>2</v>
      </c>
      <c r="G54">
        <v>4.41</v>
      </c>
      <c r="H54">
        <v>2.11</v>
      </c>
      <c r="I54">
        <v>0</v>
      </c>
      <c r="J54">
        <v>0</v>
      </c>
      <c r="K54">
        <v>0</v>
      </c>
      <c r="L54">
        <v>0</v>
      </c>
      <c r="M54">
        <v>4.41</v>
      </c>
      <c r="N54">
        <v>0</v>
      </c>
      <c r="Q54" t="s">
        <v>372</v>
      </c>
    </row>
    <row r="55" spans="1:18" x14ac:dyDescent="0.2">
      <c r="A55">
        <v>54</v>
      </c>
      <c r="B55">
        <v>59</v>
      </c>
      <c r="C55" t="s">
        <v>404</v>
      </c>
      <c r="D55">
        <v>2</v>
      </c>
      <c r="E55">
        <v>4.0149999999999997</v>
      </c>
      <c r="F55">
        <v>2</v>
      </c>
      <c r="G55">
        <v>4.41</v>
      </c>
      <c r="H55">
        <v>2.2000000000000002</v>
      </c>
      <c r="I55">
        <v>0</v>
      </c>
      <c r="J55">
        <v>0</v>
      </c>
      <c r="K55">
        <v>0</v>
      </c>
      <c r="L55">
        <v>0</v>
      </c>
      <c r="M55">
        <v>4.41</v>
      </c>
      <c r="N55">
        <v>0</v>
      </c>
    </row>
    <row r="56" spans="1:18" x14ac:dyDescent="0.2">
      <c r="A56">
        <v>55</v>
      </c>
      <c r="B56">
        <v>61</v>
      </c>
      <c r="C56" t="s">
        <v>457</v>
      </c>
      <c r="D56">
        <v>0</v>
      </c>
      <c r="E56">
        <v>0</v>
      </c>
      <c r="F56">
        <v>0</v>
      </c>
      <c r="G56">
        <v>0</v>
      </c>
      <c r="H56">
        <v>0</v>
      </c>
      <c r="I56">
        <v>2</v>
      </c>
      <c r="J56">
        <v>3.83</v>
      </c>
      <c r="K56">
        <v>2</v>
      </c>
      <c r="L56">
        <v>4.2300000000000004</v>
      </c>
      <c r="M56">
        <v>4.2300000000000004</v>
      </c>
      <c r="N56">
        <v>1.98</v>
      </c>
      <c r="Q56" t="s">
        <v>372</v>
      </c>
    </row>
    <row r="57" spans="1:18" x14ac:dyDescent="0.2">
      <c r="A57">
        <v>56</v>
      </c>
      <c r="B57">
        <v>43</v>
      </c>
      <c r="C57" t="s">
        <v>388</v>
      </c>
      <c r="D57">
        <v>0</v>
      </c>
      <c r="E57">
        <v>0</v>
      </c>
      <c r="F57">
        <v>0</v>
      </c>
      <c r="G57">
        <v>0</v>
      </c>
      <c r="H57">
        <v>0</v>
      </c>
      <c r="I57">
        <v>2</v>
      </c>
      <c r="J57">
        <v>3.8</v>
      </c>
      <c r="K57">
        <v>2</v>
      </c>
      <c r="L57">
        <v>4.2</v>
      </c>
      <c r="M57">
        <v>4.2</v>
      </c>
      <c r="N57">
        <v>1.95</v>
      </c>
    </row>
    <row r="58" spans="1:18" x14ac:dyDescent="0.2">
      <c r="A58">
        <v>57</v>
      </c>
      <c r="B58">
        <v>49</v>
      </c>
      <c r="C58" t="s">
        <v>451</v>
      </c>
      <c r="D58">
        <v>2</v>
      </c>
      <c r="E58">
        <v>3.72</v>
      </c>
      <c r="F58">
        <v>2</v>
      </c>
      <c r="G58">
        <v>4.12</v>
      </c>
      <c r="H58">
        <v>2</v>
      </c>
      <c r="I58">
        <v>0</v>
      </c>
      <c r="J58">
        <v>0</v>
      </c>
      <c r="K58">
        <v>0</v>
      </c>
      <c r="L58">
        <v>0</v>
      </c>
      <c r="M58">
        <v>4.12</v>
      </c>
      <c r="N58">
        <v>0</v>
      </c>
      <c r="Q58" t="s">
        <v>372</v>
      </c>
      <c r="R58" t="s">
        <v>372</v>
      </c>
    </row>
    <row r="59" spans="1:18" x14ac:dyDescent="0.2">
      <c r="A59">
        <v>58</v>
      </c>
      <c r="B59">
        <v>70</v>
      </c>
      <c r="C59" t="s">
        <v>464</v>
      </c>
      <c r="D59">
        <v>2</v>
      </c>
      <c r="E59">
        <v>3.7</v>
      </c>
      <c r="F59">
        <v>2</v>
      </c>
      <c r="G59">
        <v>4.0999999999999996</v>
      </c>
      <c r="H59">
        <v>2.04</v>
      </c>
      <c r="I59">
        <v>0</v>
      </c>
      <c r="J59">
        <v>0</v>
      </c>
      <c r="K59">
        <v>0</v>
      </c>
      <c r="L59">
        <v>0</v>
      </c>
      <c r="M59">
        <v>4.0999999999999996</v>
      </c>
      <c r="N59">
        <v>0</v>
      </c>
      <c r="Q59" t="s">
        <v>372</v>
      </c>
      <c r="R59" t="s">
        <v>372</v>
      </c>
    </row>
    <row r="60" spans="1:18" x14ac:dyDescent="0.2">
      <c r="A60">
        <v>59</v>
      </c>
      <c r="B60">
        <v>20</v>
      </c>
      <c r="C60" t="s">
        <v>330</v>
      </c>
      <c r="D60">
        <v>0</v>
      </c>
      <c r="E60">
        <v>0</v>
      </c>
      <c r="F60">
        <v>0</v>
      </c>
      <c r="G60">
        <v>0</v>
      </c>
      <c r="H60">
        <v>0</v>
      </c>
      <c r="I60">
        <v>2</v>
      </c>
      <c r="J60">
        <v>3.67</v>
      </c>
      <c r="K60">
        <v>2</v>
      </c>
      <c r="L60">
        <v>4.07</v>
      </c>
      <c r="M60">
        <v>4.07</v>
      </c>
      <c r="N60">
        <v>2.67</v>
      </c>
      <c r="Q60" t="s">
        <v>372</v>
      </c>
    </row>
    <row r="61" spans="1:18" x14ac:dyDescent="0.2">
      <c r="A61">
        <v>60</v>
      </c>
      <c r="B61">
        <v>56</v>
      </c>
      <c r="C61" t="s">
        <v>453</v>
      </c>
      <c r="D61">
        <v>0</v>
      </c>
      <c r="E61">
        <v>0</v>
      </c>
      <c r="F61">
        <v>0</v>
      </c>
      <c r="G61">
        <v>0</v>
      </c>
      <c r="H61">
        <v>0</v>
      </c>
      <c r="I61">
        <v>2</v>
      </c>
      <c r="J61">
        <v>3.65</v>
      </c>
      <c r="K61">
        <v>2</v>
      </c>
      <c r="L61">
        <v>4.05</v>
      </c>
      <c r="M61">
        <v>4.05</v>
      </c>
      <c r="N61">
        <v>1.93</v>
      </c>
      <c r="Q61" t="s">
        <v>372</v>
      </c>
      <c r="R61" t="s">
        <v>372</v>
      </c>
    </row>
    <row r="62" spans="1:18" x14ac:dyDescent="0.2">
      <c r="A62">
        <v>61</v>
      </c>
      <c r="B62">
        <v>40</v>
      </c>
      <c r="C62" t="s">
        <v>370</v>
      </c>
      <c r="D62">
        <v>1</v>
      </c>
      <c r="E62">
        <v>1.71</v>
      </c>
      <c r="F62">
        <v>1</v>
      </c>
      <c r="G62">
        <v>1.91</v>
      </c>
      <c r="H62">
        <v>1.71</v>
      </c>
      <c r="I62">
        <v>1</v>
      </c>
      <c r="J62">
        <v>1.91</v>
      </c>
      <c r="K62">
        <v>1</v>
      </c>
      <c r="L62">
        <v>2.11</v>
      </c>
      <c r="M62">
        <v>4.0199999999999996</v>
      </c>
      <c r="N62">
        <v>1.91</v>
      </c>
      <c r="Q62" t="s">
        <v>372</v>
      </c>
    </row>
    <row r="63" spans="1:18" x14ac:dyDescent="0.2">
      <c r="A63">
        <v>62</v>
      </c>
      <c r="B63">
        <v>67</v>
      </c>
      <c r="C63" t="s">
        <v>410</v>
      </c>
      <c r="D63">
        <v>1</v>
      </c>
      <c r="E63">
        <v>1.66</v>
      </c>
      <c r="F63">
        <v>1</v>
      </c>
      <c r="G63">
        <v>1.86</v>
      </c>
      <c r="H63">
        <v>1.66</v>
      </c>
      <c r="I63">
        <v>1</v>
      </c>
      <c r="J63">
        <v>1.69</v>
      </c>
      <c r="K63">
        <v>1</v>
      </c>
      <c r="L63">
        <v>1.89</v>
      </c>
      <c r="M63">
        <v>3.75</v>
      </c>
      <c r="N63">
        <v>1.69</v>
      </c>
      <c r="Q63" t="s">
        <v>372</v>
      </c>
      <c r="R63" t="s">
        <v>372</v>
      </c>
    </row>
    <row r="64" spans="1:18" x14ac:dyDescent="0.2">
      <c r="A64">
        <v>63</v>
      </c>
      <c r="B64">
        <v>73</v>
      </c>
      <c r="C64" t="s">
        <v>467</v>
      </c>
      <c r="D64">
        <v>1</v>
      </c>
      <c r="E64">
        <v>2.46</v>
      </c>
      <c r="F64">
        <v>1</v>
      </c>
      <c r="G64">
        <v>2.66</v>
      </c>
      <c r="H64">
        <v>2.46</v>
      </c>
      <c r="I64">
        <v>0</v>
      </c>
      <c r="J64">
        <v>0</v>
      </c>
      <c r="K64">
        <v>0</v>
      </c>
      <c r="L64">
        <v>0</v>
      </c>
      <c r="M64">
        <v>2.66</v>
      </c>
      <c r="N64">
        <v>0</v>
      </c>
    </row>
    <row r="65" spans="1:18" x14ac:dyDescent="0.2">
      <c r="A65">
        <v>64</v>
      </c>
      <c r="B65">
        <v>57</v>
      </c>
      <c r="C65" t="s">
        <v>454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2.25</v>
      </c>
      <c r="K65">
        <v>1</v>
      </c>
      <c r="L65">
        <v>2.4500000000000002</v>
      </c>
      <c r="M65">
        <v>2.4500000000000002</v>
      </c>
      <c r="N65">
        <v>2.25</v>
      </c>
      <c r="Q65" t="s">
        <v>372</v>
      </c>
      <c r="R65" t="s">
        <v>372</v>
      </c>
    </row>
    <row r="66" spans="1:18" x14ac:dyDescent="0.2">
      <c r="A66">
        <v>65</v>
      </c>
      <c r="B66">
        <v>48</v>
      </c>
      <c r="C66" t="s">
        <v>450</v>
      </c>
      <c r="D66">
        <v>1</v>
      </c>
      <c r="E66">
        <v>1.83</v>
      </c>
      <c r="F66">
        <v>1</v>
      </c>
      <c r="G66">
        <v>2.0299999999999998</v>
      </c>
      <c r="H66">
        <v>1.83</v>
      </c>
      <c r="I66">
        <v>0</v>
      </c>
      <c r="J66">
        <v>0</v>
      </c>
      <c r="K66">
        <v>0</v>
      </c>
      <c r="L66">
        <v>0</v>
      </c>
      <c r="M66">
        <v>2.0299999999999998</v>
      </c>
      <c r="N66">
        <v>0</v>
      </c>
      <c r="Q66" t="s">
        <v>372</v>
      </c>
      <c r="R66" t="s">
        <v>372</v>
      </c>
    </row>
    <row r="67" spans="1:18" x14ac:dyDescent="0.2">
      <c r="A67">
        <v>66</v>
      </c>
      <c r="B67">
        <v>1</v>
      </c>
      <c r="C67" t="s">
        <v>470</v>
      </c>
      <c r="D67">
        <v>1</v>
      </c>
      <c r="E67">
        <v>1.78</v>
      </c>
      <c r="F67">
        <v>1</v>
      </c>
      <c r="G67">
        <v>1.98</v>
      </c>
      <c r="H67">
        <v>1.78</v>
      </c>
      <c r="I67">
        <v>0</v>
      </c>
      <c r="J67">
        <v>0</v>
      </c>
      <c r="K67">
        <v>0</v>
      </c>
      <c r="L67">
        <v>0</v>
      </c>
      <c r="M67">
        <v>1.98</v>
      </c>
      <c r="N67">
        <v>0</v>
      </c>
      <c r="O67" t="s">
        <v>473</v>
      </c>
      <c r="Q67" t="s">
        <v>372</v>
      </c>
    </row>
    <row r="68" spans="1:18" x14ac:dyDescent="0.2">
      <c r="A68">
        <v>67</v>
      </c>
      <c r="B68">
        <v>50</v>
      </c>
      <c r="C68" t="s">
        <v>308</v>
      </c>
      <c r="D68">
        <v>1</v>
      </c>
      <c r="E68">
        <v>1.64</v>
      </c>
      <c r="F68">
        <v>1</v>
      </c>
      <c r="G68">
        <v>1.84</v>
      </c>
      <c r="H68">
        <v>1.64</v>
      </c>
      <c r="I68">
        <v>0</v>
      </c>
      <c r="J68">
        <v>0</v>
      </c>
      <c r="K68">
        <v>0</v>
      </c>
      <c r="L68">
        <v>0</v>
      </c>
      <c r="M68">
        <v>1.84</v>
      </c>
      <c r="N68">
        <v>0</v>
      </c>
      <c r="Q68" t="s">
        <v>372</v>
      </c>
      <c r="R68" t="s">
        <v>372</v>
      </c>
    </row>
    <row r="69" spans="1:18" x14ac:dyDescent="0.2">
      <c r="A69">
        <v>68</v>
      </c>
      <c r="B69">
        <v>11</v>
      </c>
      <c r="C69" t="s">
        <v>392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Q69" t="s">
        <v>372</v>
      </c>
    </row>
    <row r="70" spans="1:18" x14ac:dyDescent="0.2">
      <c r="A70">
        <v>68</v>
      </c>
      <c r="B70">
        <v>37</v>
      </c>
      <c r="C70" t="s">
        <v>446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Q70" t="s">
        <v>372</v>
      </c>
    </row>
    <row r="71" spans="1:18" x14ac:dyDescent="0.2">
      <c r="A71">
        <v>68</v>
      </c>
      <c r="B71">
        <v>47</v>
      </c>
      <c r="C71" t="s">
        <v>449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Q71" t="s">
        <v>372</v>
      </c>
    </row>
    <row r="72" spans="1:18" x14ac:dyDescent="0.2">
      <c r="A72">
        <v>68</v>
      </c>
      <c r="B72">
        <v>54</v>
      </c>
      <c r="C72" t="s">
        <v>452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Q72" t="s">
        <v>372</v>
      </c>
      <c r="R72" t="s">
        <v>372</v>
      </c>
    </row>
    <row r="73" spans="1:18" x14ac:dyDescent="0.2">
      <c r="A73">
        <v>68</v>
      </c>
      <c r="B73">
        <v>58</v>
      </c>
      <c r="C73" t="s">
        <v>455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Q73" t="s">
        <v>372</v>
      </c>
      <c r="R73" t="s">
        <v>372</v>
      </c>
    </row>
    <row r="74" spans="1:18" x14ac:dyDescent="0.2">
      <c r="A74">
        <v>68</v>
      </c>
      <c r="B74">
        <v>64</v>
      </c>
      <c r="C74" t="s">
        <v>460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Q74" t="s">
        <v>372</v>
      </c>
    </row>
    <row r="75" spans="1:18" x14ac:dyDescent="0.2">
      <c r="A75">
        <v>68</v>
      </c>
      <c r="B75">
        <v>65</v>
      </c>
      <c r="C75" t="s">
        <v>469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Q75" t="s">
        <v>372</v>
      </c>
    </row>
    <row r="76" spans="1:18" x14ac:dyDescent="0.2">
      <c r="A76">
        <v>68</v>
      </c>
      <c r="B76">
        <v>71</v>
      </c>
      <c r="C76" t="s">
        <v>465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Q76" t="s">
        <v>372</v>
      </c>
      <c r="R76" t="s">
        <v>372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984539-D58F-4F1E-A1F4-A01583998F2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Calcutta (2)</vt:lpstr>
      <vt:lpstr>Instructions</vt:lpstr>
      <vt:lpstr>Control Page</vt:lpstr>
      <vt:lpstr>Calcutta</vt:lpstr>
      <vt:lpstr>Most Improved</vt:lpstr>
      <vt:lpstr>Ticket</vt:lpstr>
      <vt:lpstr>Stats</vt:lpstr>
      <vt:lpstr>2022</vt:lpstr>
      <vt:lpstr>2021</vt:lpstr>
      <vt:lpstr>2020</vt:lpstr>
      <vt:lpstr>Template</vt:lpstr>
      <vt:lpstr>2019</vt:lpstr>
      <vt:lpstr>2018</vt:lpstr>
      <vt:lpstr>2017</vt:lpstr>
      <vt:lpstr>2016</vt:lpstr>
      <vt:lpstr>Images</vt:lpstr>
      <vt:lpstr>Sheet4</vt:lpstr>
      <vt:lpstr>Backup</vt:lpstr>
      <vt:lpstr>'2017'!Print_Area</vt:lpstr>
      <vt:lpstr>'2018'!Print_Area</vt:lpstr>
      <vt:lpstr>'2019'!Print_Area</vt:lpstr>
      <vt:lpstr>'2020'!Print_Area</vt:lpstr>
      <vt:lpstr>'2021'!Print_Area</vt:lpstr>
      <vt:lpstr>'2022'!Print_Area</vt:lpstr>
      <vt:lpstr>Calcutta!Print_Area</vt:lpstr>
      <vt:lpstr>'Calcutta (2)'!Print_Area</vt:lpstr>
      <vt:lpstr>'Control Page'!Print_Area</vt:lpstr>
      <vt:lpstr>Template!Print_Area</vt:lpstr>
      <vt:lpstr>Ticket!Print_Area</vt:lpstr>
      <vt:lpstr>'2016'!Print_Titles</vt:lpstr>
      <vt:lpstr>'Control Page'!Print_Titles</vt:lpstr>
      <vt:lpstr>Sheet4!Print_Titles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Fishing Tourney</dc:title>
  <dc:creator>Cheryl Williams</dc:creator>
  <cp:lastModifiedBy>Josh</cp:lastModifiedBy>
  <cp:lastPrinted>2023-03-17T22:59:23Z</cp:lastPrinted>
  <dcterms:created xsi:type="dcterms:W3CDTF">2007-05-07T23:25:14Z</dcterms:created>
  <dcterms:modified xsi:type="dcterms:W3CDTF">2023-04-05T23:28:18Z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286e9cda-edea-4b6d-9eb2-b8a5ddbe71ea</vt:lpwstr>
  </property>
</Properties>
</file>