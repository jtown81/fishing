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001 HPA Data\"/>
    </mc:Choice>
  </mc:AlternateContent>
  <xr:revisionPtr revIDLastSave="0" documentId="13_ncr:1_{C9F6A4D0-592A-4E74-882A-F6EB109EA928}" xr6:coauthVersionLast="47" xr6:coauthVersionMax="47" xr10:uidLastSave="{00000000-0000-0000-0000-000000000000}"/>
  <bookViews>
    <workbookView xWindow="-105" yWindow="0" windowWidth="18750" windowHeight="15585" tabRatio="765" firstSheet="2" activeTab="2" xr2:uid="{00000000-000D-0000-FFFF-FFFF00000000}"/>
  </bookViews>
  <sheets>
    <sheet name="Calcutta (2)" sheetId="20" state="hidden" r:id="rId1"/>
    <sheet name="Instructions" sheetId="9" r:id="rId2"/>
    <sheet name="Control Page" sheetId="7" r:id="rId3"/>
    <sheet name="Calcutta" sheetId="11" r:id="rId4"/>
    <sheet name="Most Improved" sheetId="19" r:id="rId5"/>
    <sheet name="Ticket" sheetId="6" r:id="rId6"/>
    <sheet name="Stats" sheetId="12" r:id="rId7"/>
    <sheet name="2022" sheetId="22" r:id="rId8"/>
    <sheet name="2022 (2)" sheetId="23" r:id="rId9"/>
    <sheet name="2021" sheetId="21" r:id="rId10"/>
    <sheet name="2020" sheetId="16" r:id="rId11"/>
    <sheet name="Template" sheetId="14" state="hidden" r:id="rId12"/>
    <sheet name="2019" sheetId="15" r:id="rId13"/>
    <sheet name="2018" sheetId="13" r:id="rId14"/>
    <sheet name="2017" sheetId="8" r:id="rId15"/>
    <sheet name="2016" sheetId="1" r:id="rId16"/>
    <sheet name="Images" sheetId="17" r:id="rId17"/>
    <sheet name="Sheet4" sheetId="3" r:id="rId18"/>
    <sheet name="Backup" sheetId="10" r:id="rId19"/>
  </sheets>
  <definedNames>
    <definedName name="_xlnm._FilterDatabase" localSheetId="15" hidden="1">'2016'!$B$1:$B$66</definedName>
    <definedName name="_xlnm.Print_Area" localSheetId="14">'2017'!$A$1:$N$77</definedName>
    <definedName name="_xlnm.Print_Area" localSheetId="13">'2018'!$A$1:$N$77</definedName>
    <definedName name="_xlnm.Print_Area" localSheetId="12">'2019'!$A$1:$N$77</definedName>
    <definedName name="_xlnm.Print_Area" localSheetId="10">'2020'!$A$1:$N$77</definedName>
    <definedName name="_xlnm.Print_Area" localSheetId="9">'2021'!$A$1:$N$77</definedName>
    <definedName name="_xlnm.Print_Area" localSheetId="7">'2022'!$A$1:$N$77</definedName>
    <definedName name="_xlnm.Print_Area" localSheetId="8">'2022 (2)'!$A$1:$N$77</definedName>
    <definedName name="_xlnm.Print_Area" localSheetId="3">Calcutta!$A$1:$M$27</definedName>
    <definedName name="_xlnm.Print_Area" localSheetId="0">'Calcutta (2)'!$A$1:$K$27</definedName>
    <definedName name="_xlnm.Print_Area" localSheetId="2">'Control Page'!$C$2:$Q$77</definedName>
    <definedName name="_xlnm.Print_Area" localSheetId="11">Template!$A$1:$N$77</definedName>
    <definedName name="_xlnm.Print_Area" localSheetId="5">Ticket!$A$1:$H$54</definedName>
    <definedName name="_xlnm.Print_Titles" localSheetId="15">'2016'!$1:$1</definedName>
    <definedName name="_xlnm.Print_Titles" localSheetId="2">'Control Page'!$2:$2</definedName>
    <definedName name="_xlnm.Print_Titles" localSheetId="17">Sheet4!$3:$3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7" i="7" l="1"/>
  <c r="T76" i="7"/>
  <c r="T75" i="7"/>
  <c r="T74" i="7"/>
  <c r="T73" i="7"/>
  <c r="T72" i="7"/>
  <c r="T71" i="7"/>
  <c r="T70" i="7"/>
  <c r="T69" i="7"/>
  <c r="T68" i="7"/>
  <c r="T67" i="7"/>
  <c r="T66" i="7"/>
  <c r="T65" i="7"/>
  <c r="T64" i="7"/>
  <c r="T63" i="7"/>
  <c r="T62" i="7"/>
  <c r="T61" i="7"/>
  <c r="T60" i="7"/>
  <c r="T59" i="7"/>
  <c r="T58" i="7"/>
  <c r="T57" i="7"/>
  <c r="T56" i="7"/>
  <c r="T55" i="7"/>
  <c r="T54" i="7"/>
  <c r="T53" i="7"/>
  <c r="T52" i="7"/>
  <c r="T51" i="7"/>
  <c r="T50" i="7"/>
  <c r="T49" i="7"/>
  <c r="T48" i="7"/>
  <c r="T47" i="7"/>
  <c r="T46" i="7"/>
  <c r="T45" i="7"/>
  <c r="T44" i="7"/>
  <c r="T43" i="7"/>
  <c r="T42" i="7"/>
  <c r="T41" i="7"/>
  <c r="T40" i="7"/>
  <c r="T39" i="7"/>
  <c r="T38" i="7"/>
  <c r="T37" i="7"/>
  <c r="T36" i="7"/>
  <c r="T35" i="7"/>
  <c r="T34" i="7"/>
  <c r="T33" i="7"/>
  <c r="T32" i="7"/>
  <c r="T31" i="7"/>
  <c r="T30" i="7"/>
  <c r="T29" i="7"/>
  <c r="T28" i="7"/>
  <c r="T27" i="7"/>
  <c r="T26" i="7"/>
  <c r="T25" i="7"/>
  <c r="T24" i="7"/>
  <c r="T23" i="7"/>
  <c r="T22" i="7"/>
  <c r="T21" i="7"/>
  <c r="T20" i="7"/>
  <c r="T19" i="7"/>
  <c r="T18" i="7"/>
  <c r="T17" i="7"/>
  <c r="T16" i="7"/>
  <c r="T15" i="7"/>
  <c r="T14" i="7"/>
  <c r="T13" i="7"/>
  <c r="T12" i="7"/>
  <c r="T11" i="7"/>
  <c r="T10" i="7"/>
  <c r="T9" i="7"/>
  <c r="T8" i="7"/>
  <c r="T7" i="7"/>
  <c r="T6" i="7"/>
  <c r="T5" i="7"/>
  <c r="T4" i="7"/>
  <c r="T3" i="7"/>
  <c r="R44" i="19"/>
  <c r="R31" i="19"/>
  <c r="R32" i="19"/>
  <c r="R6" i="19"/>
  <c r="R4" i="19"/>
  <c r="R40" i="19"/>
  <c r="R34" i="19"/>
  <c r="R9" i="19"/>
  <c r="R3" i="19"/>
  <c r="R11" i="19"/>
  <c r="R72" i="19"/>
  <c r="R17" i="19"/>
  <c r="R18" i="19"/>
  <c r="R41" i="19"/>
  <c r="R26" i="19"/>
  <c r="R35" i="19"/>
  <c r="R57" i="19"/>
  <c r="R66" i="19"/>
  <c r="R15" i="19"/>
  <c r="R7" i="19"/>
  <c r="R67" i="19"/>
  <c r="R10" i="19"/>
  <c r="R69" i="19"/>
  <c r="R12" i="19"/>
  <c r="R48" i="19"/>
  <c r="R22" i="19"/>
  <c r="R36" i="19"/>
  <c r="R24" i="19"/>
  <c r="R19" i="19"/>
  <c r="R29" i="19"/>
  <c r="R25" i="19"/>
  <c r="R60" i="19"/>
  <c r="R23" i="19"/>
  <c r="R27" i="19"/>
  <c r="R75" i="19"/>
  <c r="R33" i="19"/>
  <c r="R58" i="19"/>
  <c r="R30" i="19"/>
  <c r="R37" i="19"/>
  <c r="R20" i="19"/>
  <c r="R62" i="19"/>
  <c r="R13" i="19"/>
  <c r="R38" i="19"/>
  <c r="R45" i="19"/>
  <c r="R46" i="19"/>
  <c r="R2" i="19"/>
  <c r="R42" i="19"/>
  <c r="R61" i="19"/>
  <c r="R65" i="19"/>
  <c r="R70" i="19"/>
  <c r="R47" i="19"/>
  <c r="R68" i="19"/>
  <c r="R43" i="19"/>
  <c r="R73" i="19"/>
  <c r="R63" i="19"/>
  <c r="R8" i="19"/>
  <c r="R28" i="19"/>
  <c r="R39" i="19"/>
  <c r="R64" i="19"/>
  <c r="R21" i="19"/>
  <c r="R5" i="19"/>
  <c r="R14" i="19"/>
  <c r="R59" i="19"/>
  <c r="R16" i="19"/>
  <c r="R76" i="19"/>
  <c r="R74" i="19"/>
  <c r="R71" i="19"/>
  <c r="R49" i="19"/>
  <c r="R50" i="19"/>
  <c r="R51" i="19"/>
  <c r="R52" i="19"/>
  <c r="R53" i="19"/>
  <c r="R54" i="19"/>
  <c r="R55" i="19"/>
  <c r="R56" i="19"/>
  <c r="AD5" i="12"/>
  <c r="AE2" i="12"/>
  <c r="AG9" i="12"/>
  <c r="AE6" i="12"/>
  <c r="AD7" i="12"/>
  <c r="H32" i="12"/>
  <c r="K38" i="12"/>
  <c r="B32" i="12"/>
  <c r="K36" i="12"/>
  <c r="AE3" i="12"/>
  <c r="AG6" i="12"/>
  <c r="B48" i="12"/>
  <c r="AD6" i="12"/>
  <c r="AE4" i="12"/>
  <c r="E33" i="12"/>
  <c r="E35" i="12"/>
  <c r="H34" i="12"/>
  <c r="B36" i="12"/>
  <c r="K48" i="12"/>
  <c r="H48" i="12"/>
  <c r="H35" i="12"/>
  <c r="H47" i="12"/>
  <c r="H38" i="12"/>
  <c r="AD3" i="12"/>
  <c r="H33" i="12"/>
  <c r="AG7" i="12"/>
  <c r="AG5" i="12"/>
  <c r="AG8" i="12"/>
  <c r="AE5" i="12"/>
  <c r="B44" i="12"/>
  <c r="H44" i="12"/>
  <c r="AG2" i="12"/>
  <c r="AF4" i="12"/>
  <c r="E34" i="12"/>
  <c r="AD8" i="12"/>
  <c r="E44" i="12"/>
  <c r="E45" i="12"/>
  <c r="B35" i="12"/>
  <c r="K47" i="12"/>
  <c r="H46" i="12"/>
  <c r="K32" i="12"/>
  <c r="E46" i="12"/>
  <c r="AE7" i="12"/>
  <c r="B38" i="12"/>
  <c r="K33" i="12"/>
  <c r="AG3" i="12"/>
  <c r="AG4" i="12"/>
  <c r="H43" i="12"/>
  <c r="B42" i="12"/>
  <c r="AD2" i="12"/>
  <c r="K45" i="12"/>
  <c r="H36" i="12"/>
  <c r="K44" i="12"/>
  <c r="E47" i="12"/>
  <c r="K37" i="12"/>
  <c r="AE9" i="12"/>
  <c r="E48" i="12"/>
  <c r="B45" i="12"/>
  <c r="AD4" i="12"/>
  <c r="E36" i="12"/>
  <c r="AF7" i="12"/>
  <c r="AF3" i="12"/>
  <c r="AF2" i="12"/>
  <c r="E37" i="12"/>
  <c r="AE8" i="12"/>
  <c r="B43" i="12"/>
  <c r="K46" i="12"/>
  <c r="K42" i="12"/>
  <c r="AF8" i="12"/>
  <c r="E32" i="12"/>
  <c r="B34" i="12"/>
  <c r="K43" i="12"/>
  <c r="AF6" i="12"/>
  <c r="H45" i="12"/>
  <c r="AF5" i="12"/>
  <c r="K35" i="12"/>
  <c r="E38" i="12"/>
  <c r="AD9" i="12"/>
  <c r="E42" i="12"/>
  <c r="H42" i="12"/>
  <c r="H37" i="12"/>
  <c r="E43" i="12"/>
  <c r="B37" i="12"/>
  <c r="B47" i="12"/>
  <c r="B46" i="12"/>
  <c r="B33" i="12"/>
  <c r="K34" i="12"/>
  <c r="AF9" i="12"/>
  <c r="R1" i="20" l="1"/>
  <c r="G7" i="20"/>
  <c r="G21" i="20"/>
  <c r="G11" i="20"/>
  <c r="G17" i="20"/>
  <c r="G27" i="20"/>
  <c r="G5" i="20"/>
  <c r="G19" i="20"/>
  <c r="G3" i="20"/>
  <c r="L27" i="8" l="1"/>
  <c r="G27" i="8"/>
  <c r="L10" i="8"/>
  <c r="G10" i="8"/>
  <c r="L21" i="8"/>
  <c r="G21" i="8"/>
  <c r="L20" i="8"/>
  <c r="G20" i="8"/>
  <c r="L44" i="8"/>
  <c r="G44" i="8"/>
  <c r="L18" i="8"/>
  <c r="G18" i="8"/>
  <c r="L22" i="8"/>
  <c r="G22" i="8"/>
  <c r="L49" i="8"/>
  <c r="G49" i="8"/>
  <c r="L61" i="8"/>
  <c r="G61" i="8"/>
  <c r="L43" i="8"/>
  <c r="G43" i="8"/>
  <c r="L8" i="8"/>
  <c r="G8" i="8"/>
  <c r="L50" i="8"/>
  <c r="G50" i="8"/>
  <c r="L11" i="8"/>
  <c r="G11" i="8"/>
  <c r="L24" i="8"/>
  <c r="G24" i="8"/>
  <c r="L62" i="8"/>
  <c r="G62" i="8"/>
  <c r="L29" i="8"/>
  <c r="G29" i="8"/>
  <c r="L36" i="8"/>
  <c r="G36" i="8"/>
  <c r="L47" i="8"/>
  <c r="G47" i="8"/>
  <c r="L58" i="8"/>
  <c r="G58" i="8"/>
  <c r="L25" i="8"/>
  <c r="G25" i="8"/>
  <c r="L26" i="8"/>
  <c r="G26" i="8"/>
  <c r="L38" i="8"/>
  <c r="G38" i="8"/>
  <c r="L57" i="8"/>
  <c r="G57" i="8"/>
  <c r="L16" i="8"/>
  <c r="G16" i="8"/>
  <c r="L51" i="8"/>
  <c r="G51" i="8"/>
  <c r="L67" i="8"/>
  <c r="G67" i="8"/>
  <c r="L4" i="8"/>
  <c r="G4" i="8"/>
  <c r="L45" i="8"/>
  <c r="G45" i="8"/>
  <c r="L39" i="8"/>
  <c r="G39" i="8"/>
  <c r="L37" i="8"/>
  <c r="G37" i="8"/>
  <c r="L53" i="8"/>
  <c r="G53" i="8"/>
  <c r="L41" i="8"/>
  <c r="G41" i="8"/>
  <c r="L55" i="8"/>
  <c r="G55" i="8"/>
  <c r="L9" i="8"/>
  <c r="G9" i="8"/>
  <c r="L23" i="8"/>
  <c r="G23" i="8"/>
  <c r="L34" i="8"/>
  <c r="G34" i="8"/>
  <c r="L54" i="8"/>
  <c r="G54" i="8"/>
  <c r="L65" i="8"/>
  <c r="G65" i="8"/>
  <c r="L19" i="8"/>
  <c r="G19" i="8"/>
  <c r="L48" i="8"/>
  <c r="G48" i="8"/>
  <c r="L31" i="8"/>
  <c r="G31" i="8"/>
  <c r="L63" i="8"/>
  <c r="G63" i="8"/>
  <c r="L60" i="8"/>
  <c r="G60" i="8"/>
  <c r="L14" i="8"/>
  <c r="G14" i="8"/>
  <c r="L30" i="8"/>
  <c r="G30" i="8"/>
  <c r="L40" i="8"/>
  <c r="G40" i="8"/>
  <c r="L5" i="8"/>
  <c r="G5" i="8"/>
  <c r="L32" i="8"/>
  <c r="G32" i="8"/>
  <c r="L2" i="8"/>
  <c r="G2" i="8"/>
  <c r="L46" i="8"/>
  <c r="G46" i="8"/>
  <c r="L66" i="8"/>
  <c r="G66" i="8"/>
  <c r="L3" i="8"/>
  <c r="G3" i="8"/>
  <c r="L13" i="8"/>
  <c r="G13" i="8"/>
  <c r="L64" i="8"/>
  <c r="G64" i="8"/>
  <c r="L52" i="8"/>
  <c r="G52" i="8"/>
  <c r="L59" i="8"/>
  <c r="G59" i="8"/>
  <c r="L17" i="8"/>
  <c r="G17" i="8"/>
  <c r="L56" i="8"/>
  <c r="G56" i="8"/>
  <c r="L12" i="8"/>
  <c r="G12" i="8"/>
  <c r="L33" i="8"/>
  <c r="G33" i="8"/>
  <c r="L28" i="8"/>
  <c r="G28" i="8"/>
  <c r="L15" i="8"/>
  <c r="G15" i="8"/>
  <c r="L42" i="8"/>
  <c r="G42" i="8"/>
  <c r="L6" i="8"/>
  <c r="G6" i="8"/>
  <c r="L35" i="8"/>
  <c r="G35" i="8"/>
  <c r="L7" i="8"/>
  <c r="G7" i="8"/>
  <c r="E3" i="20"/>
  <c r="E10" i="20"/>
  <c r="G18" i="20"/>
  <c r="F27" i="20"/>
  <c r="F11" i="20"/>
  <c r="E12" i="20"/>
  <c r="G8" i="20"/>
  <c r="F18" i="20"/>
  <c r="E21" i="20"/>
  <c r="G20" i="20"/>
  <c r="F20" i="20"/>
  <c r="G4" i="20"/>
  <c r="G16" i="20"/>
  <c r="E20" i="20"/>
  <c r="E7" i="20"/>
  <c r="E8" i="20"/>
  <c r="E23" i="20"/>
  <c r="G10" i="20"/>
  <c r="F15" i="20"/>
  <c r="F2" i="20"/>
  <c r="G14" i="20"/>
  <c r="G25" i="20"/>
  <c r="F14" i="20"/>
  <c r="E18" i="20"/>
  <c r="G6" i="20"/>
  <c r="F17" i="20"/>
  <c r="F19" i="20"/>
  <c r="E27" i="20"/>
  <c r="E26" i="20"/>
  <c r="G26" i="20"/>
  <c r="E17" i="20"/>
  <c r="E15" i="20"/>
  <c r="F22" i="20"/>
  <c r="E5" i="20"/>
  <c r="F4" i="20"/>
  <c r="F7" i="20"/>
  <c r="F24" i="20"/>
  <c r="F23" i="20"/>
  <c r="F21" i="20"/>
  <c r="F10" i="20"/>
  <c r="G9" i="20"/>
  <c r="F8" i="20"/>
  <c r="F12" i="20"/>
  <c r="F13" i="20"/>
  <c r="E25" i="20"/>
  <c r="E14" i="20"/>
  <c r="F9" i="20"/>
  <c r="G15" i="20"/>
  <c r="F3" i="20"/>
  <c r="E16" i="20"/>
  <c r="G23" i="20"/>
  <c r="E11" i="20"/>
  <c r="F25" i="20"/>
  <c r="E6" i="20"/>
  <c r="G22" i="20"/>
  <c r="E13" i="20"/>
  <c r="G12" i="20"/>
  <c r="G2" i="20"/>
  <c r="E24" i="20"/>
  <c r="E4" i="20"/>
  <c r="E22" i="20"/>
  <c r="F6" i="20"/>
  <c r="G13" i="20"/>
  <c r="F26" i="20"/>
  <c r="F16" i="20"/>
  <c r="F5" i="20"/>
  <c r="E2" i="20"/>
  <c r="G24" i="20"/>
  <c r="E9" i="20"/>
  <c r="E19" i="20"/>
  <c r="I22" i="20" l="1"/>
  <c r="I4" i="20"/>
  <c r="I15" i="20"/>
  <c r="I18" i="20"/>
  <c r="I2" i="20"/>
  <c r="I6" i="20"/>
  <c r="I17" i="20"/>
  <c r="I20" i="20"/>
  <c r="I13" i="20"/>
  <c r="I16" i="20"/>
  <c r="I27" i="20"/>
  <c r="I11" i="20"/>
  <c r="I14" i="20"/>
  <c r="I19" i="20"/>
  <c r="I3" i="20"/>
  <c r="I25" i="20"/>
  <c r="I23" i="20"/>
  <c r="I7" i="20"/>
  <c r="I26" i="20"/>
  <c r="I10" i="20"/>
  <c r="I9" i="20"/>
  <c r="I12" i="20"/>
  <c r="I21" i="20"/>
  <c r="I5" i="20"/>
  <c r="I24" i="20"/>
  <c r="I8" i="20"/>
  <c r="M6" i="8"/>
  <c r="M33" i="8"/>
  <c r="M59" i="8"/>
  <c r="M3" i="8"/>
  <c r="M56" i="8"/>
  <c r="M64" i="8"/>
  <c r="M46" i="8"/>
  <c r="M40" i="8"/>
  <c r="M63" i="8"/>
  <c r="M65" i="8"/>
  <c r="M9" i="8"/>
  <c r="M37" i="8"/>
  <c r="M67" i="8"/>
  <c r="M38" i="8"/>
  <c r="M47" i="8"/>
  <c r="M24" i="8"/>
  <c r="M43" i="8"/>
  <c r="M18" i="8"/>
  <c r="M10" i="8"/>
  <c r="M17" i="8"/>
  <c r="M13" i="8"/>
  <c r="M2" i="8"/>
  <c r="M30" i="8"/>
  <c r="M31" i="8"/>
  <c r="M54" i="8"/>
  <c r="M55" i="8"/>
  <c r="M39" i="8"/>
  <c r="M51" i="8"/>
  <c r="M26" i="8"/>
  <c r="M36" i="8"/>
  <c r="M11" i="8"/>
  <c r="M61" i="8"/>
  <c r="M44" i="8"/>
  <c r="M27" i="8"/>
  <c r="M28" i="8"/>
  <c r="M32" i="8"/>
  <c r="M14" i="8"/>
  <c r="M48" i="8"/>
  <c r="M34" i="8"/>
  <c r="M41" i="8"/>
  <c r="M45" i="8"/>
  <c r="M25" i="8"/>
  <c r="M29" i="8"/>
  <c r="M50" i="8"/>
  <c r="M49" i="8"/>
  <c r="M20" i="8"/>
  <c r="M12" i="8"/>
  <c r="M5" i="8"/>
  <c r="M23" i="8"/>
  <c r="M62" i="8"/>
  <c r="M22" i="8"/>
  <c r="M66" i="8"/>
  <c r="M19" i="8"/>
  <c r="M4" i="8"/>
  <c r="M57" i="8"/>
  <c r="M8" i="8"/>
  <c r="M16" i="8"/>
  <c r="M52" i="8"/>
  <c r="M60" i="8"/>
  <c r="M53" i="8"/>
  <c r="M58" i="8"/>
  <c r="M21" i="8"/>
  <c r="M42" i="8"/>
  <c r="M7" i="8"/>
  <c r="M15" i="8"/>
  <c r="M35" i="8"/>
  <c r="T1" i="11"/>
  <c r="Q3" i="11"/>
  <c r="Q2" i="11"/>
  <c r="G2" i="1" l="1"/>
  <c r="L2" i="1"/>
  <c r="G3" i="1"/>
  <c r="L3" i="1"/>
  <c r="G4" i="1"/>
  <c r="L4" i="1"/>
  <c r="G5" i="1"/>
  <c r="L5" i="1"/>
  <c r="G6" i="1"/>
  <c r="L6" i="1"/>
  <c r="G7" i="1"/>
  <c r="L7" i="1"/>
  <c r="G8" i="1"/>
  <c r="L8" i="1"/>
  <c r="G9" i="1"/>
  <c r="L9" i="1"/>
  <c r="G10" i="1"/>
  <c r="L10" i="1"/>
  <c r="G11" i="1"/>
  <c r="L11" i="1"/>
  <c r="G12" i="1"/>
  <c r="L12" i="1"/>
  <c r="G13" i="1"/>
  <c r="L13" i="1"/>
  <c r="G14" i="1"/>
  <c r="L14" i="1"/>
  <c r="G15" i="1"/>
  <c r="L15" i="1"/>
  <c r="G16" i="1"/>
  <c r="L16" i="1"/>
  <c r="G17" i="1"/>
  <c r="L17" i="1"/>
  <c r="G18" i="1"/>
  <c r="L18" i="1"/>
  <c r="G19" i="1"/>
  <c r="L19" i="1"/>
  <c r="G20" i="1"/>
  <c r="L20" i="1"/>
  <c r="G21" i="1"/>
  <c r="L21" i="1"/>
  <c r="G22" i="1"/>
  <c r="L22" i="1"/>
  <c r="G23" i="1"/>
  <c r="L23" i="1"/>
  <c r="G24" i="1"/>
  <c r="L24" i="1"/>
  <c r="G25" i="1"/>
  <c r="L25" i="1"/>
  <c r="G26" i="1"/>
  <c r="L26" i="1"/>
  <c r="G27" i="1"/>
  <c r="L27" i="1"/>
  <c r="G28" i="1"/>
  <c r="L28" i="1"/>
  <c r="G29" i="1"/>
  <c r="L29" i="1"/>
  <c r="G30" i="1"/>
  <c r="L30" i="1"/>
  <c r="G31" i="1"/>
  <c r="L31" i="1"/>
  <c r="G32" i="1"/>
  <c r="L32" i="1"/>
  <c r="G33" i="1"/>
  <c r="L33" i="1"/>
  <c r="G34" i="1"/>
  <c r="L34" i="1"/>
  <c r="G35" i="1"/>
  <c r="L35" i="1"/>
  <c r="G36" i="1"/>
  <c r="L36" i="1"/>
  <c r="G37" i="1"/>
  <c r="L37" i="1"/>
  <c r="G38" i="1"/>
  <c r="L38" i="1"/>
  <c r="G39" i="1"/>
  <c r="L39" i="1"/>
  <c r="G40" i="1"/>
  <c r="L40" i="1"/>
  <c r="G41" i="1"/>
  <c r="L41" i="1"/>
  <c r="G42" i="1"/>
  <c r="L42" i="1"/>
  <c r="G43" i="1"/>
  <c r="L43" i="1"/>
  <c r="G44" i="1"/>
  <c r="L44" i="1"/>
  <c r="G45" i="1"/>
  <c r="L45" i="1"/>
  <c r="G46" i="1"/>
  <c r="L46" i="1"/>
  <c r="G47" i="1"/>
  <c r="L47" i="1"/>
  <c r="G48" i="1"/>
  <c r="L48" i="1"/>
  <c r="G49" i="1"/>
  <c r="L49" i="1"/>
  <c r="G50" i="1"/>
  <c r="L50" i="1"/>
  <c r="G51" i="1"/>
  <c r="L51" i="1"/>
  <c r="G52" i="1"/>
  <c r="L52" i="1"/>
  <c r="G53" i="1"/>
  <c r="L53" i="1"/>
  <c r="G54" i="1"/>
  <c r="L54" i="1"/>
  <c r="G55" i="1"/>
  <c r="L55" i="1"/>
  <c r="G56" i="1"/>
  <c r="L56" i="1"/>
  <c r="G57" i="1"/>
  <c r="L57" i="1"/>
  <c r="G58" i="1"/>
  <c r="L58" i="1"/>
  <c r="G59" i="1"/>
  <c r="L59" i="1"/>
  <c r="G60" i="1"/>
  <c r="L60" i="1"/>
  <c r="G61" i="1"/>
  <c r="L61" i="1"/>
  <c r="G62" i="1"/>
  <c r="L62" i="1"/>
  <c r="G63" i="1"/>
  <c r="L63" i="1"/>
  <c r="G64" i="1"/>
  <c r="L64" i="1"/>
  <c r="G65" i="1"/>
  <c r="L65" i="1"/>
  <c r="G66" i="1"/>
  <c r="L66" i="1"/>
  <c r="G67" i="1"/>
  <c r="L67" i="1"/>
  <c r="G68" i="1"/>
  <c r="L68" i="1"/>
  <c r="F2" i="11"/>
  <c r="M30" i="1" l="1"/>
  <c r="M44" i="1"/>
  <c r="M36" i="1"/>
  <c r="M20" i="1"/>
  <c r="M67" i="1"/>
  <c r="M66" i="1"/>
  <c r="M58" i="1"/>
  <c r="M53" i="1"/>
  <c r="M41" i="1"/>
  <c r="M33" i="1"/>
  <c r="M17" i="1"/>
  <c r="M68" i="1"/>
  <c r="M12" i="1"/>
  <c r="M31" i="1"/>
  <c r="M23" i="1"/>
  <c r="M26" i="1"/>
  <c r="M46" i="1"/>
  <c r="M42" i="1"/>
  <c r="M57" i="1"/>
  <c r="M10" i="1"/>
  <c r="M6" i="1"/>
  <c r="M2" i="1"/>
  <c r="M60" i="1"/>
  <c r="M8" i="1"/>
  <c r="M65" i="1"/>
  <c r="M14" i="1"/>
  <c r="C8" i="3"/>
  <c r="C20" i="3"/>
  <c r="C22" i="3"/>
  <c r="C21" i="3"/>
  <c r="M38" i="1"/>
  <c r="M34" i="1"/>
  <c r="C5" i="3"/>
  <c r="M11" i="1"/>
  <c r="M7" i="1"/>
  <c r="M3" i="1"/>
  <c r="M39" i="1"/>
  <c r="M54" i="1"/>
  <c r="M43" i="1"/>
  <c r="M9" i="1"/>
  <c r="C18" i="3"/>
  <c r="M63" i="1"/>
  <c r="M62" i="1"/>
  <c r="M61" i="1"/>
  <c r="M55" i="1"/>
  <c r="M51" i="1"/>
  <c r="M49" i="1"/>
  <c r="M47" i="1"/>
  <c r="M40" i="1"/>
  <c r="C14" i="3"/>
  <c r="M29" i="1"/>
  <c r="M28" i="1"/>
  <c r="M27" i="1"/>
  <c r="M25" i="1"/>
  <c r="M19" i="1"/>
  <c r="M15" i="1"/>
  <c r="M13" i="1"/>
  <c r="C16" i="3"/>
  <c r="M64" i="1"/>
  <c r="M52" i="1"/>
  <c r="M48" i="1"/>
  <c r="M45" i="1"/>
  <c r="C7" i="3"/>
  <c r="C4" i="3"/>
  <c r="M5" i="1"/>
  <c r="M35" i="1"/>
  <c r="M32" i="1"/>
  <c r="M22" i="1"/>
  <c r="M16" i="1"/>
  <c r="M4" i="1"/>
  <c r="C12" i="3"/>
  <c r="C3" i="3"/>
  <c r="M50" i="1"/>
  <c r="M37" i="1"/>
  <c r="M24" i="1"/>
  <c r="M21" i="1"/>
  <c r="M18" i="1"/>
  <c r="C1" i="3"/>
  <c r="M59" i="1"/>
  <c r="C2" i="3"/>
  <c r="C19" i="3"/>
  <c r="C15" i="3"/>
  <c r="C17" i="3"/>
  <c r="C9" i="3"/>
  <c r="C6" i="3"/>
  <c r="C13" i="3"/>
  <c r="C11" i="3"/>
  <c r="C10" i="3"/>
  <c r="M56" i="1"/>
  <c r="X7" i="12"/>
  <c r="K5" i="12"/>
  <c r="AC5" i="12"/>
  <c r="W4" i="12"/>
  <c r="H22" i="12"/>
  <c r="E2" i="12"/>
  <c r="H27" i="11"/>
  <c r="AB3" i="12"/>
  <c r="H9" i="11"/>
  <c r="W7" i="12"/>
  <c r="AA2" i="12"/>
  <c r="W2" i="12"/>
  <c r="R7" i="12"/>
  <c r="V3" i="12"/>
  <c r="R3" i="12"/>
  <c r="U4" i="12"/>
  <c r="R2" i="12"/>
  <c r="H27" i="12"/>
  <c r="G9" i="11"/>
  <c r="V2" i="12"/>
  <c r="Z3" i="12"/>
  <c r="K27" i="12"/>
  <c r="O2" i="12"/>
  <c r="O9" i="12"/>
  <c r="K8" i="12"/>
  <c r="Z7" i="12"/>
  <c r="G22" i="11"/>
  <c r="E23" i="12"/>
  <c r="Q7" i="12"/>
  <c r="Y2" i="12"/>
  <c r="O3" i="12"/>
  <c r="T7" i="12"/>
  <c r="B28" i="12"/>
  <c r="F24" i="11"/>
  <c r="K17" i="12"/>
  <c r="H7" i="12"/>
  <c r="AA9" i="12"/>
  <c r="P3" i="12"/>
  <c r="F15" i="11"/>
  <c r="AC3" i="12"/>
  <c r="AC9" i="12"/>
  <c r="U5" i="12"/>
  <c r="P6" i="12"/>
  <c r="O8" i="12"/>
  <c r="E4" i="12"/>
  <c r="G26" i="11"/>
  <c r="H16" i="11"/>
  <c r="S2" i="12"/>
  <c r="X2" i="12"/>
  <c r="U6" i="12"/>
  <c r="R4" i="12"/>
  <c r="T8" i="12"/>
  <c r="T2" i="12"/>
  <c r="H14" i="11"/>
  <c r="Q5" i="12"/>
  <c r="K16" i="12"/>
  <c r="F6" i="11"/>
  <c r="B26" i="12"/>
  <c r="G24" i="11"/>
  <c r="Y3" i="12"/>
  <c r="K7" i="12"/>
  <c r="F9" i="11"/>
  <c r="E8" i="12"/>
  <c r="AA6" i="12"/>
  <c r="B2" i="12"/>
  <c r="Z8" i="12"/>
  <c r="Z6" i="12"/>
  <c r="E15" i="12"/>
  <c r="G7" i="11"/>
  <c r="F18" i="11"/>
  <c r="Y4" i="12"/>
  <c r="E16" i="12"/>
  <c r="H15" i="12"/>
  <c r="K4" i="12"/>
  <c r="Z2" i="12"/>
  <c r="Y8" i="12"/>
  <c r="U3" i="12"/>
  <c r="H2" i="12"/>
  <c r="G27" i="11"/>
  <c r="G14" i="11"/>
  <c r="E22" i="12"/>
  <c r="AB7" i="12"/>
  <c r="F19" i="11"/>
  <c r="G5" i="11"/>
  <c r="E25" i="12"/>
  <c r="Y7" i="12"/>
  <c r="B13" i="12"/>
  <c r="E26" i="12"/>
  <c r="F8" i="11"/>
  <c r="H24" i="11"/>
  <c r="H26" i="11"/>
  <c r="Q3" i="12"/>
  <c r="G18" i="11"/>
  <c r="F26" i="11"/>
  <c r="X5" i="12"/>
  <c r="H23" i="12"/>
  <c r="B22" i="12"/>
  <c r="T9" i="12"/>
  <c r="G21" i="11"/>
  <c r="AB9" i="12"/>
  <c r="AB8" i="12"/>
  <c r="P5" i="12"/>
  <c r="K13" i="12"/>
  <c r="F14" i="11"/>
  <c r="X4" i="12"/>
  <c r="F25" i="11"/>
  <c r="E17" i="12"/>
  <c r="H23" i="11"/>
  <c r="AB2" i="12"/>
  <c r="K25" i="12"/>
  <c r="R5" i="12"/>
  <c r="K23" i="12"/>
  <c r="AC2" i="12"/>
  <c r="K22" i="12"/>
  <c r="G13" i="11"/>
  <c r="S3" i="12"/>
  <c r="E14" i="12"/>
  <c r="AB4" i="12"/>
  <c r="G11" i="11"/>
  <c r="Q6" i="12"/>
  <c r="F10" i="11"/>
  <c r="U7" i="12"/>
  <c r="B15" i="12"/>
  <c r="B23" i="12"/>
  <c r="P4" i="12"/>
  <c r="G2" i="11"/>
  <c r="E27" i="12"/>
  <c r="O6" i="12"/>
  <c r="G12" i="11"/>
  <c r="AC4" i="12"/>
  <c r="F20" i="11"/>
  <c r="S8" i="12"/>
  <c r="K3" i="12"/>
  <c r="V4" i="12"/>
  <c r="H3" i="11"/>
  <c r="Q8" i="12"/>
  <c r="B6" i="12"/>
  <c r="B4" i="12"/>
  <c r="X8" i="12"/>
  <c r="U2" i="12"/>
  <c r="W9" i="12"/>
  <c r="Q9" i="12"/>
  <c r="E7" i="12"/>
  <c r="V7" i="12"/>
  <c r="G17" i="11"/>
  <c r="K18" i="12"/>
  <c r="Z4" i="12"/>
  <c r="K6" i="12"/>
  <c r="H6" i="12"/>
  <c r="G20" i="11"/>
  <c r="Q4" i="12"/>
  <c r="G15" i="11"/>
  <c r="F22" i="11"/>
  <c r="E5" i="12"/>
  <c r="F17" i="11"/>
  <c r="O5" i="12"/>
  <c r="H12" i="12"/>
  <c r="AB6" i="12"/>
  <c r="G6" i="11"/>
  <c r="H25" i="12"/>
  <c r="AA7" i="12"/>
  <c r="AB5" i="12"/>
  <c r="H17" i="11"/>
  <c r="H16" i="12"/>
  <c r="F7" i="11"/>
  <c r="H15" i="11"/>
  <c r="B16" i="12"/>
  <c r="G16" i="11"/>
  <c r="O4" i="12"/>
  <c r="AA5" i="12"/>
  <c r="S4" i="12"/>
  <c r="W3" i="12"/>
  <c r="W5" i="12"/>
  <c r="Y9" i="12"/>
  <c r="B7" i="12"/>
  <c r="H11" i="11"/>
  <c r="E3" i="12"/>
  <c r="F4" i="11"/>
  <c r="H13" i="12"/>
  <c r="K14" i="12"/>
  <c r="AA3" i="12"/>
  <c r="T4" i="12"/>
  <c r="B24" i="12"/>
  <c r="G23" i="11"/>
  <c r="H19" i="11"/>
  <c r="H18" i="12"/>
  <c r="F12" i="11"/>
  <c r="H18" i="11"/>
  <c r="T3" i="12"/>
  <c r="H7" i="11"/>
  <c r="K26" i="12"/>
  <c r="H21" i="11"/>
  <c r="V6" i="12"/>
  <c r="Z9" i="12"/>
  <c r="V8" i="12"/>
  <c r="B3" i="12"/>
  <c r="H24" i="12"/>
  <c r="H25" i="11"/>
  <c r="E24" i="12"/>
  <c r="G25" i="11"/>
  <c r="W8" i="12"/>
  <c r="AA4" i="12"/>
  <c r="G3" i="11"/>
  <c r="E13" i="12"/>
  <c r="AC7" i="12"/>
  <c r="H12" i="11"/>
  <c r="B8" i="12"/>
  <c r="Z5" i="12"/>
  <c r="S6" i="12"/>
  <c r="B27" i="12"/>
  <c r="B25" i="12"/>
  <c r="H5" i="12"/>
  <c r="H2" i="11"/>
  <c r="F23" i="11"/>
  <c r="S9" i="12"/>
  <c r="E6" i="12"/>
  <c r="H17" i="12"/>
  <c r="H5" i="11"/>
  <c r="H6" i="11"/>
  <c r="AA8" i="12"/>
  <c r="B12" i="12"/>
  <c r="F3" i="11"/>
  <c r="F21" i="11"/>
  <c r="B5" i="12"/>
  <c r="F11" i="11"/>
  <c r="E12" i="12"/>
  <c r="X3" i="12"/>
  <c r="R9" i="12"/>
  <c r="K15" i="12"/>
  <c r="O7" i="12"/>
  <c r="AC8" i="12"/>
  <c r="H20" i="11"/>
  <c r="P7" i="12"/>
  <c r="H4" i="12"/>
  <c r="H28" i="12"/>
  <c r="K24" i="12"/>
  <c r="B18" i="12"/>
  <c r="F13" i="11"/>
  <c r="Y6" i="12"/>
  <c r="X6" i="12"/>
  <c r="F27" i="11"/>
  <c r="T5" i="12"/>
  <c r="H10" i="11"/>
  <c r="AC6" i="12"/>
  <c r="K28" i="12"/>
  <c r="G4" i="11"/>
  <c r="P2" i="12"/>
  <c r="Q2" i="12"/>
  <c r="S5" i="12"/>
  <c r="H14" i="12"/>
  <c r="H3" i="12"/>
  <c r="H8" i="11"/>
  <c r="H8" i="12"/>
  <c r="X9" i="12"/>
  <c r="U9" i="12"/>
  <c r="U8" i="12"/>
  <c r="G8" i="11"/>
  <c r="F16" i="11"/>
  <c r="V5" i="12"/>
  <c r="H4" i="11"/>
  <c r="H22" i="11"/>
  <c r="H13" i="11"/>
  <c r="B17" i="12"/>
  <c r="B14" i="12"/>
  <c r="P8" i="12"/>
  <c r="W6" i="12"/>
  <c r="S7" i="12"/>
  <c r="P9" i="12"/>
  <c r="F5" i="11"/>
  <c r="G10" i="11"/>
  <c r="Y5" i="12"/>
  <c r="T6" i="12"/>
  <c r="E18" i="12"/>
  <c r="R8" i="12"/>
  <c r="V9" i="12"/>
  <c r="G19" i="11"/>
  <c r="K2" i="12"/>
  <c r="E28" i="12"/>
  <c r="K12" i="12"/>
  <c r="H26" i="12"/>
  <c r="R6" i="12"/>
  <c r="K21" i="11" l="1"/>
  <c r="K20" i="11"/>
  <c r="K6" i="11"/>
  <c r="K12" i="11"/>
  <c r="K23" i="11"/>
  <c r="K24" i="11"/>
  <c r="K17" i="11"/>
  <c r="K14" i="11"/>
  <c r="K9" i="11"/>
  <c r="K22" i="11"/>
  <c r="K26" i="11"/>
  <c r="K4" i="11"/>
  <c r="K3" i="11"/>
  <c r="K8" i="11"/>
  <c r="K7" i="11"/>
  <c r="K18" i="11"/>
  <c r="K19" i="11"/>
  <c r="K2" i="11"/>
  <c r="K16" i="11"/>
  <c r="K27" i="11"/>
  <c r="K10" i="11"/>
  <c r="K11" i="11"/>
  <c r="K13" i="11"/>
  <c r="K5" i="11"/>
  <c r="K25" i="11"/>
  <c r="K15" i="11"/>
</calcChain>
</file>

<file path=xl/sharedStrings.xml><?xml version="1.0" encoding="utf-8"?>
<sst xmlns="http://schemas.openxmlformats.org/spreadsheetml/2006/main" count="1742" uniqueCount="475">
  <si>
    <t>Place</t>
  </si>
  <si>
    <t>Team #</t>
  </si>
  <si>
    <t>Name</t>
  </si>
  <si>
    <t>Day 1 # of Fish</t>
  </si>
  <si>
    <t>Day 1 Weight</t>
  </si>
  <si>
    <t>Released</t>
  </si>
  <si>
    <t>Day 1 Total</t>
  </si>
  <si>
    <t>Day 1 Big Fish</t>
  </si>
  <si>
    <t>Day 2 Weight</t>
  </si>
  <si>
    <t>Day 2 Total</t>
  </si>
  <si>
    <t>Grand Total</t>
  </si>
  <si>
    <t>Day 2 Big Fish</t>
  </si>
  <si>
    <t>Sort into place standing on day one</t>
  </si>
  <si>
    <t>After day one tournament inputs, highlight "Day 1 Total"</t>
  </si>
  <si>
    <t>click on Tools, then Protection, then unprotect</t>
  </si>
  <si>
    <t>click on data, then sort</t>
  </si>
  <si>
    <t>click on expand the selection then sort</t>
  </si>
  <si>
    <t>sort by Day 1 Total, then click decending, then ok</t>
  </si>
  <si>
    <t>Sort into place standings on total tournament</t>
  </si>
  <si>
    <t>After final results are inputted, highlight "Grand Total".</t>
  </si>
  <si>
    <t>click on tools, then protection, then unprotect</t>
  </si>
  <si>
    <t>click on expand the selection, then sort</t>
  </si>
  <si>
    <t>sort by Grand Total then click decending, then ok</t>
  </si>
  <si>
    <t>Once this is done then # places in numerical order</t>
  </si>
  <si>
    <t>from 1 to 65. Check for ties, make a note of any ties.</t>
  </si>
  <si>
    <t>Sort again, only this time sort Team #'s.</t>
  </si>
  <si>
    <t>Click on tools and protect.</t>
  </si>
  <si>
    <t>Teams</t>
  </si>
  <si>
    <t>Weight</t>
  </si>
  <si>
    <t>Darc Duprel               Mike Plaggemeyer</t>
  </si>
  <si>
    <t>Thomas Perlick        Mike Crozier</t>
  </si>
  <si>
    <t>Mike Delahoyde        Doug Kymala</t>
  </si>
  <si>
    <t>Jammey Gabert          Ken Gabert</t>
  </si>
  <si>
    <t>Tim Emme                 Bert Emme</t>
  </si>
  <si>
    <t>Jason Geuke            Brian Geuke</t>
  </si>
  <si>
    <t>Parker Shoun              Bob Shoun</t>
  </si>
  <si>
    <t xml:space="preserve">Day 2 # of Fish     </t>
  </si>
  <si>
    <t>Tom Neisen              Matt Neisen</t>
  </si>
  <si>
    <t>Johnathon Toth                                 Rod Toth</t>
  </si>
  <si>
    <t>Robert Sukut                                      Ryan Berger</t>
  </si>
  <si>
    <t>Wade Bail                                          Trevor Fisher</t>
  </si>
  <si>
    <t>Shannon Baseman                             Becky Hughes</t>
  </si>
  <si>
    <t>Ron Tietjon                                 Tyson Tietjon</t>
  </si>
  <si>
    <t>Bill Blickensderfer                                 Loren Kasuske</t>
  </si>
  <si>
    <t>Ryan Fredericksen         Lori Fredericksen</t>
  </si>
  <si>
    <t>Quentin Danley                        Ryan Geuke</t>
  </si>
  <si>
    <t>Cody Schvelke                         Bucky Derflinger</t>
  </si>
  <si>
    <t>Chance Hershey                      Darla Hershey</t>
  </si>
  <si>
    <t>Tyler Barrett                           Carla Barrett</t>
  </si>
  <si>
    <t>Roger McNary                     Brad Nelson</t>
  </si>
  <si>
    <t>Jim Gouldin                 Jeremy Gouldin</t>
  </si>
  <si>
    <t>John Magnusson                     Michal Magnusson</t>
  </si>
  <si>
    <t>Rod Malo                      Robert Frolander</t>
  </si>
  <si>
    <t>Jason Jahner                    Jon Halverson</t>
  </si>
  <si>
    <t>Darian Reede                    Jim Grapentine</t>
  </si>
  <si>
    <t>Kent Johner                      Mike Kimball</t>
  </si>
  <si>
    <t>Chuck Watson                                               Jeff Watson</t>
  </si>
  <si>
    <t>Buyer</t>
  </si>
  <si>
    <t>Amount</t>
  </si>
  <si>
    <t xml:space="preserve">Calcutta </t>
  </si>
  <si>
    <t>Mike Smith                   Bob Smith</t>
  </si>
  <si>
    <t>Sam Cerkoney                 Jody Cerkoney</t>
  </si>
  <si>
    <t>Aaron Arehart                          Roman Lopez</t>
  </si>
  <si>
    <t>John Tinnell                                      Brian Baley</t>
  </si>
  <si>
    <t>Mike Frolander               Steve Wilson</t>
  </si>
  <si>
    <t>Hawkeye Tichi                    Mark Roe</t>
  </si>
  <si>
    <t>Bill Anders                                 Marty Schvelke</t>
  </si>
  <si>
    <t>Joe Banker                                       Justin Raber</t>
  </si>
  <si>
    <t xml:space="preserve">Greg Abdallah                                       Mike Donahue                                          </t>
  </si>
  <si>
    <t xml:space="preserve">Jeff Hendrickson                                    Dave Kaiser                                       </t>
  </si>
  <si>
    <t>Ryan Harvey                                   Jerod Crandall</t>
  </si>
  <si>
    <t>Eric Johner                                     Steve Meyer</t>
  </si>
  <si>
    <t>Chandler Harris                             Terry Harris</t>
  </si>
  <si>
    <t>Monte Neiman                                          Danial Melanson</t>
  </si>
  <si>
    <t>52-2-50</t>
  </si>
  <si>
    <t>24-36-31</t>
  </si>
  <si>
    <t>39-6-34</t>
  </si>
  <si>
    <t>15-37-25</t>
  </si>
  <si>
    <t>35-7-21</t>
  </si>
  <si>
    <t>4-64-30</t>
  </si>
  <si>
    <t>53-10-38</t>
  </si>
  <si>
    <t>20-56-43</t>
  </si>
  <si>
    <t>49-17-5</t>
  </si>
  <si>
    <t>13-9-61</t>
  </si>
  <si>
    <t>47-18-28</t>
  </si>
  <si>
    <t>16-42-11</t>
  </si>
  <si>
    <t>65-1-27</t>
  </si>
  <si>
    <t>60-29-8</t>
  </si>
  <si>
    <t>19-41-66</t>
  </si>
  <si>
    <t>62-54-22</t>
  </si>
  <si>
    <t>63-14-59</t>
  </si>
  <si>
    <t>46-57-48</t>
  </si>
  <si>
    <t>26-44-32</t>
  </si>
  <si>
    <t>23-58-12</t>
  </si>
  <si>
    <t>40-55-33</t>
  </si>
  <si>
    <t>51-3-45</t>
  </si>
  <si>
    <t>Kenny Merrill                        Joe Loll</t>
  </si>
  <si>
    <t>JJ Mortensen                           Tom Fleming</t>
  </si>
  <si>
    <t>Lanny Roderick                          Robin Roderick</t>
  </si>
  <si>
    <t>Scott Tschetter                            Shenandoa Manning</t>
  </si>
  <si>
    <t>Kelvin Wendt                                  Bill Hoffman</t>
  </si>
  <si>
    <t>Pete Krush                   Trent Vanderboom</t>
  </si>
  <si>
    <t>Kent Burnison                     Rick Sperry</t>
  </si>
  <si>
    <t>Mike Dick                  Tyler  Dick</t>
  </si>
  <si>
    <t>Tony Albright                       Dalyn McCann</t>
  </si>
  <si>
    <t>Ron Snyder                   Kenny Ryman</t>
  </si>
  <si>
    <t>Dennis Fritz                 Nic Brickman</t>
  </si>
  <si>
    <t>Tom Osborn                    Lonny  Kracht</t>
  </si>
  <si>
    <t>Adam Daigle                Shane Novotny</t>
  </si>
  <si>
    <t>Joseph Giaculli              Tony Dean</t>
  </si>
  <si>
    <t>Scott Borup Jr                Marly Borup</t>
  </si>
  <si>
    <t>Luke Steinmetz              Colter Steinmetz</t>
  </si>
  <si>
    <t>Jerome Langum            Roger Mosset</t>
  </si>
  <si>
    <t>Russell Blakeman          Tanner Hedrickson</t>
  </si>
  <si>
    <t>Wayne Hunt            Jeremiah Jurisch</t>
  </si>
  <si>
    <t>Dale Smith            Kenny Samson</t>
  </si>
  <si>
    <t>Michael Steichen                Loyd Griswold</t>
  </si>
  <si>
    <t>Tom Kraft                  Hunter Kraft</t>
  </si>
  <si>
    <t>Scott Rogers             Ryan Burdick</t>
  </si>
  <si>
    <t>Brad Tschetter             Fred Tschetter</t>
  </si>
  <si>
    <t xml:space="preserve">Ben Norlin                 Kelly Maser           </t>
  </si>
  <si>
    <t>Rod Malo                      Ryan Malo</t>
  </si>
  <si>
    <t>Dennis Fritz                 Dean Weinzetl</t>
  </si>
  <si>
    <t>John Magnusson                     Brian Magnusson</t>
  </si>
  <si>
    <t>Mike Dick                  Mike Ellis</t>
  </si>
  <si>
    <t>Luke Steinmetz              Travis Havener</t>
  </si>
  <si>
    <t>Aaron Arehart                          Dave Arehart</t>
  </si>
  <si>
    <t>Tom Osborn                    Jean Osborn</t>
  </si>
  <si>
    <t>Scott Rogers            Joel Hartman</t>
  </si>
  <si>
    <t>Kenny Merrill                       Jim Justice</t>
  </si>
  <si>
    <t>Dave Dell                         Jerri Dell</t>
  </si>
  <si>
    <t>Craig O'connell                          Todd Harmon</t>
  </si>
  <si>
    <t>Cory Hemeyer                  Jamey Watts</t>
  </si>
  <si>
    <t>John Geib                 Duane Newlander</t>
  </si>
  <si>
    <t>Derek Shoun                            Zachary Shoun</t>
  </si>
  <si>
    <t>Tim Engalls                        Tess Malo</t>
  </si>
  <si>
    <t>Jim Haefs                            Joyce Haefs</t>
  </si>
  <si>
    <t>Mark Bachman                      Jake Bachman</t>
  </si>
  <si>
    <t>Bryce Kulm                            C.R. Nedved</t>
  </si>
  <si>
    <t>Ryan Mahoney                       Chris Bailey</t>
  </si>
  <si>
    <t>Lonny Kracht                     Kody Kracht</t>
  </si>
  <si>
    <t>Brandon Seitz                         Casey Higgons</t>
  </si>
  <si>
    <t>Larry Carden                        Don Mousel</t>
  </si>
  <si>
    <t>Jerome Sechser                      Alex Corliss</t>
  </si>
  <si>
    <t>Scott Borup                Marly Borup</t>
  </si>
  <si>
    <t>Darc Duprel                      Mike Plaggemeyer</t>
  </si>
  <si>
    <t>Cody Schuelke             Bucky Derflinger</t>
  </si>
  <si>
    <t>Current Year</t>
  </si>
  <si>
    <t>DATE</t>
  </si>
  <si>
    <t>Team Number</t>
  </si>
  <si>
    <t>Team Members</t>
  </si>
  <si>
    <t>Number of Fish:</t>
  </si>
  <si>
    <t>Raw Weight:</t>
  </si>
  <si>
    <t>Number of Fish Released</t>
  </si>
  <si>
    <t>Total Weight</t>
  </si>
  <si>
    <t>Day 1 Weigh In</t>
  </si>
  <si>
    <t>Day 2 Weigh In</t>
  </si>
  <si>
    <t>Big Fish</t>
  </si>
  <si>
    <t>Grand total Weight</t>
  </si>
  <si>
    <t xml:space="preserve">Current Standing </t>
  </si>
  <si>
    <t>Received By:</t>
  </si>
  <si>
    <t>Issued By:</t>
  </si>
  <si>
    <t>Number of Fish</t>
  </si>
  <si>
    <t>Raw Weight</t>
  </si>
  <si>
    <t>Status</t>
  </si>
  <si>
    <t>Team 1</t>
  </si>
  <si>
    <t>Team 2</t>
  </si>
  <si>
    <t>Team 3</t>
  </si>
  <si>
    <t>Group</t>
  </si>
  <si>
    <t>Best Team total</t>
  </si>
  <si>
    <t>Average Day 1</t>
  </si>
  <si>
    <t>Average Day 2</t>
  </si>
  <si>
    <t>Big Fish Day 1</t>
  </si>
  <si>
    <t>Big Fish Day 2</t>
  </si>
  <si>
    <t>Avg Big fish</t>
  </si>
  <si>
    <t>Total Caught</t>
  </si>
  <si>
    <t>Total Released</t>
  </si>
  <si>
    <t>Statistic</t>
  </si>
  <si>
    <t>Avg Big Fish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</si>
  <si>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</si>
  <si>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</si>
  <si>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</si>
  <si>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</si>
  <si>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</si>
  <si>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</si>
  <si>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</si>
  <si>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</si>
  <si>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</si>
  <si>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</si>
  <si>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</si>
  <si>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</si>
  <si>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</si>
  <si>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</si>
  <si>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</si>
  <si>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Day 1 ST.Dev</t>
  </si>
  <si>
    <t>Day 2 ST.Dev</t>
  </si>
  <si>
    <t>Big Fish ST.Dev</t>
  </si>
  <si>
    <t>Eric Johner
Steve Meyer</t>
  </si>
  <si>
    <t>Mike Ellis
Mike Dick</t>
  </si>
  <si>
    <t>Greg Abdallah
John Arleth</t>
  </si>
  <si>
    <t>Kent Johner
Mike Kimball</t>
  </si>
  <si>
    <t>Bill Blickensderfer
Loren Kasuske</t>
  </si>
  <si>
    <t>Rod Toth
Jonathon Toth</t>
  </si>
  <si>
    <t>Ben Norlin
Kelly  Maser</t>
  </si>
  <si>
    <t>Jim Sherman
Jake Hazenbilen</t>
  </si>
  <si>
    <t>Robert Sukut
Ryan Berger</t>
  </si>
  <si>
    <t>Darc Duprel
Mike Plaggermeyer</t>
  </si>
  <si>
    <t>Jim Grapentine
Darian Reede</t>
  </si>
  <si>
    <t>Bryce Kulm
Chester Nedued</t>
  </si>
  <si>
    <t>Jerome Langum
Roger Mosset</t>
  </si>
  <si>
    <t>Terry Harris
Chandler Harris</t>
  </si>
  <si>
    <t>Chance Hershey
Darla Hershey</t>
  </si>
  <si>
    <t>Ryan Harvey
Jerod Crandall</t>
  </si>
  <si>
    <t>Matt Scott
Greg Bohls</t>
  </si>
  <si>
    <t>Mike Delahoyde
Doug Kaymala</t>
  </si>
  <si>
    <t>Larry Carden
Don Mousel</t>
  </si>
  <si>
    <t>Adam Daigle
Shene Novotny</t>
  </si>
  <si>
    <t>Levi Humbracht
Jake Moreland</t>
  </si>
  <si>
    <t>Mike Iverson
Steve Zubrod</t>
  </si>
  <si>
    <t>Tim Ingalls
Tess Malo</t>
  </si>
  <si>
    <t>Troy Stugelmeyer
Chase Stugelmeyer</t>
  </si>
  <si>
    <t>Jerome Seshser
Alex Corliss</t>
  </si>
  <si>
    <t>Mark Bevier
Jolene Bevier</t>
  </si>
  <si>
    <t>Brian Geuke
Jason Geuke</t>
  </si>
  <si>
    <t>Jim Gouldin
Jeremy Gouldin</t>
  </si>
  <si>
    <t>Scott Tschetter
Shenandoa Manning</t>
  </si>
  <si>
    <t>Ken Gabert
Jammey Gabert</t>
  </si>
  <si>
    <t>Roger McNary
Brad Nelson</t>
  </si>
  <si>
    <t>Tom Neisen
Matthew Neisen</t>
  </si>
  <si>
    <t>Mike Rogers
Mike Sneesby</t>
  </si>
  <si>
    <t>Tony Albright
Dalton McCann</t>
  </si>
  <si>
    <t>Mike Frolander
Steve Wilson</t>
  </si>
  <si>
    <t>Wade Bail
Trevor Fisher</t>
  </si>
  <si>
    <t>Jason Jahner
Travis Ladson</t>
  </si>
  <si>
    <t>Parker Shoun
Bob Shoun</t>
  </si>
  <si>
    <t>Blake Sandidge
Darin Mcintosh</t>
  </si>
  <si>
    <t>Hawkeye Tichi
Keven Vaughn</t>
  </si>
  <si>
    <t>Scott Rogers
Joe Hartman</t>
  </si>
  <si>
    <t>Fred Tschetter
Brad Tschetter</t>
  </si>
  <si>
    <t>Michael Steichen
Brent Jansen</t>
  </si>
  <si>
    <t>Tanner Johnson
Riley Dalzell</t>
  </si>
  <si>
    <t>Mike Smith
Bob Smith</t>
  </si>
  <si>
    <t>Bill Anders
Marty Schuelke</t>
  </si>
  <si>
    <t>Kerry Giffen
Troy Mills</t>
  </si>
  <si>
    <t>Lanny Roderick
Robin Roderick</t>
  </si>
  <si>
    <t>Aaron Arehart
Dave Arehart</t>
  </si>
  <si>
    <t>Rod Malo
Ryan Malo</t>
  </si>
  <si>
    <t>JJ Mortenson
Cole Keeler</t>
  </si>
  <si>
    <t>Lee Harstad
Daphne Loup</t>
  </si>
  <si>
    <t>Mark Bachman
Jake  Bachman</t>
  </si>
  <si>
    <t>Dean Weinzetl
Bud Harrison</t>
  </si>
  <si>
    <t>Brandon Seitz
Casey Higgins</t>
  </si>
  <si>
    <t>Alan Gifford
Michael Kautz</t>
  </si>
  <si>
    <t>Tim Emme
Bert Emme</t>
  </si>
  <si>
    <t>Sam Cerkoney
Jody Cerkoney</t>
  </si>
  <si>
    <t>Trevor Fisher
Brady Hathaway</t>
  </si>
  <si>
    <t>John Magnusson
Michal Magnusson</t>
  </si>
  <si>
    <t>Pete Krush
Trent Vanderboom</t>
  </si>
  <si>
    <t>Dave Dell
Jerri Dell</t>
  </si>
  <si>
    <t>Joshua Kusser
Alisha Kusser</t>
  </si>
  <si>
    <t>Tom Osborn
Jean  Osborn</t>
  </si>
  <si>
    <t>Katlin Stensland
Cort Cundy</t>
  </si>
  <si>
    <t>Glenn Hodges
Kelvin Wendt</t>
  </si>
  <si>
    <t>Ron Tietjen
Tyson Tietjen</t>
  </si>
  <si>
    <t>Joe Loll
Brandon Loll</t>
  </si>
  <si>
    <t>Rusty Karlson
Nick Derby</t>
  </si>
  <si>
    <t>Shannon Vasknetz
Marty Symonds</t>
  </si>
  <si>
    <t>Katherine Hammill
Jeff Watson</t>
  </si>
  <si>
    <t>David Kaiser
Jeff Hendrickson</t>
  </si>
  <si>
    <t>Cody Schulke
Bucky Derflinger</t>
  </si>
  <si>
    <t>Shannon Baseman
Rebecca Hughes</t>
  </si>
  <si>
    <t>Dayln McCann
Jesse McCann</t>
  </si>
  <si>
    <t>Don Sharp
Norman Landphere</t>
  </si>
  <si>
    <t>note:</t>
  </si>
  <si>
    <t>could make list of teams not generated</t>
  </si>
  <si>
    <t>or get 78 or 75 teams for even calcutta</t>
  </si>
  <si>
    <t>Team1 Day 2  GT</t>
  </si>
  <si>
    <t>Team2 Day 2 GT</t>
  </si>
  <si>
    <t>Team3 Day 2 GT</t>
  </si>
  <si>
    <t>Greg Bohls
Steve Kozel</t>
  </si>
  <si>
    <t>Greg Abdallah
Mike Donahue</t>
  </si>
  <si>
    <t>Dave  Dell
Jerri Dell</t>
  </si>
  <si>
    <t>Jeff Hendrickson
Dave Kaiser</t>
  </si>
  <si>
    <t>Joel Hartman
Scott Rogers</t>
  </si>
  <si>
    <t>Duallen Tichi
Kevin Vaughn</t>
  </si>
  <si>
    <t>Brian Jordan
Bill Hoffman</t>
  </si>
  <si>
    <t>Michael Steichen
Brendt Jenson</t>
  </si>
  <si>
    <t>Mike Dick
Mike Ellis</t>
  </si>
  <si>
    <t>Lanny Roderick
Tom Fish</t>
  </si>
  <si>
    <t>Kevin Wendt
Glenn Hodges</t>
  </si>
  <si>
    <t>Jake Moreland
Levi Humbracht</t>
  </si>
  <si>
    <t>Tyson Tietjen
Ron Tietjen</t>
  </si>
  <si>
    <t>John Magnusson
Brian Magnusson</t>
  </si>
  <si>
    <t>Jason Geuke
Bryan Geuke</t>
  </si>
  <si>
    <t>Joe Loll
John Cooper</t>
  </si>
  <si>
    <t>Loren Kasuske
Bill Blickensderfer</t>
  </si>
  <si>
    <t>Jerome Langum
Roger Mossett</t>
  </si>
  <si>
    <t>Adam Daigle
Shane Novotny</t>
  </si>
  <si>
    <t>Mike Delahoyde
Doug Kymala</t>
  </si>
  <si>
    <t>Jerome Sochser
Alex Corliss</t>
  </si>
  <si>
    <t>Jerry Mortensen
Cole Keeler</t>
  </si>
  <si>
    <t>Wade Bail
trevor Fisher</t>
  </si>
  <si>
    <t>Marty Leberknight
Mike Leberknight</t>
  </si>
  <si>
    <t>Josha Kusser
Alisha Kusser</t>
  </si>
  <si>
    <t>Jim Haefs
Joyce Haefs</t>
  </si>
  <si>
    <t>Blake Sandidge
Lane Sandidge</t>
  </si>
  <si>
    <t>Ryan Frederickson
Lori Frederickson</t>
  </si>
  <si>
    <t>Lonny Kracht
Kody Kracht</t>
  </si>
  <si>
    <t>Tom Osborn
Mason Wells</t>
  </si>
  <si>
    <t>Aaron Arehart
Uriah Arehart</t>
  </si>
  <si>
    <t>Don Quinn
Fred Maurer</t>
  </si>
  <si>
    <t>Jonathon Toth
Rod Toth</t>
  </si>
  <si>
    <t>Kelly Maser
Ben Norlin</t>
  </si>
  <si>
    <t>Kent Burnison
Rick Walton</t>
  </si>
  <si>
    <t>Kerry Giffen
Jesse Kracht</t>
  </si>
  <si>
    <t>Cort Cundy
Katlin Stensland</t>
  </si>
  <si>
    <t>Quentin Danley
Randy Simkins</t>
  </si>
  <si>
    <t>Shannon Baseman
Becky Hughes</t>
  </si>
  <si>
    <t>Arlie Davis
Bob Fernau</t>
  </si>
  <si>
    <t>Sam Cerkoney
jody Cerkoney</t>
  </si>
  <si>
    <t>James Trimble
Will Graves</t>
  </si>
  <si>
    <t>Luke Steinmetz
Clayton Steinmetz</t>
  </si>
  <si>
    <t>Dean Weinzetl
Bub Harrison</t>
  </si>
  <si>
    <t>Jeff Watson
Shawn Lipp</t>
  </si>
  <si>
    <t>Darin McIntosh
Jeremiah Jurisch</t>
  </si>
  <si>
    <t>Dan Peterson
Danny Petersen</t>
  </si>
  <si>
    <t>Rodney Messmer
Mike Jennings</t>
  </si>
  <si>
    <t>Chad Hanson
Justin Djoseland</t>
  </si>
  <si>
    <t>Cody Schuelke
Bucky Derflinger</t>
  </si>
  <si>
    <t>Derek Shoon
Zachery Shoon</t>
  </si>
  <si>
    <t>Todd Harmon
Teven Harmon</t>
  </si>
  <si>
    <t xml:space="preserve">4.16	</t>
  </si>
  <si>
    <t>Missing</t>
  </si>
  <si>
    <t>Printed D1</t>
  </si>
  <si>
    <t>Printed D2</t>
  </si>
  <si>
    <t>Bill  Blickensderfer
Loren Kasuske</t>
  </si>
  <si>
    <t>Aaron Arehart
Harld Arehart</t>
  </si>
  <si>
    <t>Joe Loll
Kenny Merrell</t>
  </si>
  <si>
    <t>Mark Bachman
Jake Bachman</t>
  </si>
  <si>
    <t>Ben Norlin
Kelly Maser</t>
  </si>
  <si>
    <t>Roger McNarly
Joe Vaith</t>
  </si>
  <si>
    <t>Ryan Fredericksen
Lori Fredericksen</t>
  </si>
  <si>
    <t>Kelvin Wendt
Glenn Hodges</t>
  </si>
  <si>
    <t>Blake Sandidge
Jim Haefs</t>
  </si>
  <si>
    <t>Brandon Seitz
John Cooper</t>
  </si>
  <si>
    <t>Matt James
Chad Porsch</t>
  </si>
  <si>
    <t>Mike Frolander
Steven Wilson</t>
  </si>
  <si>
    <t>Jason Geuke
Brian Geuke</t>
  </si>
  <si>
    <t>Cal Modlin
Kevin Jennigues</t>
  </si>
  <si>
    <t>Tom Neisen
Matt Neisen</t>
  </si>
  <si>
    <t>Tyrel Johnson
Ted Brookey</t>
  </si>
  <si>
    <t>Daniel Ellefson
Jeff Reetz</t>
  </si>
  <si>
    <t>Mark Stiller
Dan Buehler</t>
  </si>
  <si>
    <t>Scott Rogers
Mike Rogers</t>
  </si>
  <si>
    <t>Doug Pudwill
Shawn Pudwill</t>
  </si>
  <si>
    <t>James Timble
Will Graves</t>
  </si>
  <si>
    <t>Rob Crandall 
Bob Crandall</t>
  </si>
  <si>
    <t>Mark Bevier
Russell Simkins</t>
  </si>
  <si>
    <t>Robert Schmidt
Christopher Baldridge</t>
  </si>
  <si>
    <t>Jeremiah Jurisch
Darin McIntosh</t>
  </si>
  <si>
    <t>Justin Duncan
Lonny Kracht</t>
  </si>
  <si>
    <t>Kent Burnisen
Jamie Watts</t>
  </si>
  <si>
    <t>Wade Bail
Marty Schuelke</t>
  </si>
  <si>
    <t>Kent Johner
Talon Johner</t>
  </si>
  <si>
    <t>Matt Scott
Wes Hartmann</t>
  </si>
  <si>
    <t>Tony Albright
Dalyn McCann</t>
  </si>
  <si>
    <t>Derek Shoun
Zachary Shoun</t>
  </si>
  <si>
    <t>Mike Kimball
Chris Egerdahl</t>
  </si>
  <si>
    <t>Lane Sandidge
Kopea Derby</t>
  </si>
  <si>
    <t>Jade Ager
Andre Ager</t>
  </si>
  <si>
    <t>Alan Gifford
Vikki Morell</t>
  </si>
  <si>
    <t>Fred Tschetter
Brad Tschertter</t>
  </si>
  <si>
    <t>YES</t>
  </si>
  <si>
    <t>74,2,</t>
  </si>
  <si>
    <t>Team 4</t>
  </si>
  <si>
    <t>Team4 Day 2 GT</t>
  </si>
  <si>
    <t>Missing Teams</t>
  </si>
  <si>
    <t>C</t>
  </si>
  <si>
    <t>Day 2  GT</t>
  </si>
  <si>
    <t>Roger McNary
Joe Vaith</t>
  </si>
  <si>
    <t>Matt James
Chad Porsche</t>
  </si>
  <si>
    <t>Lanny Roderick
Jeremiah Jurisch</t>
  </si>
  <si>
    <t>Shenandoa Manning
Scott Tschetter</t>
  </si>
  <si>
    <t>Will Graves
James Trimble</t>
  </si>
  <si>
    <t>Michal Magnusson
Brian Magnusson</t>
  </si>
  <si>
    <t>John Magnusson
Mel Snow</t>
  </si>
  <si>
    <t>Steve Kozel
Greg Bohls</t>
  </si>
  <si>
    <t>Blake Sandidge
Blayne Sandidge</t>
  </si>
  <si>
    <t>Don Sharp
Dustin Sharp</t>
  </si>
  <si>
    <t>Ron Crandall
Bob Crandall</t>
  </si>
  <si>
    <t>Jeremy Gouldin
Tanner Gouldin</t>
  </si>
  <si>
    <t>Kelly Maser
Mike Carl</t>
  </si>
  <si>
    <t>Ben Norlin
Alex Norlin</t>
  </si>
  <si>
    <t>Mike Smith
Robert Smith</t>
  </si>
  <si>
    <t>Jonathon Toth
Rob Toth</t>
  </si>
  <si>
    <t>Robert Schmidt
Nolan Mares</t>
  </si>
  <si>
    <t>Mark Bevier
Brandon Vickerman</t>
  </si>
  <si>
    <t>Joe Loll
Kevin Farmer</t>
  </si>
  <si>
    <t>Tyrel Johnson
Kevin Smidt</t>
  </si>
  <si>
    <t>Jesse Kracht
Gage Kracht</t>
  </si>
  <si>
    <t>Calvin Modlin
Kevin Jenniges</t>
  </si>
  <si>
    <t>Dean Duncan
Justin Duncan</t>
  </si>
  <si>
    <t>Mark Bachman
Homer Collins</t>
  </si>
  <si>
    <t>Ryan Burdick
Laura Sterna</t>
  </si>
  <si>
    <t>Dave Kaiser
Jeff Hendrickson</t>
  </si>
  <si>
    <t>Tom Olson
Mason Wells</t>
  </si>
  <si>
    <t>J.J. Mortensen
Cody Parker</t>
  </si>
  <si>
    <t>Jared Lueders
Chris Brown</t>
  </si>
  <si>
    <t>Marly Borup
Scott Borup Jr.</t>
  </si>
  <si>
    <t>Jake Moreland
Daron Gruenwald</t>
  </si>
  <si>
    <t>Chad Hanson
Traci Hanson</t>
  </si>
  <si>
    <t>Tim Eymer
Dale Baldwin</t>
  </si>
  <si>
    <t>Travis Ladson
Jason Jahner</t>
  </si>
  <si>
    <t>Monty Pederson
Craig Reiman</t>
  </si>
  <si>
    <t>Matt Schmahl
Jessica Schmahl</t>
  </si>
  <si>
    <t>Shannon Baseman
Becky Stoddard</t>
  </si>
  <si>
    <t>Craig Oyler
Brian Cavanaugh</t>
  </si>
  <si>
    <t>Tanner Hendericksen
Jordan Stamper</t>
  </si>
  <si>
    <t>Ryan Cathcart
Lance Johnson</t>
  </si>
  <si>
    <t>Tim Lindblom
Jake Lindblom</t>
  </si>
  <si>
    <t>System File/Folder Structure Requirements</t>
  </si>
  <si>
    <t>Starting a New Tournament</t>
  </si>
  <si>
    <t>Moving Data to a new Computer</t>
  </si>
  <si>
    <t>on the C drive a folder with the path C:001 HPA Data must exist</t>
  </si>
  <si>
    <t>In the folder from step one a folder titled "Tourney Data"</t>
  </si>
  <si>
    <t>For each new tournament a folder with the year needs to be added</t>
  </si>
  <si>
    <t>A folder title "Tickets" needs to be created within the folder created in step 3</t>
  </si>
  <si>
    <t>most improved from day 1 to day 2 was not correct</t>
  </si>
  <si>
    <t>compare day 1 placement (ranking) to day 2 placement (ranking)</t>
  </si>
  <si>
    <t>Day 1 Rank</t>
  </si>
  <si>
    <t>Day 2 Rank</t>
  </si>
  <si>
    <t>Change in Rank</t>
  </si>
  <si>
    <t>2031</t>
  </si>
  <si>
    <t>2032</t>
  </si>
  <si>
    <t>2033</t>
  </si>
  <si>
    <t>2034</t>
  </si>
  <si>
    <t>Doug Kymala
N A</t>
  </si>
  <si>
    <t>Doug  Kymala
N A</t>
  </si>
  <si>
    <t>Marly Borup
Scott Borup</t>
  </si>
  <si>
    <t>Jason Geuke
John Cooper</t>
  </si>
  <si>
    <t>Brandon Seitz
Rob  Crandall</t>
  </si>
  <si>
    <t>Tony Albright
Daylan McCann</t>
  </si>
  <si>
    <t>Kent Burnison
Oren Loken</t>
  </si>
  <si>
    <t>Mike Delahoyde
Loren Kasuske</t>
  </si>
  <si>
    <t>Johnathon Toth
Rod Toth</t>
  </si>
  <si>
    <t>Jeremy Gouldin
James Gouldin</t>
  </si>
  <si>
    <t>N A
N A</t>
  </si>
  <si>
    <t>Matt Neisen
Tom Neisen</t>
  </si>
  <si>
    <t>Craig Reiman
Monty Pederson</t>
  </si>
  <si>
    <t>Nolan Mares
Christian Bowie</t>
  </si>
  <si>
    <t>Tyrel Johnson
Ted Brooky</t>
  </si>
  <si>
    <t>Mark Bachman
Jarrett Ingram</t>
  </si>
  <si>
    <t>Greg Abdallah
Jim Randash</t>
  </si>
  <si>
    <t>Mike Steichen
Ben Land</t>
  </si>
  <si>
    <t>Jerome Sechser
Lance Sutter</t>
  </si>
  <si>
    <t>Craig Conn
Thomas Harvey</t>
  </si>
  <si>
    <t>Ryan Mahoney
Jamie Hatch</t>
  </si>
  <si>
    <t>Jesse Kracht
Brian Staley</t>
  </si>
  <si>
    <t>Mike Ocobock
Brandon Umphlet</t>
  </si>
  <si>
    <t>John Halverson
Levi Halverson</t>
  </si>
  <si>
    <t>Jeff Sever
Tyler Sever</t>
  </si>
  <si>
    <t>Jason Robbins
Kenny Robbins</t>
  </si>
  <si>
    <t>Brian Delfino
Brady Delfino</t>
  </si>
  <si>
    <t>Nels Juso
Matthew Novak</t>
  </si>
  <si>
    <t>Mike Sneesby
Mike Rogers</t>
  </si>
  <si>
    <t>Curt Marchiando
Joe Shiffran</t>
  </si>
  <si>
    <t>Lee Cordell
Ryan Burdick</t>
  </si>
  <si>
    <t>Duane Wolfe
Katherine Hammill</t>
  </si>
  <si>
    <t>Bryce Lutz
Angela Lutz</t>
  </si>
  <si>
    <t>Cal Modlin
Sandy Linn</t>
  </si>
  <si>
    <t>Doug  Kaymala
Jim Fitzgarld</t>
  </si>
  <si>
    <t>Ryan  Fredericksen
Derek Fredericksen</t>
  </si>
  <si>
    <t>Josh Oyen
Kipp Rische</t>
  </si>
  <si>
    <t>DNF</t>
  </si>
  <si>
    <t>2022 Sorted by Most Improved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</si>
</sst>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-&quot;$&quot;* #,##0.00_-;\-&quot;$&quot;* #,##0.00_-;_-&quot;$&quot;* &quot;-&quot;??_-;_-@_-"/>
  </numFmts>
  <fonts count="32" x14ac:knownFonts="1">
    <font>
      <sz val="10"/>
      <name val="Arial"/>
    </font>
    <font>
      <sz val="11"/>
      <color indexed="8"/>
      <name val="Calibri"/>
      <family val="2"/>
    </font>
    <font>
      <b/>
      <u/>
      <sz val="10"/>
      <name val="Arial"/>
      <family val="2"/>
    </font>
    <font>
      <u/>
      <sz val="10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sz val="10"/>
      <name val="Arial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62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sz val="10"/>
      <color theme="0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6"/>
      <name val="Arial"/>
      <family val="2"/>
    </font>
    <font>
      <b/>
      <sz val="36"/>
      <name val="Arial"/>
      <family val="2"/>
    </font>
    <font>
      <b/>
      <sz val="28"/>
      <name val="Arial"/>
      <family val="2"/>
    </font>
    <font>
      <b/>
      <sz val="16"/>
      <color rgb="FFFFFFFF"/>
      <name val="Calibri"/>
      <family val="2"/>
    </font>
    <font>
      <sz val="8"/>
      <name val="Arial"/>
    </font>
  </fonts>
  <fills count="32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Dash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2" borderId="0" applyNumberFormat="0" applyBorder="0" applyAlignment="0" applyProtection="0"/>
    <xf numFmtId="0" fontId="1" fillId="5" borderId="0" applyNumberFormat="0" applyBorder="0" applyAlignment="0" applyProtection="0"/>
    <xf numFmtId="0" fontId="1" fillId="4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6" borderId="0" applyNumberFormat="0" applyBorder="0" applyAlignment="0" applyProtection="0"/>
    <xf numFmtId="0" fontId="1" fillId="2" borderId="0" applyNumberFormat="0" applyBorder="0" applyAlignment="0" applyProtection="0"/>
    <xf numFmtId="0" fontId="1" fillId="7" borderId="0" applyNumberFormat="0" applyBorder="0" applyAlignment="0" applyProtection="0"/>
    <xf numFmtId="0" fontId="1" fillId="6" borderId="0" applyNumberFormat="0" applyBorder="0" applyAlignment="0" applyProtection="0"/>
    <xf numFmtId="0" fontId="22" fillId="8" borderId="0" applyNumberFormat="0" applyBorder="0" applyAlignment="0" applyProtection="0"/>
    <xf numFmtId="0" fontId="22" fillId="3" borderId="0" applyNumberFormat="0" applyBorder="0" applyAlignment="0" applyProtection="0"/>
    <xf numFmtId="0" fontId="22" fillId="6" borderId="0" applyNumberFormat="0" applyBorder="0" applyAlignment="0" applyProtection="0"/>
    <xf numFmtId="0" fontId="22" fillId="2" borderId="0" applyNumberFormat="0" applyBorder="0" applyAlignment="0" applyProtection="0"/>
    <xf numFmtId="0" fontId="22" fillId="8" borderId="0" applyNumberFormat="0" applyBorder="0" applyAlignment="0" applyProtection="0"/>
    <xf numFmtId="0" fontId="22" fillId="3" borderId="0" applyNumberFormat="0" applyBorder="0" applyAlignment="0" applyProtection="0"/>
    <xf numFmtId="0" fontId="22" fillId="8" borderId="0" applyNumberFormat="0" applyBorder="0" applyAlignment="0" applyProtection="0"/>
    <xf numFmtId="0" fontId="22" fillId="9" borderId="0" applyNumberFormat="0" applyBorder="0" applyAlignment="0" applyProtection="0"/>
    <xf numFmtId="0" fontId="22" fillId="10" borderId="0" applyNumberFormat="0" applyBorder="0" applyAlignment="0" applyProtection="0"/>
    <xf numFmtId="0" fontId="22" fillId="11" borderId="0" applyNumberFormat="0" applyBorder="0" applyAlignment="0" applyProtection="0"/>
    <xf numFmtId="0" fontId="22" fillId="8" borderId="0" applyNumberFormat="0" applyBorder="0" applyAlignment="0" applyProtection="0"/>
    <xf numFmtId="0" fontId="22" fillId="12" borderId="0" applyNumberFormat="0" applyBorder="0" applyAlignment="0" applyProtection="0"/>
    <xf numFmtId="0" fontId="12" fillId="13" borderId="0" applyNumberFormat="0" applyBorder="0" applyAlignment="0" applyProtection="0"/>
    <xf numFmtId="0" fontId="16" fillId="14" borderId="1" applyNumberFormat="0" applyAlignment="0" applyProtection="0"/>
    <xf numFmtId="0" fontId="18" fillId="15" borderId="2" applyNumberFormat="0" applyAlignment="0" applyProtection="0"/>
    <xf numFmtId="0" fontId="20" fillId="0" borderId="0" applyNumberFormat="0" applyFill="0" applyBorder="0" applyAlignment="0" applyProtection="0"/>
    <xf numFmtId="0" fontId="11" fillId="16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4" fillId="6" borderId="1" applyNumberFormat="0" applyAlignment="0" applyProtection="0"/>
    <xf numFmtId="0" fontId="17" fillId="0" borderId="6" applyNumberFormat="0" applyFill="0" applyAlignment="0" applyProtection="0"/>
    <xf numFmtId="0" fontId="13" fillId="6" borderId="0" applyNumberFormat="0" applyBorder="0" applyAlignment="0" applyProtection="0"/>
    <xf numFmtId="0" fontId="6" fillId="4" borderId="7" applyNumberFormat="0" applyFont="0" applyAlignment="0" applyProtection="0"/>
    <xf numFmtId="0" fontId="15" fillId="14" borderId="8" applyNumberFormat="0" applyAlignment="0" applyProtection="0"/>
    <xf numFmtId="0" fontId="7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19" fillId="0" borderId="0" applyNumberFormat="0" applyFill="0" applyBorder="0" applyAlignment="0" applyProtection="0"/>
    <xf numFmtId="164" fontId="26" fillId="0" borderId="0" applyFont="0" applyFill="0" applyBorder="0" applyAlignment="0" applyProtection="0"/>
  </cellStyleXfs>
  <cellXfs count="176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horizontal="center"/>
    </xf>
    <xf numFmtId="2" fontId="0" fillId="0" borderId="0" xfId="0" applyNumberFormat="1"/>
    <xf numFmtId="2" fontId="3" fillId="0" borderId="0" xfId="0" applyNumberFormat="1" applyFont="1"/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4" fillId="0" borderId="0" xfId="0" applyFont="1" applyAlignment="1" applyProtection="1">
      <alignment horizontal="center"/>
      <protection locked="0"/>
    </xf>
    <xf numFmtId="0" fontId="4" fillId="17" borderId="0" xfId="0" applyFont="1" applyFill="1" applyAlignment="1">
      <alignment horizontal="center"/>
    </xf>
    <xf numFmtId="0" fontId="4" fillId="18" borderId="0" xfId="0" applyFont="1" applyFill="1" applyAlignment="1" applyProtection="1">
      <alignment horizontal="center"/>
      <protection locked="0"/>
    </xf>
    <xf numFmtId="2" fontId="4" fillId="0" borderId="0" xfId="0" applyNumberFormat="1" applyFont="1" applyAlignment="1">
      <alignment horizontal="center"/>
    </xf>
    <xf numFmtId="0" fontId="4" fillId="18" borderId="0" xfId="0" applyFont="1" applyFill="1" applyProtection="1">
      <protection locked="0"/>
    </xf>
    <xf numFmtId="2" fontId="5" fillId="0" borderId="0" xfId="0" applyNumberFormat="1" applyFont="1"/>
    <xf numFmtId="2" fontId="4" fillId="0" borderId="0" xfId="0" applyNumberFormat="1" applyFont="1"/>
    <xf numFmtId="14" fontId="0" fillId="0" borderId="0" xfId="0" applyNumberFormat="1"/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horizontal="center"/>
    </xf>
    <xf numFmtId="0" fontId="4" fillId="19" borderId="0" xfId="0" applyFont="1" applyFill="1" applyAlignment="1">
      <alignment horizontal="center"/>
    </xf>
    <xf numFmtId="0" fontId="23" fillId="20" borderId="10" xfId="0" applyFont="1" applyFill="1" applyBorder="1" applyAlignment="1">
      <alignment horizontal="center" vertical="center"/>
    </xf>
    <xf numFmtId="0" fontId="23" fillId="20" borderId="10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12" xfId="0" applyBorder="1"/>
    <xf numFmtId="0" fontId="0" fillId="21" borderId="0" xfId="0" applyFill="1"/>
    <xf numFmtId="0" fontId="0" fillId="0" borderId="14" xfId="0" applyBorder="1"/>
    <xf numFmtId="0" fontId="4" fillId="0" borderId="10" xfId="0" applyFont="1" applyBorder="1"/>
    <xf numFmtId="0" fontId="0" fillId="0" borderId="10" xfId="0" applyBorder="1"/>
    <xf numFmtId="0" fontId="4" fillId="0" borderId="15" xfId="0" applyFont="1" applyBorder="1"/>
    <xf numFmtId="0" fontId="0" fillId="0" borderId="15" xfId="0" applyBorder="1"/>
    <xf numFmtId="0" fontId="4" fillId="0" borderId="16" xfId="0" applyFont="1" applyBorder="1"/>
    <xf numFmtId="0" fontId="0" fillId="0" borderId="16" xfId="0" applyBorder="1"/>
    <xf numFmtId="0" fontId="4" fillId="0" borderId="17" xfId="0" applyFont="1" applyBorder="1"/>
    <xf numFmtId="0" fontId="0" fillId="0" borderId="18" xfId="0" applyBorder="1"/>
    <xf numFmtId="0" fontId="4" fillId="0" borderId="10" xfId="0" applyFont="1" applyBorder="1" applyAlignment="1">
      <alignment horizontal="left"/>
    </xf>
    <xf numFmtId="0" fontId="0" fillId="0" borderId="17" xfId="0" applyBorder="1"/>
    <xf numFmtId="0" fontId="0" fillId="22" borderId="13" xfId="0" applyFill="1" applyBorder="1"/>
    <xf numFmtId="0" fontId="0" fillId="22" borderId="21" xfId="0" applyFill="1" applyBorder="1"/>
    <xf numFmtId="0" fontId="0" fillId="22" borderId="14" xfId="0" applyFill="1" applyBorder="1"/>
    <xf numFmtId="0" fontId="0" fillId="0" borderId="20" xfId="0" applyBorder="1"/>
    <xf numFmtId="0" fontId="0" fillId="0" borderId="22" xfId="0" applyBorder="1"/>
    <xf numFmtId="0" fontId="4" fillId="22" borderId="20" xfId="0" applyFont="1" applyFill="1" applyBorder="1"/>
    <xf numFmtId="0" fontId="0" fillId="22" borderId="0" xfId="0" applyFill="1"/>
    <xf numFmtId="0" fontId="4" fillId="22" borderId="0" xfId="0" applyFont="1" applyFill="1"/>
    <xf numFmtId="0" fontId="4" fillId="0" borderId="20" xfId="0" applyFont="1" applyBorder="1"/>
    <xf numFmtId="0" fontId="0" fillId="0" borderId="23" xfId="0" applyBorder="1"/>
    <xf numFmtId="0" fontId="0" fillId="0" borderId="24" xfId="0" applyBorder="1"/>
    <xf numFmtId="0" fontId="0" fillId="0" borderId="15" xfId="0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4" fillId="17" borderId="15" xfId="0" applyFont="1" applyFill="1" applyBorder="1" applyAlignment="1">
      <alignment horizontal="center" vertical="center" wrapText="1"/>
    </xf>
    <xf numFmtId="0" fontId="0" fillId="23" borderId="15" xfId="0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4" fillId="17" borderId="16" xfId="0" applyFont="1" applyFill="1" applyBorder="1" applyAlignment="1">
      <alignment horizontal="center" vertical="center" wrapText="1"/>
    </xf>
    <xf numFmtId="0" fontId="0" fillId="23" borderId="16" xfId="0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/>
    </xf>
    <xf numFmtId="0" fontId="4" fillId="17" borderId="10" xfId="0" applyFont="1" applyFill="1" applyBorder="1" applyAlignment="1">
      <alignment horizontal="center" vertical="center" wrapText="1"/>
    </xf>
    <xf numFmtId="0" fontId="0" fillId="23" borderId="10" xfId="0" applyFill="1" applyBorder="1" applyAlignment="1">
      <alignment horizontal="center" vertical="center" wrapText="1"/>
    </xf>
    <xf numFmtId="0" fontId="23" fillId="0" borderId="0" xfId="0" applyFont="1"/>
    <xf numFmtId="0" fontId="0" fillId="24" borderId="0" xfId="0" applyFill="1"/>
    <xf numFmtId="0" fontId="0" fillId="0" borderId="0" xfId="0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23" fillId="25" borderId="27" xfId="0" applyFont="1" applyFill="1" applyBorder="1" applyAlignment="1">
      <alignment wrapText="1"/>
    </xf>
    <xf numFmtId="2" fontId="23" fillId="25" borderId="29" xfId="0" applyNumberFormat="1" applyFont="1" applyFill="1" applyBorder="1" applyAlignment="1">
      <alignment horizontal="center" vertical="center" wrapText="1"/>
    </xf>
    <xf numFmtId="1" fontId="23" fillId="25" borderId="29" xfId="0" applyNumberFormat="1" applyFont="1" applyFill="1" applyBorder="1" applyAlignment="1">
      <alignment horizontal="center" vertical="center" wrapText="1"/>
    </xf>
    <xf numFmtId="0" fontId="24" fillId="24" borderId="0" xfId="0" applyFont="1" applyFill="1"/>
    <xf numFmtId="0" fontId="2" fillId="0" borderId="0" xfId="0" applyFont="1" applyAlignment="1">
      <alignment horizontal="left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/>
      <protection locked="0"/>
    </xf>
    <xf numFmtId="0" fontId="0" fillId="0" borderId="33" xfId="0" applyBorder="1" applyAlignment="1" applyProtection="1">
      <alignment horizontal="center" vertical="center"/>
      <protection locked="0"/>
    </xf>
    <xf numFmtId="0" fontId="0" fillId="0" borderId="34" xfId="0" applyBorder="1" applyAlignment="1" applyProtection="1">
      <alignment horizontal="center" vertical="center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23" fillId="27" borderId="0" xfId="0" applyFont="1" applyFill="1"/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0" fillId="20" borderId="31" xfId="0" applyFill="1" applyBorder="1" applyAlignment="1">
      <alignment horizontal="center" vertical="center"/>
    </xf>
    <xf numFmtId="0" fontId="0" fillId="20" borderId="33" xfId="0" applyFill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0" fillId="0" borderId="4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 vertical="center"/>
      <protection locked="0"/>
    </xf>
    <xf numFmtId="0" fontId="0" fillId="0" borderId="4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0" borderId="32" xfId="0" applyFill="1" applyBorder="1" applyAlignment="1">
      <alignment horizontal="center" vertical="center"/>
    </xf>
    <xf numFmtId="0" fontId="0" fillId="20" borderId="35" xfId="0" applyFill="1" applyBorder="1" applyAlignment="1">
      <alignment horizontal="center" vertical="center"/>
    </xf>
    <xf numFmtId="0" fontId="23" fillId="20" borderId="27" xfId="0" applyFont="1" applyFill="1" applyBorder="1" applyAlignment="1">
      <alignment horizontal="center" vertical="center" wrapText="1"/>
    </xf>
    <xf numFmtId="0" fontId="23" fillId="20" borderId="28" xfId="0" applyFont="1" applyFill="1" applyBorder="1" applyAlignment="1">
      <alignment horizontal="center" vertical="center" wrapText="1"/>
    </xf>
    <xf numFmtId="0" fontId="23" fillId="20" borderId="28" xfId="0" applyFont="1" applyFill="1" applyBorder="1" applyAlignment="1">
      <alignment horizontal="center" vertical="center"/>
    </xf>
    <xf numFmtId="0" fontId="23" fillId="20" borderId="29" xfId="0" applyFont="1" applyFill="1" applyBorder="1" applyAlignment="1">
      <alignment horizontal="center" vertical="center" wrapText="1"/>
    </xf>
    <xf numFmtId="0" fontId="0" fillId="23" borderId="43" xfId="0" applyFill="1" applyBorder="1" applyAlignment="1">
      <alignment horizontal="center" vertical="center" wrapText="1"/>
    </xf>
    <xf numFmtId="0" fontId="0" fillId="23" borderId="32" xfId="0" applyFill="1" applyBorder="1" applyAlignment="1">
      <alignment horizontal="center" vertical="center" wrapText="1"/>
    </xf>
    <xf numFmtId="0" fontId="4" fillId="17" borderId="34" xfId="0" applyFont="1" applyFill="1" applyBorder="1" applyAlignment="1">
      <alignment horizontal="center" vertical="center" wrapText="1"/>
    </xf>
    <xf numFmtId="0" fontId="0" fillId="23" borderId="35" xfId="0" applyFill="1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23" fillId="20" borderId="26" xfId="0" applyFont="1" applyFill="1" applyBorder="1" applyAlignment="1">
      <alignment horizontal="center" vertical="center" wrapText="1"/>
    </xf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23" fillId="20" borderId="29" xfId="0" applyFont="1" applyFill="1" applyBorder="1" applyAlignment="1">
      <alignment horizontal="center" vertical="center"/>
    </xf>
    <xf numFmtId="0" fontId="23" fillId="0" borderId="4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23" fillId="0" borderId="34" xfId="0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42" xfId="0" applyBorder="1" applyProtection="1">
      <protection locked="0"/>
    </xf>
    <xf numFmtId="164" fontId="0" fillId="0" borderId="43" xfId="42" applyFont="1" applyBorder="1" applyProtection="1">
      <protection locked="0"/>
    </xf>
    <xf numFmtId="0" fontId="0" fillId="0" borderId="31" xfId="0" applyBorder="1" applyProtection="1">
      <protection locked="0"/>
    </xf>
    <xf numFmtId="164" fontId="0" fillId="0" borderId="32" xfId="42" applyFont="1" applyBorder="1" applyProtection="1">
      <protection locked="0"/>
    </xf>
    <xf numFmtId="0" fontId="0" fillId="0" borderId="33" xfId="0" applyBorder="1" applyProtection="1">
      <protection locked="0"/>
    </xf>
    <xf numFmtId="164" fontId="0" fillId="0" borderId="35" xfId="42" applyFont="1" applyBorder="1" applyProtection="1">
      <protection locked="0"/>
    </xf>
    <xf numFmtId="0" fontId="27" fillId="22" borderId="0" xfId="0" applyFont="1" applyFill="1" applyAlignment="1">
      <alignment horizontal="center" vertical="center"/>
    </xf>
    <xf numFmtId="0" fontId="0" fillId="20" borderId="42" xfId="0" applyFill="1" applyBorder="1" applyAlignment="1">
      <alignment horizontal="center" vertical="center"/>
    </xf>
    <xf numFmtId="0" fontId="0" fillId="20" borderId="43" xfId="0" applyFill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4" fillId="0" borderId="43" xfId="0" applyFont="1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0" fillId="0" borderId="45" xfId="0" applyBorder="1"/>
    <xf numFmtId="0" fontId="23" fillId="21" borderId="27" xfId="0" applyFont="1" applyFill="1" applyBorder="1" applyAlignment="1">
      <alignment horizontal="center" vertical="center" wrapText="1"/>
    </xf>
    <xf numFmtId="0" fontId="23" fillId="21" borderId="28" xfId="0" applyFont="1" applyFill="1" applyBorder="1" applyAlignment="1">
      <alignment horizontal="center" vertical="center" wrapText="1"/>
    </xf>
    <xf numFmtId="0" fontId="23" fillId="21" borderId="30" xfId="0" applyFont="1" applyFill="1" applyBorder="1" applyAlignment="1">
      <alignment horizontal="center" vertical="center" wrapText="1"/>
    </xf>
    <xf numFmtId="0" fontId="23" fillId="21" borderId="29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23" fillId="30" borderId="10" xfId="0" applyFont="1" applyFill="1" applyBorder="1" applyAlignment="1">
      <alignment horizontal="center" vertical="center" wrapText="1"/>
    </xf>
    <xf numFmtId="0" fontId="0" fillId="30" borderId="10" xfId="0" applyFill="1" applyBorder="1"/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23" fillId="0" borderId="50" xfId="0" applyFont="1" applyBorder="1" applyAlignment="1">
      <alignment horizontal="center" vertical="center"/>
    </xf>
    <xf numFmtId="0" fontId="23" fillId="21" borderId="51" xfId="0" applyFont="1" applyFill="1" applyBorder="1" applyAlignment="1">
      <alignment horizontal="center" vertical="center" wrapText="1"/>
    </xf>
    <xf numFmtId="0" fontId="0" fillId="0" borderId="11" xfId="0" applyBorder="1" applyAlignment="1" applyProtection="1">
      <alignment horizontal="center" vertical="center"/>
      <protection locked="0"/>
    </xf>
    <xf numFmtId="0" fontId="30" fillId="0" borderId="0" xfId="0" applyFont="1"/>
    <xf numFmtId="0" fontId="0" fillId="31" borderId="0" xfId="0" applyFill="1"/>
    <xf numFmtId="0" fontId="0" fillId="0" borderId="0" xfId="0" applyAlignment="1">
      <alignment vertical="center" wrapText="1"/>
    </xf>
    <xf numFmtId="0" fontId="25" fillId="26" borderId="0" xfId="0" applyFont="1" applyFill="1" applyAlignment="1">
      <alignment textRotation="255"/>
    </xf>
    <xf numFmtId="0" fontId="23" fillId="27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9" fillId="29" borderId="44" xfId="0" applyFont="1" applyFill="1" applyBorder="1" applyAlignment="1">
      <alignment horizontal="center" vertical="center"/>
    </xf>
    <xf numFmtId="0" fontId="28" fillId="29" borderId="44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4" fillId="0" borderId="15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0" fillId="0" borderId="19" xfId="0" applyBorder="1" applyAlignment="1">
      <alignment horizontal="center"/>
    </xf>
    <xf numFmtId="0" fontId="0" fillId="0" borderId="18" xfId="0" applyBorder="1" applyAlignment="1">
      <alignment horizontal="center"/>
    </xf>
    <xf numFmtId="0" fontId="23" fillId="28" borderId="44" xfId="0" applyFont="1" applyFill="1" applyBorder="1" applyAlignment="1">
      <alignment horizontal="center"/>
    </xf>
    <xf numFmtId="0" fontId="23" fillId="0" borderId="43" xfId="0" applyFont="1" applyBorder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urrency" xfId="42" builtinId="4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30"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29"/>
      <tableStyleElement type="headerRow" dxfId="28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BB717"/>
      <color rgb="FFE8E446"/>
      <color rgb="FFFF4B4B"/>
      <color rgb="FFD7D31B"/>
      <color rgb="FF59D36D"/>
      <color rgb="FF57E943"/>
      <color rgb="FF9D988D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jpeg"/><Relationship Id="rId1" Type="http://schemas.openxmlformats.org/officeDocument/2006/relationships/image" Target="../media/image9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914400</xdr:colOff>
      <xdr:row>0</xdr:row>
      <xdr:rowOff>38100</xdr:rowOff>
    </xdr:from>
    <xdr:to>
      <xdr:col>13</xdr:col>
      <xdr:colOff>31275</xdr:colOff>
      <xdr:row>0</xdr:row>
      <xdr:rowOff>542100</xdr:rowOff>
    </xdr:to>
    <xdr:sp macro="[0]!populate_calcutta" textlink="">
      <xdr:nvSpPr>
        <xdr:cNvPr id="2" name="Rectangle 1">
          <a:extLst>
            <a:ext uri="{FF2B5EF4-FFF2-40B4-BE49-F238E27FC236}">
              <a16:creationId xmlns:a16="http://schemas.microsoft.com/office/drawing/2014/main" id="{533BF270-0456-41D5-963F-BBAC9832F824}"/>
            </a:ext>
          </a:extLst>
        </xdr:cNvPr>
        <xdr:cNvSpPr>
          <a:spLocks noChangeAspect="1"/>
        </xdr:cNvSpPr>
      </xdr:nvSpPr>
      <xdr:spPr bwMode="auto">
        <a:xfrm>
          <a:off x="7058025" y="38100"/>
          <a:ext cx="1260000" cy="504000"/>
        </a:xfrm>
        <a:prstGeom prst="rect">
          <a:avLst/>
        </a:prstGeom>
        <a:solidFill>
          <a:schemeClr val="accent3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chemeClr val="bg1"/>
              </a:solidFill>
            </a:rPr>
            <a:t>NEW</a:t>
          </a:r>
          <a:r>
            <a:rPr lang="en-US" sz="1600" b="1" baseline="0">
              <a:solidFill>
                <a:schemeClr val="bg1"/>
              </a:solidFill>
            </a:rPr>
            <a:t> CALCUTTA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13</xdr:col>
      <xdr:colOff>85725</xdr:colOff>
      <xdr:row>0</xdr:row>
      <xdr:rowOff>28575</xdr:rowOff>
    </xdr:from>
    <xdr:to>
      <xdr:col>14</xdr:col>
      <xdr:colOff>736125</xdr:colOff>
      <xdr:row>0</xdr:row>
      <xdr:rowOff>532575</xdr:rowOff>
    </xdr:to>
    <xdr:sp macro="[0]!clear_calcutta" textlink="">
      <xdr:nvSpPr>
        <xdr:cNvPr id="3" name="Rectangle 2">
          <a:extLst>
            <a:ext uri="{FF2B5EF4-FFF2-40B4-BE49-F238E27FC236}">
              <a16:creationId xmlns:a16="http://schemas.microsoft.com/office/drawing/2014/main" id="{FF7601F3-B34A-4648-8BFB-9B3B9E6CF3AD}"/>
            </a:ext>
          </a:extLst>
        </xdr:cNvPr>
        <xdr:cNvSpPr>
          <a:spLocks noChangeAspect="1"/>
        </xdr:cNvSpPr>
      </xdr:nvSpPr>
      <xdr:spPr bwMode="auto">
        <a:xfrm>
          <a:off x="8372475" y="28575"/>
          <a:ext cx="1260000" cy="504000"/>
        </a:xfrm>
        <a:prstGeom prst="rect">
          <a:avLst/>
        </a:prstGeom>
        <a:solidFill>
          <a:schemeClr val="accent6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 baseline="0">
              <a:solidFill>
                <a:schemeClr val="bg1"/>
              </a:solidFill>
            </a:rPr>
            <a:t>CLEAR CALCUTTA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2</xdr:row>
      <xdr:rowOff>47625</xdr:rowOff>
    </xdr:from>
    <xdr:to>
      <xdr:col>5</xdr:col>
      <xdr:colOff>2210353</xdr:colOff>
      <xdr:row>3</xdr:row>
      <xdr:rowOff>28640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99BF2B9-53D2-4D85-9B9C-B6E7E6094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67150" y="1638300"/>
          <a:ext cx="3962953" cy="46679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</xdr:row>
      <xdr:rowOff>9526</xdr:rowOff>
    </xdr:from>
    <xdr:to>
      <xdr:col>5</xdr:col>
      <xdr:colOff>923925</xdr:colOff>
      <xdr:row>1</xdr:row>
      <xdr:rowOff>1051242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7736157-D5B8-461F-93DE-D38C099EA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38575" y="171451"/>
          <a:ext cx="2705100" cy="1041716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3</xdr:row>
      <xdr:rowOff>161925</xdr:rowOff>
    </xdr:from>
    <xdr:to>
      <xdr:col>5</xdr:col>
      <xdr:colOff>2115082</xdr:colOff>
      <xdr:row>3</xdr:row>
      <xdr:rowOff>495347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B40D426-4A61-462B-8961-B9F68E902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24300" y="2238375"/>
          <a:ext cx="3810532" cy="33342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5</xdr:col>
      <xdr:colOff>2105574</xdr:colOff>
      <xdr:row>5</xdr:row>
      <xdr:rowOff>85782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3977A2B-0BFB-482A-88E3-35546AEAF5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90950" y="2771775"/>
          <a:ext cx="3934374" cy="409632"/>
        </a:xfrm>
        <a:prstGeom prst="rect">
          <a:avLst/>
        </a:prstGeom>
      </xdr:spPr>
    </xdr:pic>
    <xdr:clientData/>
  </xdr:twoCellAnchor>
  <xdr:twoCellAnchor>
    <xdr:from>
      <xdr:col>5</xdr:col>
      <xdr:colOff>2543175</xdr:colOff>
      <xdr:row>1</xdr:row>
      <xdr:rowOff>238125</xdr:rowOff>
    </xdr:from>
    <xdr:to>
      <xdr:col>7</xdr:col>
      <xdr:colOff>161925</xdr:colOff>
      <xdr:row>1</xdr:row>
      <xdr:rowOff>1152525</xdr:rowOff>
    </xdr:to>
    <xdr:sp macro="" textlink="">
      <xdr:nvSpPr>
        <xdr:cNvPr id="6" name="Cross 5">
          <a:extLst>
            <a:ext uri="{FF2B5EF4-FFF2-40B4-BE49-F238E27FC236}">
              <a16:creationId xmlns:a16="http://schemas.microsoft.com/office/drawing/2014/main" id="{E98A0E8D-32C7-49F9-B8B2-D4F83C758D2C}"/>
            </a:ext>
          </a:extLst>
        </xdr:cNvPr>
        <xdr:cNvSpPr/>
      </xdr:nvSpPr>
      <xdr:spPr bwMode="auto">
        <a:xfrm>
          <a:off x="8162925" y="400050"/>
          <a:ext cx="914400" cy="914400"/>
        </a:xfrm>
        <a:prstGeom prst="plus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687917</xdr:colOff>
      <xdr:row>0</xdr:row>
      <xdr:rowOff>0</xdr:rowOff>
    </xdr:from>
    <xdr:to>
      <xdr:col>4</xdr:col>
      <xdr:colOff>277752</xdr:colOff>
      <xdr:row>0</xdr:row>
      <xdr:rowOff>783167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11B2C57-A689-49DE-9B6D-C78260DA8D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7584" y="0"/>
          <a:ext cx="1393536" cy="783167"/>
        </a:xfrm>
        <a:prstGeom prst="rect">
          <a:avLst/>
        </a:prstGeom>
      </xdr:spPr>
    </xdr:pic>
    <xdr:clientData/>
  </xdr:twoCellAnchor>
  <xdr:twoCellAnchor editAs="absolute">
    <xdr:from>
      <xdr:col>15</xdr:col>
      <xdr:colOff>248859</xdr:colOff>
      <xdr:row>0</xdr:row>
      <xdr:rowOff>147108</xdr:rowOff>
    </xdr:from>
    <xdr:to>
      <xdr:col>17</xdr:col>
      <xdr:colOff>344541</xdr:colOff>
      <xdr:row>0</xdr:row>
      <xdr:rowOff>651108</xdr:rowOff>
    </xdr:to>
    <xdr:sp macro="[0]!Display_Options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>
          <a:spLocks noChangeAspect="1"/>
        </xdr:cNvSpPr>
      </xdr:nvSpPr>
      <xdr:spPr bwMode="auto">
        <a:xfrm>
          <a:off x="10263716" y="147108"/>
          <a:ext cx="1193325" cy="504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chemeClr val="bg1"/>
              </a:solidFill>
            </a:rPr>
            <a:t>DISPLAY</a:t>
          </a:r>
        </a:p>
      </xdr:txBody>
    </xdr:sp>
    <xdr:clientData/>
  </xdr:twoCellAnchor>
  <xdr:twoCellAnchor editAs="absolute">
    <xdr:from>
      <xdr:col>0</xdr:col>
      <xdr:colOff>85725</xdr:colOff>
      <xdr:row>0</xdr:row>
      <xdr:rowOff>95250</xdr:rowOff>
    </xdr:from>
    <xdr:to>
      <xdr:col>1</xdr:col>
      <xdr:colOff>631350</xdr:colOff>
      <xdr:row>0</xdr:row>
      <xdr:rowOff>599250</xdr:rowOff>
    </xdr:to>
    <xdr:sp macro="[0]!Manage_Teams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>
          <a:spLocks noChangeAspect="1"/>
        </xdr:cNvSpPr>
      </xdr:nvSpPr>
      <xdr:spPr bwMode="auto">
        <a:xfrm>
          <a:off x="85725" y="95250"/>
          <a:ext cx="1260000" cy="5040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chemeClr val="bg1"/>
              </a:solidFill>
            </a:rPr>
            <a:t>TEAMS &amp;</a:t>
          </a:r>
          <a:r>
            <a:rPr lang="en-US" sz="1600" b="1" baseline="0">
              <a:solidFill>
                <a:schemeClr val="bg1"/>
              </a:solidFill>
            </a:rPr>
            <a:t> WEIGH-IN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18</xdr:col>
      <xdr:colOff>129116</xdr:colOff>
      <xdr:row>0</xdr:row>
      <xdr:rowOff>133350</xdr:rowOff>
    </xdr:from>
    <xdr:to>
      <xdr:col>19</xdr:col>
      <xdr:colOff>489080</xdr:colOff>
      <xdr:row>0</xdr:row>
      <xdr:rowOff>637350</xdr:rowOff>
    </xdr:to>
    <xdr:sp macro="[0]!Make_new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/>
        </xdr:cNvSpPr>
      </xdr:nvSpPr>
      <xdr:spPr bwMode="auto">
        <a:xfrm>
          <a:off x="12068175" y="133350"/>
          <a:ext cx="1260000" cy="50400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chemeClr val="bg1"/>
              </a:solidFill>
            </a:rPr>
            <a:t>NEW</a:t>
          </a:r>
          <a:r>
            <a:rPr lang="en-US" sz="1600" b="1" baseline="0">
              <a:solidFill>
                <a:schemeClr val="bg1"/>
              </a:solidFill>
            </a:rPr>
            <a:t> TOURNEY</a:t>
          </a:r>
          <a:endParaRPr lang="en-US" sz="16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12</xdr:col>
      <xdr:colOff>497417</xdr:colOff>
      <xdr:row>0</xdr:row>
      <xdr:rowOff>136525</xdr:rowOff>
    </xdr:from>
    <xdr:to>
      <xdr:col>15</xdr:col>
      <xdr:colOff>11923</xdr:colOff>
      <xdr:row>0</xdr:row>
      <xdr:rowOff>640525</xdr:rowOff>
    </xdr:to>
    <xdr:sp macro="[0]!Print_Options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>
          <a:spLocks noChangeAspect="1"/>
        </xdr:cNvSpPr>
      </xdr:nvSpPr>
      <xdr:spPr bwMode="auto">
        <a:xfrm>
          <a:off x="8741834" y="136525"/>
          <a:ext cx="1286458" cy="50400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chemeClr val="bg1"/>
              </a:solidFill>
            </a:rPr>
            <a:t>PRINT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28576</xdr:colOff>
      <xdr:row>0</xdr:row>
      <xdr:rowOff>47625</xdr:rowOff>
    </xdr:from>
    <xdr:to>
      <xdr:col>14</xdr:col>
      <xdr:colOff>508044</xdr:colOff>
      <xdr:row>0</xdr:row>
      <xdr:rowOff>523875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/>
        </xdr:cNvSpPr>
      </xdr:nvSpPr>
      <xdr:spPr bwMode="auto">
        <a:xfrm>
          <a:off x="8153401" y="47625"/>
          <a:ext cx="1089068" cy="476250"/>
        </a:xfrm>
        <a:prstGeom prst="rect">
          <a:avLst/>
        </a:prstGeom>
        <a:solidFill>
          <a:srgbClr val="9D978E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NEW</a:t>
          </a:r>
          <a:r>
            <a:rPr lang="en-US" sz="1600" b="1" baseline="0">
              <a:solidFill>
                <a:sysClr val="windowText" lastClr="000000"/>
              </a:solidFill>
            </a:rPr>
            <a:t> CALCUTTA</a:t>
          </a:r>
          <a:endParaRPr lang="en-US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13</xdr:col>
      <xdr:colOff>28575</xdr:colOff>
      <xdr:row>1</xdr:row>
      <xdr:rowOff>38100</xdr:rowOff>
    </xdr:from>
    <xdr:to>
      <xdr:col>14</xdr:col>
      <xdr:colOff>526044</xdr:colOff>
      <xdr:row>3</xdr:row>
      <xdr:rowOff>19050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/>
        </xdr:cNvSpPr>
      </xdr:nvSpPr>
      <xdr:spPr bwMode="auto">
        <a:xfrm>
          <a:off x="8153400" y="590550"/>
          <a:ext cx="1107069" cy="476250"/>
        </a:xfrm>
        <a:prstGeom prst="rect">
          <a:avLst/>
        </a:prstGeom>
        <a:solidFill>
          <a:srgbClr val="9D978E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 baseline="0">
              <a:solidFill>
                <a:sysClr val="windowText" lastClr="000000"/>
              </a:solidFill>
            </a:rPr>
            <a:t>CLEAR CALCUTTA</a:t>
          </a:r>
          <a:endParaRPr lang="en-US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13</xdr:col>
      <xdr:colOff>38100</xdr:colOff>
      <xdr:row>3</xdr:row>
      <xdr:rowOff>76200</xdr:rowOff>
    </xdr:from>
    <xdr:to>
      <xdr:col>14</xdr:col>
      <xdr:colOff>535569</xdr:colOff>
      <xdr:row>5</xdr:row>
      <xdr:rowOff>57150</xdr:rowOff>
    </xdr:to>
    <xdr:sp macro="[0]!Lock_Calcutta" textlink="">
      <xdr:nvSpPr>
        <xdr:cNvPr id="6" name="Rectangle 5">
          <a:extLst>
            <a:ext uri="{FF2B5EF4-FFF2-40B4-BE49-F238E27FC236}">
              <a16:creationId xmlns:a16="http://schemas.microsoft.com/office/drawing/2014/main" id="{D947CFF9-863B-4E2D-816E-7EB0F035427F}"/>
            </a:ext>
          </a:extLst>
        </xdr:cNvPr>
        <xdr:cNvSpPr>
          <a:spLocks noChangeAspect="1"/>
        </xdr:cNvSpPr>
      </xdr:nvSpPr>
      <xdr:spPr bwMode="auto">
        <a:xfrm>
          <a:off x="8162925" y="1123950"/>
          <a:ext cx="1107069" cy="476250"/>
        </a:xfrm>
        <a:prstGeom prst="rect">
          <a:avLst/>
        </a:prstGeom>
        <a:solidFill>
          <a:srgbClr val="FF4B4B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 baseline="0">
              <a:solidFill>
                <a:sysClr val="windowText" lastClr="000000"/>
              </a:solidFill>
            </a:rPr>
            <a:t>LOCK CALCUTTA</a:t>
          </a:r>
          <a:endParaRPr lang="en-US" sz="16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13</xdr:col>
      <xdr:colOff>47625</xdr:colOff>
      <xdr:row>5</xdr:row>
      <xdr:rowOff>123825</xdr:rowOff>
    </xdr:from>
    <xdr:to>
      <xdr:col>14</xdr:col>
      <xdr:colOff>545094</xdr:colOff>
      <xdr:row>7</xdr:row>
      <xdr:rowOff>104775</xdr:rowOff>
    </xdr:to>
    <xdr:sp macro="[0]!Unlock_Calcutta" textlink="">
      <xdr:nvSpPr>
        <xdr:cNvPr id="7" name="Rectangle 6">
          <a:extLst>
            <a:ext uri="{FF2B5EF4-FFF2-40B4-BE49-F238E27FC236}">
              <a16:creationId xmlns:a16="http://schemas.microsoft.com/office/drawing/2014/main" id="{1CC2363F-5420-4738-9B4F-13F2956A44A1}"/>
            </a:ext>
          </a:extLst>
        </xdr:cNvPr>
        <xdr:cNvSpPr>
          <a:spLocks noChangeAspect="1"/>
        </xdr:cNvSpPr>
      </xdr:nvSpPr>
      <xdr:spPr bwMode="auto">
        <a:xfrm>
          <a:off x="8172450" y="1666875"/>
          <a:ext cx="1107069" cy="476250"/>
        </a:xfrm>
        <a:prstGeom prst="rect">
          <a:avLst/>
        </a:prstGeom>
        <a:solidFill>
          <a:srgbClr val="59D36D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 baseline="0">
              <a:solidFill>
                <a:sysClr val="windowText" lastClr="000000"/>
              </a:solidFill>
            </a:rPr>
            <a:t>Unlock CALCUTTA</a:t>
          </a:r>
          <a:endParaRPr lang="en-US" sz="16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31751</xdr:colOff>
      <xdr:row>1</xdr:row>
      <xdr:rowOff>2012</xdr:rowOff>
    </xdr:from>
    <xdr:to>
      <xdr:col>3</xdr:col>
      <xdr:colOff>324281</xdr:colOff>
      <xdr:row>9</xdr:row>
      <xdr:rowOff>74084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9CFD959-8CD9-4128-86AA-638D6316E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584" y="160762"/>
          <a:ext cx="2388030" cy="1342072"/>
        </a:xfrm>
        <a:prstGeom prst="rect">
          <a:avLst/>
        </a:prstGeom>
      </xdr:spPr>
    </xdr:pic>
    <xdr:clientData/>
  </xdr:twoCellAnchor>
  <xdr:twoCellAnchor editAs="oneCell">
    <xdr:from>
      <xdr:col>1</xdr:col>
      <xdr:colOff>63500</xdr:colOff>
      <xdr:row>29</xdr:row>
      <xdr:rowOff>31750</xdr:rowOff>
    </xdr:from>
    <xdr:to>
      <xdr:col>3</xdr:col>
      <xdr:colOff>356030</xdr:colOff>
      <xdr:row>37</xdr:row>
      <xdr:rowOff>103822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4CA99F17-D6C7-460B-AF8A-D22A9EE5C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333" y="4646083"/>
          <a:ext cx="2388030" cy="13420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57150</xdr:rowOff>
    </xdr:from>
    <xdr:to>
      <xdr:col>5</xdr:col>
      <xdr:colOff>285750</xdr:colOff>
      <xdr:row>11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2846D75-DE62-441D-BBE4-439AA6B1B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150"/>
          <a:ext cx="3333750" cy="18764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66675</xdr:rowOff>
    </xdr:from>
    <xdr:to>
      <xdr:col>12</xdr:col>
      <xdr:colOff>457200</xdr:colOff>
      <xdr:row>36</xdr:row>
      <xdr:rowOff>105537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2AA915A-1F0E-436A-92A5-663020220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09775"/>
          <a:ext cx="7772400" cy="3925062"/>
        </a:xfrm>
        <a:prstGeom prst="rect">
          <a:avLst/>
        </a:prstGeom>
      </xdr:spPr>
    </xdr:pic>
    <xdr:clientData/>
  </xdr:twoCellAnchor>
  <xdr:twoCellAnchor editAs="oneCell">
    <xdr:from>
      <xdr:col>13</xdr:col>
      <xdr:colOff>357150</xdr:colOff>
      <xdr:row>3</xdr:row>
      <xdr:rowOff>157125</xdr:rowOff>
    </xdr:from>
    <xdr:to>
      <xdr:col>26</xdr:col>
      <xdr:colOff>204750</xdr:colOff>
      <xdr:row>30</xdr:row>
      <xdr:rowOff>153238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A6A24F6-2AAB-4709-BF7D-7C7DEC2BB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1950" y="642900"/>
          <a:ext cx="7772400" cy="436808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N1:AG9" totalsRowShown="0" headerRowDxfId="21" dataDxfId="20">
  <tableColumns count="20">
    <tableColumn id="1" xr3:uid="{00000000-0010-0000-0000-000001000000}" name="Statistic" dataDxfId="19"/>
    <tableColumn id="2" xr3:uid="{00000000-0010-0000-0000-000002000000}" name="2016" dataDxfId="18"/>
    <tableColumn id="3" xr3:uid="{00000000-0010-0000-0000-000003000000}" name="2017" dataDxfId="17"/>
    <tableColumn id="4" xr3:uid="{00000000-0010-0000-0000-000004000000}" name="2018" dataDxfId="16"/>
    <tableColumn id="5" xr3:uid="{00000000-0010-0000-0000-000005000000}" name="2019" dataDxfId="15"/>
    <tableColumn id="6" xr3:uid="{00000000-0010-0000-0000-000006000000}" name="2020" dataDxfId="14"/>
    <tableColumn id="7" xr3:uid="{00000000-0010-0000-0000-000007000000}" name="2021" dataDxfId="13"/>
    <tableColumn id="8" xr3:uid="{00000000-0010-0000-0000-000008000000}" name="2022" dataDxfId="12"/>
    <tableColumn id="9" xr3:uid="{00000000-0010-0000-0000-000009000000}" name="2023" dataDxfId="11"/>
    <tableColumn id="10" xr3:uid="{00000000-0010-0000-0000-00000A000000}" name="2024" dataDxfId="10"/>
    <tableColumn id="11" xr3:uid="{00000000-0010-0000-0000-00000B000000}" name="2025" dataDxfId="9"/>
    <tableColumn id="12" xr3:uid="{00000000-0010-0000-0000-00000C000000}" name="2026" dataDxfId="8"/>
    <tableColumn id="13" xr3:uid="{00000000-0010-0000-0000-00000D000000}" name="2027" dataDxfId="7"/>
    <tableColumn id="14" xr3:uid="{00000000-0010-0000-0000-00000E000000}" name="2028" dataDxfId="6"/>
    <tableColumn id="15" xr3:uid="{00000000-0010-0000-0000-00000F000000}" name="2029" dataDxfId="5"/>
    <tableColumn id="16" xr3:uid="{00000000-0010-0000-0000-000010000000}" name="2030" dataDxfId="4"/>
    <tableColumn id="17" xr3:uid="{81125E99-F15A-463B-9A50-166E52797392}" name="2031" dataDxfId="3"/>
    <tableColumn id="18" xr3:uid="{1DD8B7E9-4145-4CB4-A9A1-7CF0269FD588}" name="2032" dataDxfId="2"/>
    <tableColumn id="19" xr3:uid="{F6BE74EF-E016-42A0-8919-D9234228E1C7}" name="2033" dataDxfId="1"/>
    <tableColumn id="20" xr3:uid="{CE80FE93-BCBC-4614-9A86-B46BC59CE986}" name="203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FF2B6-8F60-43D4-B329-72A1427E2317}">
  <sheetPr codeName="Sheet18">
    <tabColor rgb="FF7030A0"/>
  </sheetPr>
  <dimension ref="A1:R113"/>
  <sheetViews>
    <sheetView zoomScaleNormal="100" workbookViewId="0">
      <pane xSplit="18" ySplit="1" topLeftCell="S12" activePane="bottomRight" state="frozen"/>
      <selection pane="topRight" activeCell="S1" sqref="S1"/>
      <selection pane="bottomLeft" activeCell="A2" sqref="A2"/>
      <selection pane="bottomRight" activeCell="I33" sqref="I33"/>
    </sheetView>
  </sheetViews>
  <sheetFormatPr defaultRowHeight="12.75" x14ac:dyDescent="0.2"/>
  <cols>
    <col min="2" max="2" width="5.85546875" customWidth="1"/>
    <col min="3" max="3" width="6.7109375" customWidth="1"/>
    <col min="4" max="4" width="6.140625" customWidth="1"/>
    <col min="5" max="5" width="9.85546875" customWidth="1"/>
    <col min="7" max="7" width="9.7109375" customWidth="1"/>
    <col min="10" max="10" width="17.28515625" customWidth="1"/>
    <col min="11" max="11" width="13.85546875" customWidth="1"/>
    <col min="15" max="15" width="13" customWidth="1"/>
  </cols>
  <sheetData>
    <row r="1" spans="1:18" ht="43.5" customHeight="1" thickBot="1" x14ac:dyDescent="0.25">
      <c r="A1" s="130" t="s">
        <v>168</v>
      </c>
      <c r="B1" s="136" t="s">
        <v>165</v>
      </c>
      <c r="C1" s="137" t="s">
        <v>166</v>
      </c>
      <c r="D1" s="138" t="s">
        <v>167</v>
      </c>
      <c r="E1" s="136" t="s">
        <v>276</v>
      </c>
      <c r="F1" s="136" t="s">
        <v>277</v>
      </c>
      <c r="G1" s="136" t="s">
        <v>278</v>
      </c>
      <c r="H1" s="136"/>
      <c r="I1" s="139" t="s">
        <v>169</v>
      </c>
      <c r="J1" s="136" t="s">
        <v>57</v>
      </c>
      <c r="K1" s="139" t="s">
        <v>58</v>
      </c>
      <c r="P1" s="165" t="s">
        <v>147</v>
      </c>
      <c r="Q1" s="165"/>
      <c r="R1" s="83">
        <f>'Control Page'!A2</f>
        <v>2022</v>
      </c>
    </row>
    <row r="2" spans="1:18" ht="20.100000000000001" customHeight="1" x14ac:dyDescent="0.2">
      <c r="A2" s="88">
        <v>1</v>
      </c>
      <c r="B2" s="89">
        <v>63</v>
      </c>
      <c r="C2" s="90">
        <v>33</v>
      </c>
      <c r="D2" s="91">
        <v>61</v>
      </c>
      <c r="E2" s="92">
        <f ca="1">_xlfn.IFNA(INDEX(INDIRECT("'"&amp;$R$1&amp;"'!"&amp;"$A$2:$N$77"),MATCH(B2,INDIRECT("'"&amp;$R$1&amp;"'!"&amp;"$B$2:$B$77"),0),13),"-")</f>
        <v>1.84</v>
      </c>
      <c r="F2" s="49">
        <f ca="1">_xlfn.IFNA(INDEX(INDIRECT("'"&amp;$R$1&amp;"'!"&amp;"$A$2:$N$77"),MATCH(C2,INDIRECT("'"&amp;$R$1&amp;"'!"&amp;"$B$2:$B$77"),0),13),"-")</f>
        <v>4.57</v>
      </c>
      <c r="G2" s="93">
        <f ca="1">_xlfn.IFNA(INDEX(INDIRECT("'"&amp;$R$1&amp;"'!"&amp;"$A$2:$N$77"),MATCH(D2,INDIRECT("'"&amp;$R$1&amp;"'!"&amp;"$B$2:$B$77"),0),13),"-")</f>
        <v>7.29</v>
      </c>
      <c r="H2" s="128"/>
      <c r="I2" s="129">
        <f ca="1">IF(MAX(D2,F2,G2) &gt; 0,MAX(E2,F2,G2),"-")</f>
        <v>7.29</v>
      </c>
      <c r="J2" s="121"/>
      <c r="K2" s="122"/>
      <c r="M2" t="s">
        <v>332</v>
      </c>
    </row>
    <row r="3" spans="1:18" ht="20.100000000000001" customHeight="1" x14ac:dyDescent="0.2">
      <c r="A3" s="84">
        <v>2</v>
      </c>
      <c r="B3" s="77">
        <v>14</v>
      </c>
      <c r="C3" s="78">
        <v>75</v>
      </c>
      <c r="D3" s="79">
        <v>26</v>
      </c>
      <c r="E3" s="92">
        <f t="shared" ref="E3:G27" ca="1" si="0">_xlfn.IFNA(INDEX(INDIRECT("'"&amp;$R$1&amp;"'!"&amp;"$A$2:$N$77"),MATCH(B3,INDIRECT("'"&amp;$R$1&amp;"'!"&amp;"$B$2:$B$77"),0),13),"-")</f>
        <v>10.53</v>
      </c>
      <c r="F3" s="49">
        <f t="shared" ca="1" si="0"/>
        <v>0</v>
      </c>
      <c r="G3" s="93">
        <f t="shared" ca="1" si="0"/>
        <v>7.15</v>
      </c>
      <c r="H3" s="86"/>
      <c r="I3" s="94">
        <f t="shared" ref="I3:I27" ca="1" si="1">IF(MAX(D3,F3,G3) &gt; 0,MAX(E3,F3,G3),"-")</f>
        <v>10.53</v>
      </c>
      <c r="J3" s="123"/>
      <c r="K3" s="124"/>
      <c r="M3" t="s">
        <v>373</v>
      </c>
    </row>
    <row r="4" spans="1:18" ht="20.100000000000001" customHeight="1" x14ac:dyDescent="0.2">
      <c r="A4" s="84">
        <v>3</v>
      </c>
      <c r="B4" s="77">
        <v>6</v>
      </c>
      <c r="C4" s="78">
        <v>24</v>
      </c>
      <c r="D4" s="79">
        <v>52</v>
      </c>
      <c r="E4" s="92">
        <f t="shared" ca="1" si="0"/>
        <v>11.53</v>
      </c>
      <c r="F4" s="49">
        <f t="shared" ca="1" si="0"/>
        <v>8.68</v>
      </c>
      <c r="G4" s="93">
        <f t="shared" ca="1" si="0"/>
        <v>2.66</v>
      </c>
      <c r="H4" s="86"/>
      <c r="I4" s="94">
        <f t="shared" ca="1" si="1"/>
        <v>11.53</v>
      </c>
      <c r="J4" s="123"/>
      <c r="K4" s="124"/>
    </row>
    <row r="5" spans="1:18" ht="20.100000000000001" customHeight="1" x14ac:dyDescent="0.2">
      <c r="A5" s="84">
        <v>4</v>
      </c>
      <c r="B5" s="77">
        <v>13</v>
      </c>
      <c r="C5" s="78">
        <v>71</v>
      </c>
      <c r="D5" s="79">
        <v>35</v>
      </c>
      <c r="E5" s="92">
        <f t="shared" ca="1" si="0"/>
        <v>8.18</v>
      </c>
      <c r="F5" s="49">
        <f t="shared" ca="1" si="0"/>
        <v>0</v>
      </c>
      <c r="G5" s="93">
        <f t="shared" ca="1" si="0"/>
        <v>8.66</v>
      </c>
      <c r="H5" s="86"/>
      <c r="I5" s="94">
        <f t="shared" ca="1" si="1"/>
        <v>8.66</v>
      </c>
      <c r="J5" s="123"/>
      <c r="K5" s="124"/>
    </row>
    <row r="6" spans="1:18" ht="20.100000000000001" customHeight="1" x14ac:dyDescent="0.2">
      <c r="A6" s="84">
        <v>5</v>
      </c>
      <c r="B6" s="77">
        <v>38</v>
      </c>
      <c r="C6" s="78">
        <v>80</v>
      </c>
      <c r="D6" s="79">
        <v>62</v>
      </c>
      <c r="E6" s="92">
        <f t="shared" ca="1" si="0"/>
        <v>10.84</v>
      </c>
      <c r="F6" s="49" t="str">
        <f t="shared" ca="1" si="0"/>
        <v>-</v>
      </c>
      <c r="G6" s="93">
        <f t="shared" ca="1" si="0"/>
        <v>7.24</v>
      </c>
      <c r="H6" s="86"/>
      <c r="I6" s="94">
        <f t="shared" ca="1" si="1"/>
        <v>10.84</v>
      </c>
      <c r="J6" s="123"/>
      <c r="K6" s="124"/>
      <c r="N6" s="6"/>
    </row>
    <row r="7" spans="1:18" ht="20.100000000000001" customHeight="1" x14ac:dyDescent="0.2">
      <c r="A7" s="84">
        <v>6</v>
      </c>
      <c r="B7" s="77">
        <v>58</v>
      </c>
      <c r="C7" s="78">
        <v>17</v>
      </c>
      <c r="D7" s="79">
        <v>53</v>
      </c>
      <c r="E7" s="92">
        <f t="shared" ca="1" si="0"/>
        <v>6.31</v>
      </c>
      <c r="F7" s="49">
        <f t="shared" ca="1" si="0"/>
        <v>10.44</v>
      </c>
      <c r="G7" s="93">
        <f t="shared" ca="1" si="0"/>
        <v>2.4500000000000002</v>
      </c>
      <c r="H7" s="86"/>
      <c r="I7" s="94">
        <f t="shared" ca="1" si="1"/>
        <v>10.44</v>
      </c>
      <c r="J7" s="123"/>
      <c r="K7" s="124"/>
    </row>
    <row r="8" spans="1:18" ht="20.100000000000001" customHeight="1" x14ac:dyDescent="0.2">
      <c r="A8" s="84">
        <v>7</v>
      </c>
      <c r="B8" s="77">
        <v>79</v>
      </c>
      <c r="C8" s="78">
        <v>46</v>
      </c>
      <c r="D8" s="79">
        <v>31</v>
      </c>
      <c r="E8" s="92" t="str">
        <f t="shared" ca="1" si="0"/>
        <v>-</v>
      </c>
      <c r="F8" s="49">
        <f t="shared" ca="1" si="0"/>
        <v>10.18</v>
      </c>
      <c r="G8" s="93">
        <f t="shared" ca="1" si="0"/>
        <v>4.75</v>
      </c>
      <c r="H8" s="86"/>
      <c r="I8" s="94">
        <f t="shared" ca="1" si="1"/>
        <v>10.18</v>
      </c>
      <c r="J8" s="123"/>
      <c r="K8" s="124"/>
    </row>
    <row r="9" spans="1:18" ht="20.100000000000001" customHeight="1" x14ac:dyDescent="0.2">
      <c r="A9" s="84">
        <v>8</v>
      </c>
      <c r="B9" s="77">
        <v>23</v>
      </c>
      <c r="C9" s="78">
        <v>20</v>
      </c>
      <c r="D9" s="79">
        <v>56</v>
      </c>
      <c r="E9" s="92">
        <f t="shared" ca="1" si="0"/>
        <v>7.95</v>
      </c>
      <c r="F9" s="49">
        <f t="shared" ca="1" si="0"/>
        <v>6.95</v>
      </c>
      <c r="G9" s="93">
        <f t="shared" ca="1" si="0"/>
        <v>9.0299999999999994</v>
      </c>
      <c r="H9" s="86"/>
      <c r="I9" s="94">
        <f t="shared" ca="1" si="1"/>
        <v>9.0299999999999994</v>
      </c>
      <c r="J9" s="123"/>
      <c r="K9" s="124"/>
    </row>
    <row r="10" spans="1:18" ht="20.100000000000001" customHeight="1" x14ac:dyDescent="0.2">
      <c r="A10" s="84">
        <v>9</v>
      </c>
      <c r="B10" s="77">
        <v>49</v>
      </c>
      <c r="C10" s="78">
        <v>15</v>
      </c>
      <c r="D10" s="79">
        <v>77</v>
      </c>
      <c r="E10" s="92">
        <f t="shared" ca="1" si="0"/>
        <v>7.17</v>
      </c>
      <c r="F10" s="49">
        <f t="shared" ca="1" si="0"/>
        <v>6.76</v>
      </c>
      <c r="G10" s="93" t="str">
        <f t="shared" ca="1" si="0"/>
        <v>-</v>
      </c>
      <c r="H10" s="86"/>
      <c r="I10" s="94">
        <f t="shared" ca="1" si="1"/>
        <v>7.17</v>
      </c>
      <c r="J10" s="123"/>
      <c r="K10" s="124"/>
    </row>
    <row r="11" spans="1:18" ht="20.100000000000001" customHeight="1" x14ac:dyDescent="0.2">
      <c r="A11" s="84">
        <v>10</v>
      </c>
      <c r="B11" s="77">
        <v>66</v>
      </c>
      <c r="C11" s="78">
        <v>8</v>
      </c>
      <c r="D11" s="79">
        <v>37</v>
      </c>
      <c r="E11" s="92">
        <f t="shared" ca="1" si="0"/>
        <v>4.41</v>
      </c>
      <c r="F11" s="49">
        <f t="shared" ca="1" si="0"/>
        <v>12.12</v>
      </c>
      <c r="G11" s="93">
        <f t="shared" ca="1" si="0"/>
        <v>9.9700000000000006</v>
      </c>
      <c r="H11" s="86"/>
      <c r="I11" s="94">
        <f t="shared" ca="1" si="1"/>
        <v>12.12</v>
      </c>
      <c r="J11" s="123"/>
      <c r="K11" s="124"/>
    </row>
    <row r="12" spans="1:18" ht="20.100000000000001" customHeight="1" x14ac:dyDescent="0.2">
      <c r="A12" s="84">
        <v>11</v>
      </c>
      <c r="B12" s="77">
        <v>1</v>
      </c>
      <c r="C12" s="78">
        <v>43</v>
      </c>
      <c r="D12" s="79">
        <v>70</v>
      </c>
      <c r="E12" s="92">
        <f t="shared" ca="1" si="0"/>
        <v>9.5</v>
      </c>
      <c r="F12" s="49">
        <f t="shared" ca="1" si="0"/>
        <v>9.2799999999999994</v>
      </c>
      <c r="G12" s="93">
        <f t="shared" ca="1" si="0"/>
        <v>0</v>
      </c>
      <c r="H12" s="86"/>
      <c r="I12" s="94">
        <f t="shared" ca="1" si="1"/>
        <v>9.5</v>
      </c>
      <c r="J12" s="123"/>
      <c r="K12" s="124"/>
    </row>
    <row r="13" spans="1:18" ht="20.100000000000001" customHeight="1" x14ac:dyDescent="0.2">
      <c r="A13" s="84">
        <v>12</v>
      </c>
      <c r="B13" s="77">
        <v>50</v>
      </c>
      <c r="C13" s="78">
        <v>30</v>
      </c>
      <c r="D13" s="79">
        <v>44</v>
      </c>
      <c r="E13" s="92">
        <f t="shared" ca="1" si="0"/>
        <v>4.0999999999999996</v>
      </c>
      <c r="F13" s="49">
        <f t="shared" ca="1" si="0"/>
        <v>4.2</v>
      </c>
      <c r="G13" s="93">
        <f t="shared" ca="1" si="0"/>
        <v>4.0199999999999996</v>
      </c>
      <c r="H13" s="86"/>
      <c r="I13" s="94">
        <f t="shared" ca="1" si="1"/>
        <v>4.2</v>
      </c>
      <c r="J13" s="123"/>
      <c r="K13" s="124"/>
      <c r="M13" t="s">
        <v>273</v>
      </c>
    </row>
    <row r="14" spans="1:18" ht="20.100000000000001" customHeight="1" x14ac:dyDescent="0.2">
      <c r="A14" s="84">
        <v>13</v>
      </c>
      <c r="B14" s="77">
        <v>51</v>
      </c>
      <c r="C14" s="78">
        <v>76</v>
      </c>
      <c r="D14" s="79">
        <v>12</v>
      </c>
      <c r="E14" s="92">
        <f t="shared" ca="1" si="0"/>
        <v>9.9499999999999993</v>
      </c>
      <c r="F14" s="49" t="str">
        <f t="shared" ca="1" si="0"/>
        <v>-</v>
      </c>
      <c r="G14" s="93">
        <f t="shared" ca="1" si="0"/>
        <v>8.98</v>
      </c>
      <c r="H14" s="86"/>
      <c r="I14" s="94">
        <f t="shared" ca="1" si="1"/>
        <v>9.9499999999999993</v>
      </c>
      <c r="J14" s="123"/>
      <c r="K14" s="124"/>
      <c r="M14" t="s">
        <v>274</v>
      </c>
    </row>
    <row r="15" spans="1:18" ht="20.100000000000001" customHeight="1" x14ac:dyDescent="0.2">
      <c r="A15" s="84">
        <v>14</v>
      </c>
      <c r="B15" s="77">
        <v>25</v>
      </c>
      <c r="C15" s="78">
        <v>59</v>
      </c>
      <c r="D15" s="79">
        <v>21</v>
      </c>
      <c r="E15" s="92">
        <f t="shared" ca="1" si="0"/>
        <v>11.02</v>
      </c>
      <c r="F15" s="49">
        <f t="shared" ca="1" si="0"/>
        <v>1.98</v>
      </c>
      <c r="G15" s="93">
        <f t="shared" ca="1" si="0"/>
        <v>6.74</v>
      </c>
      <c r="H15" s="86"/>
      <c r="I15" s="94">
        <f t="shared" ca="1" si="1"/>
        <v>11.02</v>
      </c>
      <c r="J15" s="123"/>
      <c r="K15" s="124"/>
      <c r="M15" t="s">
        <v>275</v>
      </c>
    </row>
    <row r="16" spans="1:18" ht="20.100000000000001" customHeight="1" x14ac:dyDescent="0.2">
      <c r="A16" s="84">
        <v>15</v>
      </c>
      <c r="B16" s="77">
        <v>68</v>
      </c>
      <c r="C16" s="78">
        <v>73</v>
      </c>
      <c r="D16" s="79">
        <v>16</v>
      </c>
      <c r="E16" s="92">
        <f t="shared" ca="1" si="0"/>
        <v>0</v>
      </c>
      <c r="F16" s="49">
        <f t="shared" ca="1" si="0"/>
        <v>0</v>
      </c>
      <c r="G16" s="93">
        <f t="shared" ca="1" si="0"/>
        <v>13.24</v>
      </c>
      <c r="H16" s="86"/>
      <c r="I16" s="94">
        <f t="shared" ca="1" si="1"/>
        <v>13.24</v>
      </c>
      <c r="J16" s="123"/>
      <c r="K16" s="124"/>
    </row>
    <row r="17" spans="1:11" ht="20.100000000000001" customHeight="1" x14ac:dyDescent="0.2">
      <c r="A17" s="84">
        <v>16</v>
      </c>
      <c r="B17" s="77">
        <v>10</v>
      </c>
      <c r="C17" s="78">
        <v>64</v>
      </c>
      <c r="D17" s="79">
        <v>40</v>
      </c>
      <c r="E17" s="92">
        <f t="shared" ca="1" si="0"/>
        <v>13.01</v>
      </c>
      <c r="F17" s="49">
        <f t="shared" ca="1" si="0"/>
        <v>8.6</v>
      </c>
      <c r="G17" s="93">
        <f t="shared" ca="1" si="0"/>
        <v>7.86</v>
      </c>
      <c r="H17" s="86"/>
      <c r="I17" s="94">
        <f t="shared" ca="1" si="1"/>
        <v>13.01</v>
      </c>
      <c r="J17" s="123"/>
      <c r="K17" s="124"/>
    </row>
    <row r="18" spans="1:11" ht="20.100000000000001" customHeight="1" x14ac:dyDescent="0.2">
      <c r="A18" s="84">
        <v>17</v>
      </c>
      <c r="B18" s="77">
        <v>48</v>
      </c>
      <c r="C18" s="78">
        <v>3</v>
      </c>
      <c r="D18" s="79">
        <v>28</v>
      </c>
      <c r="E18" s="92">
        <f t="shared" ca="1" si="0"/>
        <v>7.42</v>
      </c>
      <c r="F18" s="49">
        <f t="shared" ca="1" si="0"/>
        <v>11.31</v>
      </c>
      <c r="G18" s="93">
        <f t="shared" ca="1" si="0"/>
        <v>11.74</v>
      </c>
      <c r="H18" s="86"/>
      <c r="I18" s="94">
        <f t="shared" ca="1" si="1"/>
        <v>11.74</v>
      </c>
      <c r="J18" s="123"/>
      <c r="K18" s="124"/>
    </row>
    <row r="19" spans="1:11" ht="20.100000000000001" customHeight="1" x14ac:dyDescent="0.2">
      <c r="A19" s="84">
        <v>18</v>
      </c>
      <c r="B19" s="77">
        <v>7</v>
      </c>
      <c r="C19" s="78">
        <v>67</v>
      </c>
      <c r="D19" s="79">
        <v>39</v>
      </c>
      <c r="E19" s="92">
        <f t="shared" ca="1" si="0"/>
        <v>11.32</v>
      </c>
      <c r="F19" s="49">
        <f t="shared" ca="1" si="0"/>
        <v>4.12</v>
      </c>
      <c r="G19" s="93">
        <f t="shared" ca="1" si="0"/>
        <v>4.05</v>
      </c>
      <c r="H19" s="86"/>
      <c r="I19" s="94">
        <f t="shared" ca="1" si="1"/>
        <v>11.32</v>
      </c>
      <c r="J19" s="123"/>
      <c r="K19" s="124"/>
    </row>
    <row r="20" spans="1:11" ht="20.100000000000001" customHeight="1" x14ac:dyDescent="0.2">
      <c r="A20" s="84">
        <v>19</v>
      </c>
      <c r="B20" s="77">
        <v>55</v>
      </c>
      <c r="C20" s="78">
        <v>36</v>
      </c>
      <c r="D20" s="79">
        <v>27</v>
      </c>
      <c r="E20" s="92">
        <f t="shared" ca="1" si="0"/>
        <v>2.0299999999999998</v>
      </c>
      <c r="F20" s="49">
        <f t="shared" ca="1" si="0"/>
        <v>4.07</v>
      </c>
      <c r="G20" s="93">
        <f t="shared" ca="1" si="0"/>
        <v>8.67</v>
      </c>
      <c r="H20" s="86"/>
      <c r="I20" s="94">
        <f t="shared" ca="1" si="1"/>
        <v>8.67</v>
      </c>
      <c r="J20" s="123"/>
      <c r="K20" s="124"/>
    </row>
    <row r="21" spans="1:11" ht="20.100000000000001" customHeight="1" x14ac:dyDescent="0.2">
      <c r="A21" s="84">
        <v>20</v>
      </c>
      <c r="B21" s="77">
        <v>54</v>
      </c>
      <c r="C21" s="78">
        <v>4</v>
      </c>
      <c r="D21" s="79">
        <v>5</v>
      </c>
      <c r="E21" s="92">
        <f t="shared" ca="1" si="0"/>
        <v>4.41</v>
      </c>
      <c r="F21" s="49">
        <f t="shared" ca="1" si="0"/>
        <v>15.63</v>
      </c>
      <c r="G21" s="93">
        <f t="shared" ca="1" si="0"/>
        <v>10.15</v>
      </c>
      <c r="H21" s="86"/>
      <c r="I21" s="94">
        <f t="shared" ca="1" si="1"/>
        <v>15.63</v>
      </c>
      <c r="J21" s="123"/>
      <c r="K21" s="124"/>
    </row>
    <row r="22" spans="1:11" ht="20.100000000000001" customHeight="1" x14ac:dyDescent="0.2">
      <c r="A22" s="84">
        <v>21</v>
      </c>
      <c r="B22" s="77">
        <v>72</v>
      </c>
      <c r="C22" s="78">
        <v>41</v>
      </c>
      <c r="D22" s="79">
        <v>78</v>
      </c>
      <c r="E22" s="92">
        <f t="shared" ca="1" si="0"/>
        <v>0</v>
      </c>
      <c r="F22" s="49">
        <f t="shared" ca="1" si="0"/>
        <v>8.6300000000000008</v>
      </c>
      <c r="G22" s="93" t="str">
        <f t="shared" ca="1" si="0"/>
        <v>-</v>
      </c>
      <c r="H22" s="86"/>
      <c r="I22" s="94">
        <f t="shared" ca="1" si="1"/>
        <v>8.6300000000000008</v>
      </c>
      <c r="J22" s="123"/>
      <c r="K22" s="124"/>
    </row>
    <row r="23" spans="1:11" ht="20.100000000000001" customHeight="1" x14ac:dyDescent="0.2">
      <c r="A23" s="84">
        <v>22</v>
      </c>
      <c r="B23" s="77">
        <v>9</v>
      </c>
      <c r="C23" s="78">
        <v>60</v>
      </c>
      <c r="D23" s="79">
        <v>32</v>
      </c>
      <c r="E23" s="92">
        <f t="shared" ca="1" si="0"/>
        <v>11.09</v>
      </c>
      <c r="F23" s="49">
        <f t="shared" ca="1" si="0"/>
        <v>5.57</v>
      </c>
      <c r="G23" s="93">
        <f t="shared" ca="1" si="0"/>
        <v>9.3800000000000008</v>
      </c>
      <c r="H23" s="86"/>
      <c r="I23" s="94">
        <f t="shared" ca="1" si="1"/>
        <v>11.09</v>
      </c>
      <c r="J23" s="123"/>
      <c r="K23" s="124"/>
    </row>
    <row r="24" spans="1:11" ht="20.100000000000001" customHeight="1" x14ac:dyDescent="0.2">
      <c r="A24" s="84">
        <v>23</v>
      </c>
      <c r="B24" s="77">
        <v>69</v>
      </c>
      <c r="C24" s="78">
        <v>45</v>
      </c>
      <c r="D24" s="79">
        <v>11</v>
      </c>
      <c r="E24" s="92">
        <f t="shared" ca="1" si="0"/>
        <v>0</v>
      </c>
      <c r="F24" s="49">
        <f t="shared" ca="1" si="0"/>
        <v>3.75</v>
      </c>
      <c r="G24" s="93">
        <f t="shared" ca="1" si="0"/>
        <v>7.09</v>
      </c>
      <c r="H24" s="86"/>
      <c r="I24" s="94">
        <f t="shared" ca="1" si="1"/>
        <v>7.09</v>
      </c>
      <c r="J24" s="123"/>
      <c r="K24" s="124"/>
    </row>
    <row r="25" spans="1:11" ht="20.100000000000001" customHeight="1" x14ac:dyDescent="0.2">
      <c r="A25" s="84">
        <v>24</v>
      </c>
      <c r="B25" s="77">
        <v>22</v>
      </c>
      <c r="C25" s="78">
        <v>47</v>
      </c>
      <c r="D25" s="79">
        <v>18</v>
      </c>
      <c r="E25" s="92">
        <f t="shared" ca="1" si="0"/>
        <v>9.68</v>
      </c>
      <c r="F25" s="49">
        <f t="shared" ca="1" si="0"/>
        <v>8.69</v>
      </c>
      <c r="G25" s="93">
        <f t="shared" ca="1" si="0"/>
        <v>6.66</v>
      </c>
      <c r="H25" s="86"/>
      <c r="I25" s="94">
        <f t="shared" ca="1" si="1"/>
        <v>9.68</v>
      </c>
      <c r="J25" s="123"/>
      <c r="K25" s="124"/>
    </row>
    <row r="26" spans="1:11" ht="20.100000000000001" customHeight="1" x14ac:dyDescent="0.2">
      <c r="A26" s="84">
        <v>25</v>
      </c>
      <c r="B26" s="77">
        <v>34</v>
      </c>
      <c r="C26" s="78">
        <v>57</v>
      </c>
      <c r="D26" s="79">
        <v>65</v>
      </c>
      <c r="E26" s="92">
        <f t="shared" ca="1" si="0"/>
        <v>6.56</v>
      </c>
      <c r="F26" s="49">
        <f t="shared" ca="1" si="0"/>
        <v>4.2300000000000004</v>
      </c>
      <c r="G26" s="93">
        <f t="shared" ca="1" si="0"/>
        <v>4.51</v>
      </c>
      <c r="H26" s="86"/>
      <c r="I26" s="94">
        <f t="shared" ca="1" si="1"/>
        <v>6.56</v>
      </c>
      <c r="J26" s="123"/>
      <c r="K26" s="124"/>
    </row>
    <row r="27" spans="1:11" ht="20.100000000000001" customHeight="1" thickBot="1" x14ac:dyDescent="0.25">
      <c r="A27" s="85">
        <v>26</v>
      </c>
      <c r="B27" s="80">
        <v>29</v>
      </c>
      <c r="C27" s="81">
        <v>19</v>
      </c>
      <c r="D27" s="82">
        <v>42</v>
      </c>
      <c r="E27" s="92">
        <f t="shared" ca="1" si="0"/>
        <v>5.46</v>
      </c>
      <c r="F27" s="49">
        <f t="shared" ca="1" si="0"/>
        <v>9.35</v>
      </c>
      <c r="G27" s="93">
        <f t="shared" ca="1" si="0"/>
        <v>10.7</v>
      </c>
      <c r="H27" s="87"/>
      <c r="I27" s="95">
        <f t="shared" ca="1" si="1"/>
        <v>10.7</v>
      </c>
      <c r="J27" s="125"/>
      <c r="K27" s="126"/>
    </row>
    <row r="28" spans="1:11" x14ac:dyDescent="0.2">
      <c r="A28" s="158">
        <v>27</v>
      </c>
      <c r="B28" s="68"/>
      <c r="C28" s="68"/>
      <c r="D28" s="68"/>
      <c r="E28" s="68"/>
      <c r="F28" s="68"/>
      <c r="G28" s="68"/>
      <c r="H28" s="68"/>
    </row>
    <row r="29" spans="1:11" x14ac:dyDescent="0.2">
      <c r="B29" s="68"/>
      <c r="C29" s="68"/>
      <c r="D29" s="68"/>
      <c r="E29" s="68"/>
      <c r="F29" s="68"/>
      <c r="G29" s="68"/>
      <c r="H29" s="68"/>
    </row>
    <row r="30" spans="1:11" x14ac:dyDescent="0.2">
      <c r="B30" s="68"/>
      <c r="C30" s="68"/>
      <c r="D30" s="68"/>
      <c r="E30" s="68"/>
      <c r="F30" s="68"/>
      <c r="G30" s="68"/>
      <c r="H30" s="68"/>
    </row>
    <row r="31" spans="1:11" x14ac:dyDescent="0.2">
      <c r="B31" s="68"/>
      <c r="C31" s="68"/>
      <c r="D31" s="68"/>
      <c r="E31" s="68"/>
      <c r="F31" s="68"/>
      <c r="G31" s="68"/>
      <c r="H31" s="68"/>
    </row>
    <row r="32" spans="1:11" x14ac:dyDescent="0.2">
      <c r="B32" s="68"/>
      <c r="C32" s="68"/>
      <c r="D32" s="68"/>
      <c r="E32" s="68"/>
      <c r="F32" s="68"/>
      <c r="G32" s="68"/>
      <c r="H32" s="68"/>
    </row>
    <row r="33" spans="2:8" x14ac:dyDescent="0.2">
      <c r="B33" s="68"/>
      <c r="C33" s="68"/>
      <c r="D33" s="68"/>
      <c r="E33" s="68"/>
      <c r="F33" s="68"/>
      <c r="G33" s="68"/>
      <c r="H33" s="68"/>
    </row>
    <row r="34" spans="2:8" x14ac:dyDescent="0.2">
      <c r="B34" s="68"/>
      <c r="C34" s="68"/>
      <c r="D34" s="68"/>
      <c r="E34" s="68"/>
      <c r="F34" s="68"/>
      <c r="G34" s="68"/>
      <c r="H34" s="68"/>
    </row>
    <row r="35" spans="2:8" x14ac:dyDescent="0.2">
      <c r="B35" s="68"/>
      <c r="C35" s="68"/>
      <c r="D35" s="68"/>
      <c r="E35" s="68"/>
      <c r="F35" s="68"/>
      <c r="G35" s="68"/>
      <c r="H35" s="68"/>
    </row>
    <row r="36" spans="2:8" x14ac:dyDescent="0.2">
      <c r="B36" s="68"/>
      <c r="C36" s="68"/>
      <c r="D36" s="68"/>
      <c r="E36" s="68"/>
      <c r="F36" s="68"/>
      <c r="G36" s="68"/>
      <c r="H36" s="68"/>
    </row>
    <row r="37" spans="2:8" x14ac:dyDescent="0.2">
      <c r="B37" s="68"/>
      <c r="C37" s="68"/>
      <c r="D37" s="68"/>
      <c r="E37" s="68"/>
      <c r="F37" s="68"/>
      <c r="G37" s="68"/>
      <c r="H37" s="68"/>
    </row>
    <row r="38" spans="2:8" x14ac:dyDescent="0.2">
      <c r="B38" s="68"/>
      <c r="C38" s="68"/>
      <c r="D38" s="68"/>
      <c r="E38" s="68"/>
      <c r="F38" s="68"/>
      <c r="G38" s="68"/>
      <c r="H38" s="68"/>
    </row>
    <row r="39" spans="2:8" x14ac:dyDescent="0.2">
      <c r="B39" s="68"/>
      <c r="C39" s="68"/>
      <c r="D39" s="68"/>
      <c r="E39" s="68"/>
      <c r="F39" s="68"/>
      <c r="G39" s="68"/>
      <c r="H39" s="68"/>
    </row>
    <row r="40" spans="2:8" x14ac:dyDescent="0.2">
      <c r="B40" s="68"/>
      <c r="C40" s="68"/>
      <c r="D40" s="68"/>
      <c r="E40" s="68"/>
      <c r="F40" s="68"/>
      <c r="G40" s="68"/>
      <c r="H40" s="68"/>
    </row>
    <row r="41" spans="2:8" x14ac:dyDescent="0.2">
      <c r="B41" s="68"/>
      <c r="C41" s="68"/>
      <c r="D41" s="68"/>
      <c r="E41" s="68"/>
      <c r="F41" s="68"/>
      <c r="G41" s="68"/>
      <c r="H41" s="68"/>
    </row>
    <row r="42" spans="2:8" x14ac:dyDescent="0.2">
      <c r="B42" s="68"/>
      <c r="C42" s="68"/>
      <c r="D42" s="68"/>
      <c r="E42" s="68"/>
      <c r="F42" s="68"/>
      <c r="G42" s="68"/>
      <c r="H42" s="68"/>
    </row>
    <row r="43" spans="2:8" x14ac:dyDescent="0.2">
      <c r="B43" s="68"/>
      <c r="C43" s="68"/>
      <c r="D43" s="68"/>
      <c r="E43" s="68"/>
      <c r="F43" s="68"/>
      <c r="G43" s="68"/>
      <c r="H43" s="68"/>
    </row>
    <row r="44" spans="2:8" x14ac:dyDescent="0.2">
      <c r="B44" s="68"/>
      <c r="C44" s="68"/>
      <c r="D44" s="68"/>
      <c r="E44" s="68"/>
      <c r="F44" s="68"/>
      <c r="G44" s="68"/>
      <c r="H44" s="68"/>
    </row>
    <row r="45" spans="2:8" x14ac:dyDescent="0.2">
      <c r="B45" s="68"/>
      <c r="C45" s="68"/>
      <c r="D45" s="68"/>
      <c r="E45" s="68"/>
      <c r="F45" s="68"/>
      <c r="G45" s="68"/>
      <c r="H45" s="68"/>
    </row>
    <row r="46" spans="2:8" x14ac:dyDescent="0.2">
      <c r="B46" s="68"/>
      <c r="C46" s="68"/>
      <c r="D46" s="68"/>
      <c r="E46" s="68"/>
      <c r="F46" s="68"/>
      <c r="G46" s="68"/>
      <c r="H46" s="68"/>
    </row>
    <row r="47" spans="2:8" x14ac:dyDescent="0.2">
      <c r="B47" s="68"/>
      <c r="C47" s="68"/>
      <c r="D47" s="68"/>
      <c r="E47" s="68"/>
      <c r="F47" s="68"/>
      <c r="G47" s="68"/>
      <c r="H47" s="68"/>
    </row>
    <row r="48" spans="2:8" x14ac:dyDescent="0.2">
      <c r="B48" s="68"/>
      <c r="C48" s="68"/>
      <c r="D48" s="68"/>
      <c r="E48" s="68"/>
      <c r="F48" s="68"/>
      <c r="G48" s="68"/>
      <c r="H48" s="68"/>
    </row>
    <row r="49" spans="2:8" x14ac:dyDescent="0.2">
      <c r="B49" s="68"/>
      <c r="C49" s="68"/>
      <c r="D49" s="68"/>
      <c r="E49" s="68"/>
      <c r="F49" s="68"/>
      <c r="G49" s="68"/>
      <c r="H49" s="68"/>
    </row>
    <row r="50" spans="2:8" x14ac:dyDescent="0.2">
      <c r="B50" s="68"/>
      <c r="C50" s="68"/>
      <c r="D50" s="68"/>
      <c r="E50" s="68"/>
      <c r="F50" s="68"/>
      <c r="G50" s="68"/>
      <c r="H50" s="68"/>
    </row>
    <row r="51" spans="2:8" x14ac:dyDescent="0.2">
      <c r="B51" s="68"/>
      <c r="C51" s="68"/>
      <c r="D51" s="68"/>
      <c r="E51" s="68"/>
      <c r="F51" s="68"/>
      <c r="G51" s="68"/>
      <c r="H51" s="68"/>
    </row>
    <row r="52" spans="2:8" x14ac:dyDescent="0.2">
      <c r="B52" s="68"/>
      <c r="C52" s="68"/>
      <c r="D52" s="68"/>
      <c r="E52" s="68"/>
      <c r="F52" s="68"/>
      <c r="G52" s="68"/>
      <c r="H52" s="68"/>
    </row>
    <row r="53" spans="2:8" x14ac:dyDescent="0.2">
      <c r="B53" s="68"/>
      <c r="C53" s="68"/>
      <c r="D53" s="68"/>
      <c r="E53" s="68"/>
      <c r="F53" s="68"/>
      <c r="G53" s="68"/>
      <c r="H53" s="68"/>
    </row>
    <row r="54" spans="2:8" x14ac:dyDescent="0.2">
      <c r="B54" s="68"/>
      <c r="C54" s="68"/>
      <c r="D54" s="68"/>
      <c r="E54" s="68"/>
      <c r="F54" s="68"/>
      <c r="G54" s="68"/>
      <c r="H54" s="68"/>
    </row>
    <row r="55" spans="2:8" x14ac:dyDescent="0.2">
      <c r="B55" s="68"/>
      <c r="C55" s="68"/>
      <c r="D55" s="68"/>
      <c r="E55" s="68"/>
      <c r="F55" s="68"/>
      <c r="G55" s="68"/>
      <c r="H55" s="68"/>
    </row>
    <row r="56" spans="2:8" x14ac:dyDescent="0.2">
      <c r="B56" s="68"/>
      <c r="C56" s="68"/>
      <c r="D56" s="68"/>
      <c r="E56" s="68"/>
      <c r="F56" s="68"/>
      <c r="G56" s="68"/>
      <c r="H56" s="68"/>
    </row>
    <row r="57" spans="2:8" x14ac:dyDescent="0.2">
      <c r="B57" s="68"/>
      <c r="C57" s="68"/>
      <c r="D57" s="68"/>
      <c r="E57" s="68"/>
      <c r="F57" s="68"/>
      <c r="G57" s="68"/>
      <c r="H57" s="68"/>
    </row>
    <row r="58" spans="2:8" x14ac:dyDescent="0.2">
      <c r="B58" s="68"/>
      <c r="C58" s="68"/>
      <c r="D58" s="68"/>
      <c r="E58" s="68"/>
      <c r="F58" s="68"/>
      <c r="G58" s="68"/>
      <c r="H58" s="68"/>
    </row>
    <row r="59" spans="2:8" x14ac:dyDescent="0.2">
      <c r="B59" s="68"/>
      <c r="C59" s="68"/>
      <c r="D59" s="68"/>
      <c r="E59" s="68"/>
      <c r="F59" s="68"/>
      <c r="G59" s="68"/>
      <c r="H59" s="68"/>
    </row>
    <row r="60" spans="2:8" x14ac:dyDescent="0.2">
      <c r="B60" s="68"/>
      <c r="C60" s="68"/>
      <c r="D60" s="68"/>
      <c r="E60" s="68"/>
      <c r="F60" s="68"/>
      <c r="G60" s="68"/>
      <c r="H60" s="68"/>
    </row>
    <row r="61" spans="2:8" x14ac:dyDescent="0.2">
      <c r="B61" s="68"/>
      <c r="C61" s="68"/>
      <c r="D61" s="68"/>
      <c r="E61" s="68"/>
      <c r="F61" s="68"/>
      <c r="G61" s="68"/>
      <c r="H61" s="68"/>
    </row>
    <row r="62" spans="2:8" x14ac:dyDescent="0.2">
      <c r="B62" s="68"/>
      <c r="C62" s="68"/>
      <c r="D62" s="68"/>
      <c r="E62" s="68"/>
      <c r="F62" s="68"/>
      <c r="G62" s="68"/>
      <c r="H62" s="68"/>
    </row>
    <row r="63" spans="2:8" x14ac:dyDescent="0.2">
      <c r="B63" s="68"/>
      <c r="C63" s="68"/>
      <c r="D63" s="68"/>
      <c r="E63" s="68"/>
      <c r="F63" s="68"/>
      <c r="G63" s="68"/>
      <c r="H63" s="68"/>
    </row>
    <row r="64" spans="2:8" x14ac:dyDescent="0.2">
      <c r="B64" s="68"/>
      <c r="C64" s="68"/>
      <c r="D64" s="68"/>
      <c r="E64" s="68"/>
      <c r="F64" s="68"/>
      <c r="G64" s="68"/>
      <c r="H64" s="68"/>
    </row>
    <row r="65" spans="2:8" x14ac:dyDescent="0.2">
      <c r="B65" s="68"/>
      <c r="C65" s="68"/>
      <c r="D65" s="68"/>
      <c r="E65" s="68"/>
      <c r="F65" s="68"/>
      <c r="G65" s="68"/>
      <c r="H65" s="68"/>
    </row>
    <row r="66" spans="2:8" x14ac:dyDescent="0.2">
      <c r="B66" s="68"/>
      <c r="C66" s="68"/>
      <c r="D66" s="68"/>
      <c r="E66" s="68"/>
      <c r="F66" s="68"/>
      <c r="G66" s="68"/>
      <c r="H66" s="68"/>
    </row>
    <row r="67" spans="2:8" x14ac:dyDescent="0.2">
      <c r="B67" s="68"/>
      <c r="C67" s="68"/>
      <c r="D67" s="68"/>
      <c r="E67" s="68"/>
      <c r="F67" s="68"/>
      <c r="G67" s="68"/>
      <c r="H67" s="68"/>
    </row>
    <row r="68" spans="2:8" x14ac:dyDescent="0.2">
      <c r="B68" s="68"/>
      <c r="C68" s="68"/>
      <c r="D68" s="68"/>
      <c r="E68" s="68"/>
      <c r="F68" s="68"/>
      <c r="G68" s="68"/>
      <c r="H68" s="68"/>
    </row>
    <row r="69" spans="2:8" x14ac:dyDescent="0.2">
      <c r="B69" s="68"/>
      <c r="C69" s="68"/>
      <c r="D69" s="68"/>
      <c r="E69" s="68"/>
      <c r="F69" s="68"/>
      <c r="G69" s="68"/>
      <c r="H69" s="68"/>
    </row>
    <row r="70" spans="2:8" x14ac:dyDescent="0.2">
      <c r="B70" s="68"/>
      <c r="C70" s="68"/>
      <c r="D70" s="68"/>
      <c r="E70" s="68"/>
      <c r="F70" s="68"/>
      <c r="G70" s="68"/>
      <c r="H70" s="68"/>
    </row>
    <row r="71" spans="2:8" x14ac:dyDescent="0.2">
      <c r="B71" s="68"/>
      <c r="C71" s="68"/>
      <c r="D71" s="68"/>
      <c r="E71" s="68"/>
      <c r="F71" s="68"/>
      <c r="G71" s="68"/>
      <c r="H71" s="68"/>
    </row>
    <row r="72" spans="2:8" x14ac:dyDescent="0.2">
      <c r="B72" s="68"/>
      <c r="C72" s="68"/>
      <c r="D72" s="68"/>
      <c r="E72" s="68"/>
      <c r="F72" s="68"/>
      <c r="G72" s="68"/>
      <c r="H72" s="68"/>
    </row>
    <row r="73" spans="2:8" x14ac:dyDescent="0.2">
      <c r="B73" s="68"/>
      <c r="C73" s="68"/>
      <c r="D73" s="68"/>
      <c r="E73" s="68"/>
      <c r="F73" s="68"/>
      <c r="G73" s="68"/>
      <c r="H73" s="68"/>
    </row>
    <row r="74" spans="2:8" x14ac:dyDescent="0.2">
      <c r="B74" s="68"/>
      <c r="C74" s="68"/>
      <c r="D74" s="68"/>
      <c r="E74" s="68"/>
      <c r="F74" s="68"/>
      <c r="G74" s="68"/>
      <c r="H74" s="68"/>
    </row>
    <row r="75" spans="2:8" x14ac:dyDescent="0.2">
      <c r="B75" s="68"/>
      <c r="C75" s="68"/>
      <c r="D75" s="68"/>
      <c r="E75" s="68"/>
      <c r="F75" s="68"/>
      <c r="G75" s="68"/>
      <c r="H75" s="68"/>
    </row>
    <row r="76" spans="2:8" x14ac:dyDescent="0.2">
      <c r="B76" s="68"/>
      <c r="C76" s="68"/>
      <c r="D76" s="68"/>
      <c r="E76" s="68"/>
      <c r="F76" s="68"/>
      <c r="G76" s="68"/>
      <c r="H76" s="68"/>
    </row>
    <row r="77" spans="2:8" x14ac:dyDescent="0.2">
      <c r="B77" s="68"/>
      <c r="C77" s="68"/>
      <c r="D77" s="68"/>
      <c r="E77" s="68"/>
      <c r="F77" s="68"/>
      <c r="G77" s="68"/>
      <c r="H77" s="68"/>
    </row>
    <row r="78" spans="2:8" x14ac:dyDescent="0.2">
      <c r="B78" s="68"/>
      <c r="C78" s="68"/>
      <c r="D78" s="68"/>
      <c r="E78" s="68"/>
      <c r="F78" s="68"/>
      <c r="G78" s="68"/>
      <c r="H78" s="68"/>
    </row>
    <row r="79" spans="2:8" x14ac:dyDescent="0.2">
      <c r="B79" s="68"/>
      <c r="C79" s="68"/>
      <c r="D79" s="68"/>
      <c r="E79" s="68"/>
      <c r="F79" s="68"/>
      <c r="G79" s="68"/>
      <c r="H79" s="68"/>
    </row>
    <row r="80" spans="2:8" x14ac:dyDescent="0.2">
      <c r="B80" s="68"/>
      <c r="C80" s="68"/>
      <c r="D80" s="68"/>
      <c r="E80" s="68"/>
      <c r="F80" s="68"/>
      <c r="G80" s="68"/>
      <c r="H80" s="68"/>
    </row>
    <row r="81" spans="2:8" x14ac:dyDescent="0.2">
      <c r="B81" s="68"/>
      <c r="C81" s="68"/>
      <c r="D81" s="68"/>
      <c r="E81" s="68"/>
      <c r="F81" s="68"/>
      <c r="G81" s="68"/>
      <c r="H81" s="68"/>
    </row>
    <row r="82" spans="2:8" x14ac:dyDescent="0.2">
      <c r="B82" s="68"/>
      <c r="C82" s="68"/>
      <c r="D82" s="68"/>
      <c r="E82" s="68"/>
      <c r="F82" s="68"/>
      <c r="G82" s="68"/>
      <c r="H82" s="68"/>
    </row>
    <row r="83" spans="2:8" x14ac:dyDescent="0.2">
      <c r="B83" s="68"/>
      <c r="C83" s="68"/>
      <c r="D83" s="68"/>
      <c r="E83" s="68"/>
      <c r="F83" s="68"/>
      <c r="G83" s="68"/>
      <c r="H83" s="68"/>
    </row>
    <row r="84" spans="2:8" x14ac:dyDescent="0.2">
      <c r="B84" s="68"/>
      <c r="C84" s="68"/>
      <c r="D84" s="68"/>
      <c r="E84" s="68"/>
      <c r="F84" s="68"/>
      <c r="G84" s="68"/>
      <c r="H84" s="68"/>
    </row>
    <row r="85" spans="2:8" x14ac:dyDescent="0.2">
      <c r="B85" s="68"/>
      <c r="C85" s="68"/>
      <c r="D85" s="68"/>
      <c r="E85" s="68"/>
      <c r="F85" s="68"/>
      <c r="G85" s="68"/>
      <c r="H85" s="68"/>
    </row>
    <row r="86" spans="2:8" x14ac:dyDescent="0.2">
      <c r="B86" s="68"/>
      <c r="C86" s="68"/>
      <c r="D86" s="68"/>
      <c r="E86" s="68"/>
      <c r="F86" s="68"/>
      <c r="G86" s="68"/>
      <c r="H86" s="68"/>
    </row>
    <row r="87" spans="2:8" x14ac:dyDescent="0.2">
      <c r="B87" s="68"/>
      <c r="C87" s="68"/>
      <c r="D87" s="68"/>
      <c r="E87" s="68"/>
      <c r="F87" s="68"/>
      <c r="G87" s="68"/>
      <c r="H87" s="68"/>
    </row>
    <row r="88" spans="2:8" x14ac:dyDescent="0.2">
      <c r="B88" s="68"/>
      <c r="C88" s="68"/>
      <c r="D88" s="68"/>
      <c r="E88" s="68"/>
      <c r="F88" s="68"/>
      <c r="G88" s="68"/>
      <c r="H88" s="68"/>
    </row>
    <row r="89" spans="2:8" x14ac:dyDescent="0.2">
      <c r="B89" s="68"/>
      <c r="C89" s="68"/>
      <c r="D89" s="68"/>
      <c r="E89" s="68"/>
      <c r="F89" s="68"/>
      <c r="G89" s="68"/>
      <c r="H89" s="68"/>
    </row>
    <row r="90" spans="2:8" x14ac:dyDescent="0.2">
      <c r="B90" s="68"/>
      <c r="C90" s="68"/>
      <c r="D90" s="68"/>
      <c r="E90" s="68"/>
      <c r="F90" s="68"/>
      <c r="G90" s="68"/>
      <c r="H90" s="68"/>
    </row>
    <row r="91" spans="2:8" x14ac:dyDescent="0.2">
      <c r="B91" s="68"/>
      <c r="C91" s="68"/>
      <c r="D91" s="68"/>
      <c r="E91" s="68"/>
      <c r="F91" s="68"/>
      <c r="G91" s="68"/>
      <c r="H91" s="68"/>
    </row>
    <row r="92" spans="2:8" x14ac:dyDescent="0.2">
      <c r="B92" s="68"/>
      <c r="C92" s="68"/>
      <c r="D92" s="68"/>
      <c r="E92" s="68"/>
      <c r="F92" s="68"/>
      <c r="G92" s="68"/>
      <c r="H92" s="68"/>
    </row>
    <row r="93" spans="2:8" x14ac:dyDescent="0.2">
      <c r="B93" s="68"/>
      <c r="C93" s="68"/>
      <c r="D93" s="68"/>
      <c r="E93" s="68"/>
      <c r="F93" s="68"/>
      <c r="G93" s="68"/>
      <c r="H93" s="68"/>
    </row>
    <row r="94" spans="2:8" x14ac:dyDescent="0.2">
      <c r="B94" s="68"/>
      <c r="C94" s="68"/>
      <c r="D94" s="68"/>
      <c r="E94" s="68"/>
      <c r="F94" s="68"/>
      <c r="G94" s="68"/>
      <c r="H94" s="68"/>
    </row>
    <row r="95" spans="2:8" x14ac:dyDescent="0.2">
      <c r="B95" s="68"/>
      <c r="C95" s="68"/>
      <c r="D95" s="68"/>
      <c r="E95" s="68"/>
      <c r="F95" s="68"/>
      <c r="G95" s="68"/>
      <c r="H95" s="68"/>
    </row>
    <row r="96" spans="2:8" x14ac:dyDescent="0.2">
      <c r="B96" s="68"/>
      <c r="C96" s="68"/>
      <c r="D96" s="68"/>
      <c r="E96" s="68"/>
      <c r="F96" s="68"/>
      <c r="G96" s="68"/>
      <c r="H96" s="68"/>
    </row>
    <row r="97" spans="2:8" x14ac:dyDescent="0.2">
      <c r="B97" s="68"/>
      <c r="C97" s="68"/>
      <c r="D97" s="68"/>
      <c r="E97" s="68"/>
      <c r="F97" s="68"/>
      <c r="G97" s="68"/>
      <c r="H97" s="68"/>
    </row>
    <row r="98" spans="2:8" x14ac:dyDescent="0.2">
      <c r="B98" s="68"/>
      <c r="C98" s="68"/>
      <c r="D98" s="68"/>
      <c r="E98" s="68"/>
      <c r="F98" s="68"/>
      <c r="G98" s="68"/>
      <c r="H98" s="68"/>
    </row>
    <row r="99" spans="2:8" x14ac:dyDescent="0.2">
      <c r="B99" s="68"/>
      <c r="C99" s="68"/>
      <c r="D99" s="68"/>
      <c r="E99" s="68"/>
      <c r="F99" s="68"/>
      <c r="G99" s="68"/>
      <c r="H99" s="68"/>
    </row>
    <row r="100" spans="2:8" x14ac:dyDescent="0.2">
      <c r="B100" s="68"/>
      <c r="C100" s="68"/>
      <c r="D100" s="68"/>
      <c r="E100" s="68"/>
      <c r="F100" s="68"/>
      <c r="G100" s="68"/>
      <c r="H100" s="68"/>
    </row>
    <row r="101" spans="2:8" x14ac:dyDescent="0.2">
      <c r="B101" s="68"/>
      <c r="C101" s="68"/>
      <c r="D101" s="68"/>
      <c r="E101" s="68"/>
      <c r="F101" s="68"/>
      <c r="G101" s="68"/>
      <c r="H101" s="68"/>
    </row>
    <row r="102" spans="2:8" x14ac:dyDescent="0.2">
      <c r="B102" s="68"/>
      <c r="C102" s="68"/>
      <c r="D102" s="68"/>
      <c r="E102" s="68"/>
      <c r="F102" s="68"/>
      <c r="G102" s="68"/>
      <c r="H102" s="68"/>
    </row>
    <row r="103" spans="2:8" x14ac:dyDescent="0.2">
      <c r="B103" s="68"/>
      <c r="C103" s="68"/>
      <c r="D103" s="68"/>
      <c r="E103" s="68"/>
      <c r="F103" s="68"/>
      <c r="G103" s="68"/>
      <c r="H103" s="68"/>
    </row>
    <row r="104" spans="2:8" x14ac:dyDescent="0.2">
      <c r="B104" s="68"/>
      <c r="C104" s="68"/>
      <c r="D104" s="68"/>
      <c r="E104" s="68"/>
      <c r="F104" s="68"/>
      <c r="G104" s="68"/>
      <c r="H104" s="68"/>
    </row>
    <row r="105" spans="2:8" x14ac:dyDescent="0.2">
      <c r="B105" s="68"/>
      <c r="C105" s="68"/>
      <c r="D105" s="68"/>
      <c r="E105" s="68"/>
      <c r="F105" s="68"/>
      <c r="G105" s="68"/>
      <c r="H105" s="68"/>
    </row>
    <row r="106" spans="2:8" x14ac:dyDescent="0.2">
      <c r="B106" s="68"/>
      <c r="C106" s="68"/>
      <c r="D106" s="68"/>
      <c r="E106" s="68"/>
      <c r="F106" s="68"/>
      <c r="G106" s="68"/>
      <c r="H106" s="68"/>
    </row>
    <row r="107" spans="2:8" x14ac:dyDescent="0.2">
      <c r="B107" s="68"/>
      <c r="C107" s="68"/>
      <c r="D107" s="68"/>
      <c r="E107" s="68"/>
      <c r="F107" s="68"/>
      <c r="G107" s="68"/>
      <c r="H107" s="68"/>
    </row>
    <row r="108" spans="2:8" x14ac:dyDescent="0.2">
      <c r="B108" s="68"/>
      <c r="C108" s="68"/>
      <c r="D108" s="68"/>
      <c r="E108" s="68"/>
      <c r="F108" s="68"/>
      <c r="G108" s="68"/>
      <c r="H108" s="68"/>
    </row>
    <row r="109" spans="2:8" x14ac:dyDescent="0.2">
      <c r="B109" s="68"/>
      <c r="C109" s="68"/>
      <c r="D109" s="68"/>
      <c r="E109" s="68"/>
      <c r="F109" s="68"/>
      <c r="G109" s="68"/>
      <c r="H109" s="68"/>
    </row>
    <row r="110" spans="2:8" x14ac:dyDescent="0.2">
      <c r="B110" s="68"/>
      <c r="C110" s="68"/>
      <c r="D110" s="68"/>
      <c r="E110" s="68"/>
      <c r="F110" s="68"/>
      <c r="G110" s="68"/>
      <c r="H110" s="68"/>
    </row>
    <row r="111" spans="2:8" x14ac:dyDescent="0.2">
      <c r="B111" s="68"/>
      <c r="C111" s="68"/>
      <c r="D111" s="68"/>
      <c r="E111" s="68"/>
      <c r="F111" s="68"/>
      <c r="G111" s="68"/>
      <c r="H111" s="68"/>
    </row>
    <row r="112" spans="2:8" x14ac:dyDescent="0.2">
      <c r="B112" s="68"/>
      <c r="C112" s="68"/>
      <c r="D112" s="68"/>
      <c r="E112" s="68"/>
      <c r="F112" s="68"/>
      <c r="G112" s="68"/>
      <c r="H112" s="68"/>
    </row>
    <row r="113" spans="2:8" x14ac:dyDescent="0.2">
      <c r="B113" s="68"/>
      <c r="C113" s="68"/>
      <c r="D113" s="68"/>
      <c r="E113" s="68"/>
      <c r="F113" s="68"/>
      <c r="G113" s="68"/>
      <c r="H113" s="68"/>
    </row>
  </sheetData>
  <mergeCells count="1">
    <mergeCell ref="P1:Q1"/>
  </mergeCells>
  <conditionalFormatting sqref="H1:H1048576">
    <cfRule type="top10" dxfId="27" priority="2" rank="1"/>
  </conditionalFormatting>
  <conditionalFormatting sqref="I1:I1048576">
    <cfRule type="top10" dxfId="26" priority="1" rank="1"/>
  </conditionalFormatting>
  <pageMargins left="0.7" right="0.7" top="1.2375" bottom="0.75" header="0.3" footer="0.3"/>
  <pageSetup scale="88" orientation="portrait" horizontalDpi="4294967294" r:id="rId1"/>
  <headerFooter>
    <oddHeader>&amp;L&amp;G&amp;C&amp;"Arial,Bold"&amp;26Calcutta&amp;R&amp;G</oddHead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tabColor rgb="FFFFFF00"/>
  </sheetPr>
  <dimension ref="A1:G70"/>
  <sheetViews>
    <sheetView topLeftCell="A4" workbookViewId="0">
      <selection activeCell="B24" sqref="B24"/>
    </sheetView>
  </sheetViews>
  <sheetFormatPr defaultRowHeight="12.75" x14ac:dyDescent="0.2"/>
  <cols>
    <col min="2" max="2" width="47.7109375" customWidth="1"/>
    <col min="6" max="6" width="40.28515625" customWidth="1"/>
  </cols>
  <sheetData>
    <row r="1" spans="1:7" x14ac:dyDescent="0.2">
      <c r="A1" t="s">
        <v>420</v>
      </c>
      <c r="G1" s="164"/>
    </row>
    <row r="2" spans="1:7" ht="112.5" customHeight="1" x14ac:dyDescent="0.2">
      <c r="A2" s="3">
        <v>1</v>
      </c>
      <c r="B2" s="163" t="s">
        <v>423</v>
      </c>
      <c r="C2" s="166"/>
      <c r="D2" s="166"/>
      <c r="E2" s="166"/>
      <c r="F2" s="166"/>
      <c r="G2" s="3"/>
    </row>
    <row r="3" spans="1:7" ht="38.25" customHeight="1" x14ac:dyDescent="0.2">
      <c r="A3" s="3">
        <v>2</v>
      </c>
      <c r="B3" s="163" t="s">
        <v>424</v>
      </c>
      <c r="G3" s="3"/>
    </row>
    <row r="4" spans="1:7" ht="54.75" customHeight="1" x14ac:dyDescent="0.2">
      <c r="A4" s="3">
        <v>3</v>
      </c>
      <c r="B4" s="163" t="s">
        <v>425</v>
      </c>
      <c r="G4" s="3"/>
    </row>
    <row r="5" spans="1:7" ht="25.5" x14ac:dyDescent="0.2">
      <c r="A5" s="3">
        <v>4</v>
      </c>
      <c r="B5" s="163" t="s">
        <v>426</v>
      </c>
      <c r="G5" s="3"/>
    </row>
    <row r="6" spans="1:7" x14ac:dyDescent="0.2">
      <c r="A6" s="3"/>
      <c r="G6" s="3"/>
    </row>
    <row r="7" spans="1:7" x14ac:dyDescent="0.2">
      <c r="A7" s="3"/>
      <c r="G7" s="3"/>
    </row>
    <row r="8" spans="1:7" x14ac:dyDescent="0.2">
      <c r="A8" s="3"/>
      <c r="G8" s="3"/>
    </row>
    <row r="9" spans="1:7" x14ac:dyDescent="0.2">
      <c r="G9" s="3"/>
    </row>
    <row r="10" spans="1:7" x14ac:dyDescent="0.2">
      <c r="G10" s="3"/>
    </row>
    <row r="11" spans="1:7" x14ac:dyDescent="0.2">
      <c r="G11" s="3"/>
    </row>
    <row r="12" spans="1:7" x14ac:dyDescent="0.2">
      <c r="A12" t="s">
        <v>421</v>
      </c>
      <c r="G12" s="3"/>
    </row>
    <row r="13" spans="1:7" x14ac:dyDescent="0.2">
      <c r="G13" s="3"/>
    </row>
    <row r="14" spans="1:7" x14ac:dyDescent="0.2">
      <c r="G14" s="3"/>
    </row>
    <row r="15" spans="1:7" x14ac:dyDescent="0.2">
      <c r="G15" s="3"/>
    </row>
    <row r="16" spans="1:7" x14ac:dyDescent="0.2">
      <c r="A16" t="s">
        <v>422</v>
      </c>
      <c r="G16" s="3"/>
    </row>
    <row r="17" spans="2:7" x14ac:dyDescent="0.2">
      <c r="G17" s="3"/>
    </row>
    <row r="18" spans="2:7" x14ac:dyDescent="0.2">
      <c r="G18" s="3"/>
    </row>
    <row r="19" spans="2:7" x14ac:dyDescent="0.2">
      <c r="G19" s="3"/>
    </row>
    <row r="20" spans="2:7" x14ac:dyDescent="0.2">
      <c r="G20" s="3"/>
    </row>
    <row r="21" spans="2:7" x14ac:dyDescent="0.2">
      <c r="G21" s="3"/>
    </row>
    <row r="22" spans="2:7" x14ac:dyDescent="0.2">
      <c r="B22" t="s">
        <v>427</v>
      </c>
      <c r="G22" s="3"/>
    </row>
    <row r="23" spans="2:7" x14ac:dyDescent="0.2">
      <c r="B23" t="s">
        <v>428</v>
      </c>
      <c r="G23" s="3"/>
    </row>
    <row r="24" spans="2:7" x14ac:dyDescent="0.2">
      <c r="G24" s="3"/>
    </row>
    <row r="25" spans="2:7" x14ac:dyDescent="0.2">
      <c r="G25" s="3"/>
    </row>
    <row r="26" spans="2:7" x14ac:dyDescent="0.2">
      <c r="G26" s="3"/>
    </row>
    <row r="27" spans="2:7" x14ac:dyDescent="0.2">
      <c r="G27" s="3"/>
    </row>
    <row r="28" spans="2:7" x14ac:dyDescent="0.2">
      <c r="G28" s="3"/>
    </row>
    <row r="29" spans="2:7" x14ac:dyDescent="0.2">
      <c r="G29" s="3"/>
    </row>
    <row r="30" spans="2:7" x14ac:dyDescent="0.2">
      <c r="G30" s="3"/>
    </row>
    <row r="31" spans="2:7" x14ac:dyDescent="0.2">
      <c r="G31" s="3"/>
    </row>
    <row r="45" spans="1:7" s="162" customFormat="1" x14ac:dyDescent="0.2"/>
    <row r="48" spans="1:7" x14ac:dyDescent="0.2">
      <c r="A48" s="76" t="s">
        <v>12</v>
      </c>
      <c r="G48" s="164"/>
    </row>
    <row r="49" spans="1:7" x14ac:dyDescent="0.2">
      <c r="G49" s="164"/>
    </row>
    <row r="50" spans="1:7" x14ac:dyDescent="0.2">
      <c r="G50" s="164"/>
    </row>
    <row r="51" spans="1:7" x14ac:dyDescent="0.2">
      <c r="A51" t="s">
        <v>13</v>
      </c>
      <c r="G51" s="164"/>
    </row>
    <row r="52" spans="1:7" x14ac:dyDescent="0.2">
      <c r="A52" t="s">
        <v>14</v>
      </c>
      <c r="G52" s="164"/>
    </row>
    <row r="53" spans="1:7" x14ac:dyDescent="0.2">
      <c r="A53" t="s">
        <v>15</v>
      </c>
      <c r="G53" s="164"/>
    </row>
    <row r="54" spans="1:7" x14ac:dyDescent="0.2">
      <c r="A54" t="s">
        <v>16</v>
      </c>
      <c r="G54" s="164"/>
    </row>
    <row r="55" spans="1:7" x14ac:dyDescent="0.2">
      <c r="A55" t="s">
        <v>17</v>
      </c>
      <c r="G55" s="164"/>
    </row>
    <row r="56" spans="1:7" x14ac:dyDescent="0.2">
      <c r="G56" s="164"/>
    </row>
    <row r="57" spans="1:7" x14ac:dyDescent="0.2">
      <c r="G57" s="164"/>
    </row>
    <row r="58" spans="1:7" x14ac:dyDescent="0.2">
      <c r="A58" s="2" t="s">
        <v>18</v>
      </c>
      <c r="G58" s="164"/>
    </row>
    <row r="59" spans="1:7" x14ac:dyDescent="0.2">
      <c r="G59" s="164"/>
    </row>
    <row r="60" spans="1:7" x14ac:dyDescent="0.2">
      <c r="G60" s="164"/>
    </row>
    <row r="61" spans="1:7" x14ac:dyDescent="0.2">
      <c r="A61" t="s">
        <v>19</v>
      </c>
      <c r="G61" s="164"/>
    </row>
    <row r="62" spans="1:7" x14ac:dyDescent="0.2">
      <c r="A62" t="s">
        <v>20</v>
      </c>
      <c r="G62" s="164"/>
    </row>
    <row r="63" spans="1:7" x14ac:dyDescent="0.2">
      <c r="A63" t="s">
        <v>15</v>
      </c>
      <c r="G63" s="164"/>
    </row>
    <row r="64" spans="1:7" x14ac:dyDescent="0.2">
      <c r="A64" t="s">
        <v>21</v>
      </c>
      <c r="G64" s="164"/>
    </row>
    <row r="65" spans="1:7" x14ac:dyDescent="0.2">
      <c r="A65" t="s">
        <v>22</v>
      </c>
      <c r="G65" s="164"/>
    </row>
    <row r="66" spans="1:7" x14ac:dyDescent="0.2">
      <c r="G66" s="164"/>
    </row>
    <row r="67" spans="1:7" x14ac:dyDescent="0.2">
      <c r="A67" t="s">
        <v>23</v>
      </c>
      <c r="G67" s="164"/>
    </row>
    <row r="68" spans="1:7" x14ac:dyDescent="0.2">
      <c r="A68" t="s">
        <v>24</v>
      </c>
      <c r="G68" s="164"/>
    </row>
    <row r="69" spans="1:7" x14ac:dyDescent="0.2">
      <c r="A69" t="s">
        <v>25</v>
      </c>
      <c r="G69" s="164"/>
    </row>
    <row r="70" spans="1:7" x14ac:dyDescent="0.2">
      <c r="A70" t="s">
        <v>26</v>
      </c>
      <c r="G70" s="164"/>
    </row>
  </sheetData>
  <mergeCells count="1">
    <mergeCell ref="C2:F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92D050"/>
    <pageSetUpPr fitToPage="1"/>
  </sheetPr>
  <dimension ref="A1:AD154"/>
  <sheetViews>
    <sheetView tabSelected="1" topLeftCell="B1" zoomScale="80" zoomScaleNormal="80" workbookViewId="0">
      <selection activeCell="E6" sqref="E6"/>
    </sheetView>
  </sheetViews>
  <sheetFormatPr defaultRowHeight="12.75" x14ac:dyDescent="0.2"/>
  <cols>
    <col min="1" max="1" width="10.7109375" customWidth="1"/>
    <col min="2" max="2" width="10.5703125" customWidth="1"/>
    <col min="3" max="3" width="7.7109375" customWidth="1"/>
    <col min="4" max="4" width="8.5703125" customWidth="1"/>
    <col min="5" max="5" width="26.7109375" customWidth="1"/>
    <col min="6" max="6" width="7.5703125" customWidth="1"/>
    <col min="7" max="7" width="9" customWidth="1"/>
    <col min="8" max="8" width="10" customWidth="1"/>
    <col min="9" max="9" width="7.7109375" customWidth="1"/>
    <col min="10" max="10" width="7.5703125" bestFit="1" customWidth="1"/>
    <col min="11" max="11" width="8.28515625" bestFit="1" customWidth="1"/>
    <col min="12" max="12" width="9" customWidth="1"/>
    <col min="13" max="13" width="11" customWidth="1"/>
    <col min="14" max="15" width="7.7109375" bestFit="1" customWidth="1"/>
    <col min="16" max="16" width="8" bestFit="1" customWidth="1"/>
    <col min="17" max="17" width="8.5703125" customWidth="1"/>
    <col min="18" max="18" width="12.85546875" customWidth="1"/>
    <col min="19" max="19" width="13.140625" customWidth="1"/>
  </cols>
  <sheetData>
    <row r="1" spans="1:30" s="67" customFormat="1" ht="63" customHeight="1" thickBot="1" x14ac:dyDescent="0.25">
      <c r="A1" s="75" t="s">
        <v>147</v>
      </c>
      <c r="C1" s="167" t="s">
        <v>474</v>
      </c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</row>
    <row r="2" spans="1:30" ht="40.5" customHeight="1" thickBot="1" x14ac:dyDescent="0.25">
      <c r="A2" s="127">
        <v>2022</v>
      </c>
      <c r="C2" s="96" t="s">
        <v>0</v>
      </c>
      <c r="D2" s="97" t="s">
        <v>1</v>
      </c>
      <c r="E2" s="112" t="s">
        <v>2</v>
      </c>
      <c r="F2" s="96" t="s">
        <v>3</v>
      </c>
      <c r="G2" s="97" t="s">
        <v>4</v>
      </c>
      <c r="H2" s="98" t="s">
        <v>5</v>
      </c>
      <c r="I2" s="97" t="s">
        <v>6</v>
      </c>
      <c r="J2" s="99" t="s">
        <v>7</v>
      </c>
      <c r="K2" s="96" t="s">
        <v>36</v>
      </c>
      <c r="L2" s="97" t="s">
        <v>8</v>
      </c>
      <c r="M2" s="97" t="s">
        <v>5</v>
      </c>
      <c r="N2" s="97" t="s">
        <v>9</v>
      </c>
      <c r="O2" s="97" t="s">
        <v>10</v>
      </c>
      <c r="P2" s="99" t="s">
        <v>11</v>
      </c>
      <c r="Q2" s="108" t="s">
        <v>164</v>
      </c>
      <c r="R2" s="108" t="s">
        <v>429</v>
      </c>
      <c r="S2" s="108" t="s">
        <v>430</v>
      </c>
      <c r="T2" s="108" t="s">
        <v>431</v>
      </c>
    </row>
    <row r="3" spans="1:30" ht="30" customHeight="1" x14ac:dyDescent="0.2">
      <c r="C3" s="113">
        <v>42</v>
      </c>
      <c r="D3" s="50">
        <v>46</v>
      </c>
      <c r="E3" s="134" t="s">
        <v>439</v>
      </c>
      <c r="F3" s="92">
        <v>2</v>
      </c>
      <c r="G3" s="49">
        <v>3.62</v>
      </c>
      <c r="H3" s="49">
        <v>2</v>
      </c>
      <c r="I3" s="57">
        <v>4.0199999999999996</v>
      </c>
      <c r="J3" s="100">
        <v>2.46</v>
      </c>
      <c r="K3" s="104">
        <v>3</v>
      </c>
      <c r="L3" s="53">
        <v>5.56</v>
      </c>
      <c r="M3" s="53">
        <v>3</v>
      </c>
      <c r="N3" s="57">
        <v>6.16</v>
      </c>
      <c r="O3" s="53">
        <v>10.18</v>
      </c>
      <c r="P3" s="100">
        <v>2.2599999999999998</v>
      </c>
      <c r="Q3" s="109"/>
      <c r="R3" s="148">
        <v>42</v>
      </c>
      <c r="S3" s="148">
        <v>16</v>
      </c>
      <c r="T3" s="148">
        <f>R3 - S3</f>
        <v>26</v>
      </c>
    </row>
    <row r="4" spans="1:30" ht="30" customHeight="1" x14ac:dyDescent="0.2">
      <c r="C4" s="114">
        <v>33</v>
      </c>
      <c r="D4" s="63">
        <v>9</v>
      </c>
      <c r="E4" s="116" t="s">
        <v>379</v>
      </c>
      <c r="F4" s="70">
        <v>2</v>
      </c>
      <c r="G4" s="61">
        <v>3.87</v>
      </c>
      <c r="H4" s="61">
        <v>2</v>
      </c>
      <c r="I4" s="64">
        <v>4.2699999999999996</v>
      </c>
      <c r="J4" s="101">
        <v>1.96</v>
      </c>
      <c r="K4" s="105">
        <v>4</v>
      </c>
      <c r="L4" s="62">
        <v>6.02</v>
      </c>
      <c r="M4" s="62">
        <v>4</v>
      </c>
      <c r="N4" s="64">
        <v>6.82</v>
      </c>
      <c r="O4" s="62">
        <v>11.09</v>
      </c>
      <c r="P4" s="101">
        <v>2.31</v>
      </c>
      <c r="Q4" s="110"/>
      <c r="R4" s="149">
        <v>33</v>
      </c>
      <c r="S4" s="148">
        <v>10</v>
      </c>
      <c r="T4" s="148">
        <f>R4 - S4</f>
        <v>23</v>
      </c>
    </row>
    <row r="5" spans="1:30" ht="30" customHeight="1" x14ac:dyDescent="0.2">
      <c r="C5" s="114">
        <v>39</v>
      </c>
      <c r="D5" s="50">
        <v>5</v>
      </c>
      <c r="E5" s="116" t="s">
        <v>387</v>
      </c>
      <c r="F5" s="70">
        <v>2</v>
      </c>
      <c r="G5" s="61">
        <v>3.68</v>
      </c>
      <c r="H5" s="61">
        <v>2</v>
      </c>
      <c r="I5" s="64">
        <v>4.08</v>
      </c>
      <c r="J5" s="101">
        <v>1.96</v>
      </c>
      <c r="K5" s="105">
        <v>3</v>
      </c>
      <c r="L5" s="62">
        <v>5.47</v>
      </c>
      <c r="M5" s="62">
        <v>3</v>
      </c>
      <c r="N5" s="64">
        <v>6.07</v>
      </c>
      <c r="O5" s="62">
        <v>10.15</v>
      </c>
      <c r="P5" s="101">
        <v>2.3199999999999998</v>
      </c>
      <c r="Q5" s="110"/>
      <c r="R5" s="149">
        <v>39</v>
      </c>
      <c r="S5" s="148">
        <v>17</v>
      </c>
      <c r="T5" s="148">
        <f>R5 - S5</f>
        <v>22</v>
      </c>
    </row>
    <row r="6" spans="1:30" ht="30" customHeight="1" x14ac:dyDescent="0.2">
      <c r="C6" s="114">
        <v>59</v>
      </c>
      <c r="D6" s="63">
        <v>61</v>
      </c>
      <c r="E6" s="116" t="s">
        <v>463</v>
      </c>
      <c r="F6" s="70">
        <v>0</v>
      </c>
      <c r="G6" s="61">
        <v>0</v>
      </c>
      <c r="H6" s="61">
        <v>0</v>
      </c>
      <c r="I6" s="64">
        <v>0</v>
      </c>
      <c r="J6" s="101">
        <v>0</v>
      </c>
      <c r="K6" s="105">
        <v>4</v>
      </c>
      <c r="L6" s="62">
        <v>6.49</v>
      </c>
      <c r="M6" s="62">
        <v>4</v>
      </c>
      <c r="N6" s="64">
        <v>7.29</v>
      </c>
      <c r="O6" s="62">
        <v>7.29</v>
      </c>
      <c r="P6" s="101">
        <v>2.2999999999999998</v>
      </c>
      <c r="Q6" s="110"/>
      <c r="R6" s="149">
        <v>59</v>
      </c>
      <c r="S6" s="148">
        <v>37</v>
      </c>
      <c r="T6" s="148">
        <f>R6 - S6</f>
        <v>22</v>
      </c>
    </row>
    <row r="7" spans="1:30" ht="30" customHeight="1" x14ac:dyDescent="0.2">
      <c r="C7" s="114">
        <v>21</v>
      </c>
      <c r="D7" s="50">
        <v>4</v>
      </c>
      <c r="E7" s="116" t="s">
        <v>197</v>
      </c>
      <c r="F7" s="70">
        <v>2</v>
      </c>
      <c r="G7" s="61">
        <v>4.3</v>
      </c>
      <c r="H7" s="61">
        <v>2</v>
      </c>
      <c r="I7" s="64">
        <v>4.7</v>
      </c>
      <c r="J7" s="101">
        <v>2.2200000000000002</v>
      </c>
      <c r="K7" s="105">
        <v>7</v>
      </c>
      <c r="L7" s="62">
        <v>9.5299999999999994</v>
      </c>
      <c r="M7" s="62">
        <v>7</v>
      </c>
      <c r="N7" s="64">
        <v>10.93</v>
      </c>
      <c r="O7" s="62">
        <v>15.63</v>
      </c>
      <c r="P7" s="101">
        <v>2.72</v>
      </c>
      <c r="Q7" s="110"/>
      <c r="R7" s="149">
        <v>21</v>
      </c>
      <c r="S7" s="148">
        <v>2</v>
      </c>
      <c r="T7" s="148">
        <f>R7 - S7</f>
        <v>19</v>
      </c>
    </row>
    <row r="8" spans="1:30" ht="30" customHeight="1" x14ac:dyDescent="0.2">
      <c r="C8" s="114">
        <v>59</v>
      </c>
      <c r="D8" s="63">
        <v>20</v>
      </c>
      <c r="E8" s="116" t="s">
        <v>263</v>
      </c>
      <c r="F8" s="70">
        <v>0</v>
      </c>
      <c r="G8" s="61">
        <v>0</v>
      </c>
      <c r="H8" s="61">
        <v>0</v>
      </c>
      <c r="I8" s="64">
        <v>0</v>
      </c>
      <c r="J8" s="101">
        <v>0</v>
      </c>
      <c r="K8" s="105">
        <v>4</v>
      </c>
      <c r="L8" s="62">
        <v>6.15</v>
      </c>
      <c r="M8" s="62">
        <v>4</v>
      </c>
      <c r="N8" s="64">
        <v>6.95</v>
      </c>
      <c r="O8" s="62">
        <v>6.95</v>
      </c>
      <c r="P8" s="101">
        <v>2.39</v>
      </c>
      <c r="Q8" s="110"/>
      <c r="R8" s="149">
        <v>59</v>
      </c>
      <c r="S8" s="148">
        <v>42</v>
      </c>
      <c r="T8" s="148">
        <f>R8 - S8</f>
        <v>17</v>
      </c>
    </row>
    <row r="9" spans="1:30" ht="30" customHeight="1" x14ac:dyDescent="0.2">
      <c r="C9" s="114">
        <v>40</v>
      </c>
      <c r="D9" s="50">
        <v>56</v>
      </c>
      <c r="E9" s="116" t="s">
        <v>442</v>
      </c>
      <c r="F9" s="70">
        <v>2</v>
      </c>
      <c r="G9" s="61">
        <v>3.67</v>
      </c>
      <c r="H9" s="61">
        <v>2</v>
      </c>
      <c r="I9" s="64">
        <v>4.07</v>
      </c>
      <c r="J9" s="101">
        <v>1.89</v>
      </c>
      <c r="K9" s="105">
        <v>2</v>
      </c>
      <c r="L9" s="62">
        <v>4.5599999999999996</v>
      </c>
      <c r="M9" s="62">
        <v>2</v>
      </c>
      <c r="N9" s="64">
        <v>4.96</v>
      </c>
      <c r="O9" s="62">
        <v>9.0299999999999994</v>
      </c>
      <c r="P9" s="101">
        <v>2.4900000000000002</v>
      </c>
      <c r="Q9" s="110"/>
      <c r="R9" s="149">
        <v>40</v>
      </c>
      <c r="S9" s="148">
        <v>25</v>
      </c>
      <c r="T9" s="148">
        <f>R9 - S9</f>
        <v>15</v>
      </c>
    </row>
    <row r="10" spans="1:30" ht="30" customHeight="1" x14ac:dyDescent="0.2">
      <c r="C10" s="114">
        <v>19</v>
      </c>
      <c r="D10" s="63">
        <v>8</v>
      </c>
      <c r="E10" s="116" t="s">
        <v>258</v>
      </c>
      <c r="F10" s="70">
        <v>2</v>
      </c>
      <c r="G10" s="61">
        <v>4.3899999999999997</v>
      </c>
      <c r="H10" s="61">
        <v>2</v>
      </c>
      <c r="I10" s="64">
        <v>4.79</v>
      </c>
      <c r="J10" s="101">
        <v>2.23</v>
      </c>
      <c r="K10" s="105">
        <v>2</v>
      </c>
      <c r="L10" s="62">
        <v>6.93</v>
      </c>
      <c r="M10" s="62">
        <v>2</v>
      </c>
      <c r="N10" s="64">
        <v>7.33</v>
      </c>
      <c r="O10" s="62">
        <v>12.12</v>
      </c>
      <c r="P10" s="101">
        <v>4.5999999999999996</v>
      </c>
      <c r="Q10" s="110"/>
      <c r="R10" s="149">
        <v>19</v>
      </c>
      <c r="S10" s="148">
        <v>5</v>
      </c>
      <c r="T10" s="148">
        <f>R10 - S10</f>
        <v>14</v>
      </c>
    </row>
    <row r="11" spans="1:30" ht="30" customHeight="1" x14ac:dyDescent="0.2">
      <c r="C11" s="114">
        <v>34</v>
      </c>
      <c r="D11" s="50">
        <v>22</v>
      </c>
      <c r="E11" s="116" t="s">
        <v>393</v>
      </c>
      <c r="F11" s="70">
        <v>2</v>
      </c>
      <c r="G11" s="61">
        <v>3.8</v>
      </c>
      <c r="H11" s="61">
        <v>2</v>
      </c>
      <c r="I11" s="64">
        <v>4.2</v>
      </c>
      <c r="J11" s="101">
        <v>1.86</v>
      </c>
      <c r="K11" s="105">
        <v>3</v>
      </c>
      <c r="L11" s="62">
        <v>4.88</v>
      </c>
      <c r="M11" s="62">
        <v>3</v>
      </c>
      <c r="N11" s="64">
        <v>5.48</v>
      </c>
      <c r="O11" s="62">
        <v>9.68</v>
      </c>
      <c r="P11" s="101">
        <v>2.1</v>
      </c>
      <c r="Q11" s="110"/>
      <c r="R11" s="149">
        <v>34</v>
      </c>
      <c r="S11" s="148">
        <v>20</v>
      </c>
      <c r="T11" s="148">
        <f>R11 - S11</f>
        <v>14</v>
      </c>
    </row>
    <row r="12" spans="1:30" ht="30" customHeight="1" x14ac:dyDescent="0.2">
      <c r="A12" s="66"/>
      <c r="C12" s="114">
        <v>17</v>
      </c>
      <c r="D12" s="63">
        <v>10</v>
      </c>
      <c r="E12" s="116" t="s">
        <v>287</v>
      </c>
      <c r="F12" s="70">
        <v>2</v>
      </c>
      <c r="G12" s="61">
        <v>4.3899999999999997</v>
      </c>
      <c r="H12" s="61">
        <v>2</v>
      </c>
      <c r="I12" s="64">
        <v>4.79</v>
      </c>
      <c r="J12" s="101">
        <v>2.2999999999999998</v>
      </c>
      <c r="K12" s="105">
        <v>5</v>
      </c>
      <c r="L12" s="62">
        <v>7.22</v>
      </c>
      <c r="M12" s="62">
        <v>5</v>
      </c>
      <c r="N12" s="64">
        <v>8.2200000000000006</v>
      </c>
      <c r="O12" s="62">
        <v>13.01</v>
      </c>
      <c r="P12" s="101">
        <v>2.46</v>
      </c>
      <c r="Q12" s="110"/>
      <c r="R12" s="149">
        <v>17</v>
      </c>
      <c r="S12" s="148">
        <v>4</v>
      </c>
      <c r="T12" s="148">
        <f>R12 - S12</f>
        <v>13</v>
      </c>
    </row>
    <row r="13" spans="1:30" ht="30" customHeight="1" x14ac:dyDescent="0.2">
      <c r="C13" s="114">
        <v>41</v>
      </c>
      <c r="D13" s="50">
        <v>24</v>
      </c>
      <c r="E13" s="116" t="s">
        <v>456</v>
      </c>
      <c r="F13" s="70">
        <v>2</v>
      </c>
      <c r="G13" s="61">
        <v>3.66</v>
      </c>
      <c r="H13" s="61">
        <v>2</v>
      </c>
      <c r="I13" s="64">
        <v>4.0599999999999996</v>
      </c>
      <c r="J13" s="101">
        <v>1.99</v>
      </c>
      <c r="K13" s="105">
        <v>2</v>
      </c>
      <c r="L13" s="62">
        <v>4.22</v>
      </c>
      <c r="M13" s="62">
        <v>2</v>
      </c>
      <c r="N13" s="64">
        <v>4.62</v>
      </c>
      <c r="O13" s="62">
        <v>8.68</v>
      </c>
      <c r="P13" s="101">
        <v>2.2599999999999998</v>
      </c>
      <c r="Q13" s="110"/>
      <c r="R13" s="149">
        <v>41</v>
      </c>
      <c r="S13" s="148">
        <v>28</v>
      </c>
      <c r="T13" s="148">
        <f>R13 - S13</f>
        <v>13</v>
      </c>
    </row>
    <row r="14" spans="1:30" ht="30" customHeight="1" x14ac:dyDescent="0.2">
      <c r="C14" s="114">
        <v>26</v>
      </c>
      <c r="D14" s="63">
        <v>42</v>
      </c>
      <c r="E14" s="116" t="s">
        <v>397</v>
      </c>
      <c r="F14" s="70">
        <v>2</v>
      </c>
      <c r="G14" s="61">
        <v>4.12</v>
      </c>
      <c r="H14" s="61">
        <v>2</v>
      </c>
      <c r="I14" s="64">
        <v>4.5199999999999996</v>
      </c>
      <c r="J14" s="101">
        <v>2.12</v>
      </c>
      <c r="K14" s="105">
        <v>3</v>
      </c>
      <c r="L14" s="62">
        <v>5.58</v>
      </c>
      <c r="M14" s="62">
        <v>3</v>
      </c>
      <c r="N14" s="64">
        <v>6.18</v>
      </c>
      <c r="O14" s="62">
        <v>10.7</v>
      </c>
      <c r="P14" s="101">
        <v>2.4500000000000002</v>
      </c>
      <c r="Q14" s="110"/>
      <c r="R14" s="149">
        <v>26</v>
      </c>
      <c r="S14" s="148">
        <v>13</v>
      </c>
      <c r="T14" s="148">
        <f>R14 - S14</f>
        <v>13</v>
      </c>
    </row>
    <row r="15" spans="1:30" ht="30" customHeight="1" x14ac:dyDescent="0.2">
      <c r="C15" s="114">
        <v>51</v>
      </c>
      <c r="D15" s="50">
        <v>62</v>
      </c>
      <c r="E15" s="116" t="s">
        <v>245</v>
      </c>
      <c r="F15" s="70">
        <v>1</v>
      </c>
      <c r="G15" s="61">
        <v>1.85</v>
      </c>
      <c r="H15" s="61">
        <v>1</v>
      </c>
      <c r="I15" s="64">
        <v>2.0499999999999998</v>
      </c>
      <c r="J15" s="101">
        <v>1.85</v>
      </c>
      <c r="K15" s="105">
        <v>2</v>
      </c>
      <c r="L15" s="62">
        <v>4.79</v>
      </c>
      <c r="M15" s="62">
        <v>2</v>
      </c>
      <c r="N15" s="64">
        <v>5.19</v>
      </c>
      <c r="O15" s="62">
        <v>7.24</v>
      </c>
      <c r="P15" s="101">
        <v>2.5299999999999998</v>
      </c>
      <c r="Q15" s="110"/>
      <c r="R15" s="149">
        <v>51</v>
      </c>
      <c r="S15" s="148">
        <v>38</v>
      </c>
      <c r="T15" s="148">
        <f>R15 - S15</f>
        <v>13</v>
      </c>
    </row>
    <row r="16" spans="1:30" ht="30" customHeight="1" x14ac:dyDescent="0.2">
      <c r="C16" s="114">
        <v>35</v>
      </c>
      <c r="D16" s="63">
        <v>19</v>
      </c>
      <c r="E16" s="116" t="s">
        <v>466</v>
      </c>
      <c r="F16" s="70">
        <v>2</v>
      </c>
      <c r="G16" s="61">
        <v>3.77</v>
      </c>
      <c r="H16" s="61">
        <v>2</v>
      </c>
      <c r="I16" s="64">
        <v>4.17</v>
      </c>
      <c r="J16" s="101">
        <v>2.0299999999999998</v>
      </c>
      <c r="K16" s="105">
        <v>3</v>
      </c>
      <c r="L16" s="62">
        <v>4.58</v>
      </c>
      <c r="M16" s="62">
        <v>3</v>
      </c>
      <c r="N16" s="64">
        <v>5.18</v>
      </c>
      <c r="O16" s="62">
        <v>9.35</v>
      </c>
      <c r="P16" s="101">
        <v>1.93</v>
      </c>
      <c r="Q16" s="110"/>
      <c r="R16" s="149">
        <v>35</v>
      </c>
      <c r="S16" s="148">
        <v>23</v>
      </c>
      <c r="T16" s="148">
        <f>R16 - S16</f>
        <v>12</v>
      </c>
    </row>
    <row r="17" spans="3:20" ht="30" customHeight="1" x14ac:dyDescent="0.2">
      <c r="C17" s="114">
        <v>44</v>
      </c>
      <c r="D17" s="50">
        <v>64</v>
      </c>
      <c r="E17" s="116" t="s">
        <v>443</v>
      </c>
      <c r="F17" s="70">
        <v>2</v>
      </c>
      <c r="G17" s="61">
        <v>3.5</v>
      </c>
      <c r="H17" s="61">
        <v>2</v>
      </c>
      <c r="I17" s="64">
        <v>3.9</v>
      </c>
      <c r="J17" s="101">
        <v>1.79</v>
      </c>
      <c r="K17" s="105">
        <v>2</v>
      </c>
      <c r="L17" s="62">
        <v>4.3</v>
      </c>
      <c r="M17" s="62">
        <v>2</v>
      </c>
      <c r="N17" s="64">
        <v>4.7</v>
      </c>
      <c r="O17" s="62">
        <v>8.6</v>
      </c>
      <c r="P17" s="101">
        <v>2.37</v>
      </c>
      <c r="Q17" s="110"/>
      <c r="R17" s="149">
        <v>44</v>
      </c>
      <c r="S17" s="148">
        <v>32</v>
      </c>
      <c r="T17" s="148">
        <f>R17 - S17</f>
        <v>12</v>
      </c>
    </row>
    <row r="18" spans="3:20" ht="30" customHeight="1" x14ac:dyDescent="0.2">
      <c r="C18" s="114">
        <v>36</v>
      </c>
      <c r="D18" s="63">
        <v>12</v>
      </c>
      <c r="E18" s="116" t="s">
        <v>225</v>
      </c>
      <c r="F18" s="70">
        <v>2</v>
      </c>
      <c r="G18" s="61">
        <v>3.77</v>
      </c>
      <c r="H18" s="61">
        <v>2</v>
      </c>
      <c r="I18" s="64">
        <v>4.17</v>
      </c>
      <c r="J18" s="101">
        <v>2.0099999999999998</v>
      </c>
      <c r="K18" s="105">
        <v>2</v>
      </c>
      <c r="L18" s="62">
        <v>4.41</v>
      </c>
      <c r="M18" s="62">
        <v>2</v>
      </c>
      <c r="N18" s="64">
        <v>4.8099999999999996</v>
      </c>
      <c r="O18" s="62">
        <v>8.98</v>
      </c>
      <c r="P18" s="101">
        <v>2.5</v>
      </c>
      <c r="Q18" s="110"/>
      <c r="R18" s="149">
        <v>36</v>
      </c>
      <c r="S18" s="148">
        <v>26</v>
      </c>
      <c r="T18" s="148">
        <f>R18 - S18</f>
        <v>10</v>
      </c>
    </row>
    <row r="19" spans="3:20" ht="30" customHeight="1" x14ac:dyDescent="0.2">
      <c r="C19" s="114">
        <v>43</v>
      </c>
      <c r="D19" s="50">
        <v>13</v>
      </c>
      <c r="E19" s="116" t="s">
        <v>246</v>
      </c>
      <c r="F19" s="70">
        <v>2</v>
      </c>
      <c r="G19" s="61">
        <v>3.58</v>
      </c>
      <c r="H19" s="61">
        <v>2</v>
      </c>
      <c r="I19" s="64">
        <v>3.98</v>
      </c>
      <c r="J19" s="101">
        <v>1.92</v>
      </c>
      <c r="K19" s="105">
        <v>2</v>
      </c>
      <c r="L19" s="62">
        <v>3.8</v>
      </c>
      <c r="M19" s="62">
        <v>2</v>
      </c>
      <c r="N19" s="64">
        <v>4.2</v>
      </c>
      <c r="O19" s="62">
        <v>8.18</v>
      </c>
      <c r="P19" s="101">
        <v>1.9</v>
      </c>
      <c r="Q19" s="110"/>
      <c r="R19" s="149">
        <v>43</v>
      </c>
      <c r="S19" s="148">
        <v>33</v>
      </c>
      <c r="T19" s="148">
        <f>R19 - S19</f>
        <v>10</v>
      </c>
    </row>
    <row r="20" spans="3:20" ht="30" customHeight="1" x14ac:dyDescent="0.2">
      <c r="C20" s="114">
        <v>59</v>
      </c>
      <c r="D20" s="63">
        <v>29</v>
      </c>
      <c r="E20" s="116" t="s">
        <v>441</v>
      </c>
      <c r="F20" s="70">
        <v>0</v>
      </c>
      <c r="G20" s="61">
        <v>0</v>
      </c>
      <c r="H20" s="61">
        <v>0</v>
      </c>
      <c r="I20" s="64">
        <v>0</v>
      </c>
      <c r="J20" s="101">
        <v>0</v>
      </c>
      <c r="K20" s="105">
        <v>2</v>
      </c>
      <c r="L20" s="62">
        <v>5.0599999999999996</v>
      </c>
      <c r="M20" s="62">
        <v>2</v>
      </c>
      <c r="N20" s="64">
        <v>5.46</v>
      </c>
      <c r="O20" s="62">
        <v>5.46</v>
      </c>
      <c r="P20" s="101">
        <v>2.67</v>
      </c>
      <c r="Q20" s="110"/>
      <c r="R20" s="149">
        <v>59</v>
      </c>
      <c r="S20" s="148">
        <v>49</v>
      </c>
      <c r="T20" s="148">
        <f>R20 - S20</f>
        <v>10</v>
      </c>
    </row>
    <row r="21" spans="3:20" ht="30" customHeight="1" x14ac:dyDescent="0.2">
      <c r="C21" s="114">
        <v>45</v>
      </c>
      <c r="D21" s="50">
        <v>40</v>
      </c>
      <c r="E21" s="116" t="s">
        <v>462</v>
      </c>
      <c r="F21" s="70">
        <v>2</v>
      </c>
      <c r="G21" s="61">
        <v>3.48</v>
      </c>
      <c r="H21" s="61">
        <v>2</v>
      </c>
      <c r="I21" s="64">
        <v>3.88</v>
      </c>
      <c r="J21" s="101">
        <v>1.89</v>
      </c>
      <c r="K21" s="105">
        <v>2</v>
      </c>
      <c r="L21" s="62">
        <v>3.58</v>
      </c>
      <c r="M21" s="62">
        <v>2</v>
      </c>
      <c r="N21" s="64">
        <v>3.98</v>
      </c>
      <c r="O21" s="62">
        <v>7.86</v>
      </c>
      <c r="P21" s="101">
        <v>1.89</v>
      </c>
      <c r="Q21" s="110"/>
      <c r="R21" s="149">
        <v>45</v>
      </c>
      <c r="S21" s="148">
        <v>35</v>
      </c>
      <c r="T21" s="148">
        <f>R21 - S21</f>
        <v>10</v>
      </c>
    </row>
    <row r="22" spans="3:20" ht="30" customHeight="1" x14ac:dyDescent="0.2">
      <c r="C22" s="114">
        <v>58</v>
      </c>
      <c r="D22" s="63">
        <v>60</v>
      </c>
      <c r="E22" s="116" t="s">
        <v>384</v>
      </c>
      <c r="F22" s="70">
        <v>1</v>
      </c>
      <c r="G22" s="61">
        <v>0.56000000000000005</v>
      </c>
      <c r="H22" s="61">
        <v>1</v>
      </c>
      <c r="I22" s="64">
        <v>0.76</v>
      </c>
      <c r="J22" s="101">
        <v>0.56000000000000005</v>
      </c>
      <c r="K22" s="105">
        <v>2</v>
      </c>
      <c r="L22" s="62">
        <v>4.41</v>
      </c>
      <c r="M22" s="62">
        <v>2</v>
      </c>
      <c r="N22" s="64">
        <v>4.8099999999999996</v>
      </c>
      <c r="O22" s="62">
        <v>5.57</v>
      </c>
      <c r="P22" s="101">
        <v>2.4300000000000002</v>
      </c>
      <c r="Q22" s="110"/>
      <c r="R22" s="149">
        <v>58</v>
      </c>
      <c r="S22" s="148">
        <v>48</v>
      </c>
      <c r="T22" s="148">
        <f>R22 - S22</f>
        <v>10</v>
      </c>
    </row>
    <row r="23" spans="3:20" ht="30" customHeight="1" x14ac:dyDescent="0.2">
      <c r="C23" s="114">
        <v>49</v>
      </c>
      <c r="D23" s="50">
        <v>26</v>
      </c>
      <c r="E23" s="116" t="s">
        <v>445</v>
      </c>
      <c r="F23" s="70">
        <v>1</v>
      </c>
      <c r="G23" s="61">
        <v>2.0099999999999998</v>
      </c>
      <c r="H23" s="61">
        <v>1</v>
      </c>
      <c r="I23" s="64">
        <v>2.21</v>
      </c>
      <c r="J23" s="101">
        <v>2.0099999999999998</v>
      </c>
      <c r="K23" s="105">
        <v>2</v>
      </c>
      <c r="L23" s="62">
        <v>4.54</v>
      </c>
      <c r="M23" s="62">
        <v>2</v>
      </c>
      <c r="N23" s="64">
        <v>4.9400000000000004</v>
      </c>
      <c r="O23" s="62">
        <v>7.15</v>
      </c>
      <c r="P23" s="101">
        <v>2.56</v>
      </c>
      <c r="Q23" s="110"/>
      <c r="R23" s="149">
        <v>49</v>
      </c>
      <c r="S23" s="148">
        <v>40</v>
      </c>
      <c r="T23" s="148">
        <f>R23 - S23</f>
        <v>9</v>
      </c>
    </row>
    <row r="24" spans="3:20" ht="30" customHeight="1" x14ac:dyDescent="0.2">
      <c r="C24" s="114">
        <v>59</v>
      </c>
      <c r="D24" s="63">
        <v>33</v>
      </c>
      <c r="E24" s="116" t="s">
        <v>234</v>
      </c>
      <c r="F24" s="70">
        <v>0</v>
      </c>
      <c r="G24" s="61">
        <v>0</v>
      </c>
      <c r="H24" s="61">
        <v>0</v>
      </c>
      <c r="I24" s="64">
        <v>0</v>
      </c>
      <c r="J24" s="101">
        <v>0</v>
      </c>
      <c r="K24" s="105">
        <v>2</v>
      </c>
      <c r="L24" s="62">
        <v>4.17</v>
      </c>
      <c r="M24" s="62">
        <v>2</v>
      </c>
      <c r="N24" s="64">
        <v>4.57</v>
      </c>
      <c r="O24" s="62">
        <v>4.57</v>
      </c>
      <c r="P24" s="101">
        <v>2.09</v>
      </c>
      <c r="Q24" s="110"/>
      <c r="R24" s="149">
        <v>59</v>
      </c>
      <c r="S24" s="148">
        <v>51</v>
      </c>
      <c r="T24" s="148">
        <f>R24 - S24</f>
        <v>8</v>
      </c>
    </row>
    <row r="25" spans="3:20" ht="30" customHeight="1" x14ac:dyDescent="0.2">
      <c r="C25" s="114">
        <v>13</v>
      </c>
      <c r="D25" s="50">
        <v>28</v>
      </c>
      <c r="E25" s="116" t="s">
        <v>352</v>
      </c>
      <c r="F25" s="70">
        <v>3</v>
      </c>
      <c r="G25" s="61">
        <v>4.49</v>
      </c>
      <c r="H25" s="61">
        <v>3</v>
      </c>
      <c r="I25" s="64">
        <v>5.09</v>
      </c>
      <c r="J25" s="101">
        <v>2.0499999999999998</v>
      </c>
      <c r="K25" s="105">
        <v>5</v>
      </c>
      <c r="L25" s="62">
        <v>5.65</v>
      </c>
      <c r="M25" s="62">
        <v>5</v>
      </c>
      <c r="N25" s="64">
        <v>6.65</v>
      </c>
      <c r="O25" s="62">
        <v>11.74</v>
      </c>
      <c r="P25" s="101">
        <v>2.11</v>
      </c>
      <c r="Q25" s="110"/>
      <c r="R25" s="149">
        <v>13</v>
      </c>
      <c r="S25" s="148">
        <v>6</v>
      </c>
      <c r="T25" s="148">
        <f>R25 - S25</f>
        <v>7</v>
      </c>
    </row>
    <row r="26" spans="3:20" ht="30" customHeight="1" x14ac:dyDescent="0.2">
      <c r="C26" s="114">
        <v>56</v>
      </c>
      <c r="D26" s="63">
        <v>31</v>
      </c>
      <c r="E26" s="115" t="s">
        <v>472</v>
      </c>
      <c r="F26" s="70">
        <v>1</v>
      </c>
      <c r="G26" s="61">
        <v>1.64</v>
      </c>
      <c r="H26" s="61">
        <v>1</v>
      </c>
      <c r="I26" s="64">
        <v>1.84</v>
      </c>
      <c r="J26" s="101">
        <v>1.64</v>
      </c>
      <c r="K26" s="105">
        <v>1</v>
      </c>
      <c r="L26" s="62">
        <v>2.71</v>
      </c>
      <c r="M26" s="62">
        <v>1</v>
      </c>
      <c r="N26" s="64">
        <v>2.91</v>
      </c>
      <c r="O26" s="62">
        <v>4.75</v>
      </c>
      <c r="P26" s="101">
        <v>2.71</v>
      </c>
      <c r="Q26" s="110"/>
      <c r="R26" s="149">
        <v>56</v>
      </c>
      <c r="S26" s="148">
        <v>50</v>
      </c>
      <c r="T26" s="148">
        <f>R26 - S26</f>
        <v>6</v>
      </c>
    </row>
    <row r="27" spans="3:20" ht="30" customHeight="1" x14ac:dyDescent="0.2">
      <c r="C27" s="114">
        <v>48</v>
      </c>
      <c r="D27" s="50">
        <v>15</v>
      </c>
      <c r="E27" s="116" t="s">
        <v>367</v>
      </c>
      <c r="F27" s="70">
        <v>1</v>
      </c>
      <c r="G27" s="61">
        <v>2.2999999999999998</v>
      </c>
      <c r="H27" s="61">
        <v>1</v>
      </c>
      <c r="I27" s="64">
        <v>2.5</v>
      </c>
      <c r="J27" s="101">
        <v>2.2999999999999998</v>
      </c>
      <c r="K27" s="105">
        <v>2</v>
      </c>
      <c r="L27" s="62">
        <v>3.86</v>
      </c>
      <c r="M27" s="62">
        <v>2</v>
      </c>
      <c r="N27" s="64">
        <v>4.26</v>
      </c>
      <c r="O27" s="62">
        <v>6.76</v>
      </c>
      <c r="P27" s="101">
        <v>1.97</v>
      </c>
      <c r="Q27" s="110"/>
      <c r="R27" s="149">
        <v>48</v>
      </c>
      <c r="S27" s="148">
        <v>43</v>
      </c>
      <c r="T27" s="148">
        <f>R27 - S27</f>
        <v>5</v>
      </c>
    </row>
    <row r="28" spans="3:20" ht="30" customHeight="1" x14ac:dyDescent="0.2">
      <c r="C28" s="114">
        <v>50</v>
      </c>
      <c r="D28" s="63">
        <v>34</v>
      </c>
      <c r="E28" s="115" t="s">
        <v>447</v>
      </c>
      <c r="F28" s="70">
        <v>1</v>
      </c>
      <c r="G28" s="61">
        <v>1.95</v>
      </c>
      <c r="H28" s="61">
        <v>1</v>
      </c>
      <c r="I28" s="64">
        <v>2.15</v>
      </c>
      <c r="J28" s="101">
        <v>1.95</v>
      </c>
      <c r="K28" s="105">
        <v>2</v>
      </c>
      <c r="L28" s="62">
        <v>4.01</v>
      </c>
      <c r="M28" s="62">
        <v>2</v>
      </c>
      <c r="N28" s="64">
        <v>4.41</v>
      </c>
      <c r="O28" s="62">
        <v>6.56</v>
      </c>
      <c r="P28" s="101">
        <v>2.14</v>
      </c>
      <c r="Q28" s="110"/>
      <c r="R28" s="149">
        <v>50</v>
      </c>
      <c r="S28" s="148">
        <v>46</v>
      </c>
      <c r="T28" s="148">
        <f>R28 - S28</f>
        <v>4</v>
      </c>
    </row>
    <row r="29" spans="3:20" ht="30" customHeight="1" x14ac:dyDescent="0.2">
      <c r="C29" s="114">
        <v>59</v>
      </c>
      <c r="D29" s="50">
        <v>57</v>
      </c>
      <c r="E29" s="116" t="s">
        <v>457</v>
      </c>
      <c r="F29" s="70">
        <v>0</v>
      </c>
      <c r="G29" s="61">
        <v>0</v>
      </c>
      <c r="H29" s="61">
        <v>0</v>
      </c>
      <c r="I29" s="64">
        <v>0</v>
      </c>
      <c r="J29" s="101">
        <v>0</v>
      </c>
      <c r="K29" s="105">
        <v>2</v>
      </c>
      <c r="L29" s="62">
        <v>3.83</v>
      </c>
      <c r="M29" s="62">
        <v>2</v>
      </c>
      <c r="N29" s="64">
        <v>4.2300000000000004</v>
      </c>
      <c r="O29" s="62">
        <v>4.2300000000000004</v>
      </c>
      <c r="P29" s="101">
        <v>1.98</v>
      </c>
      <c r="Q29" s="110"/>
      <c r="R29" s="149">
        <v>59</v>
      </c>
      <c r="S29" s="148">
        <v>55</v>
      </c>
      <c r="T29" s="148">
        <f>R29 - S29</f>
        <v>4</v>
      </c>
    </row>
    <row r="30" spans="3:20" ht="30" customHeight="1" x14ac:dyDescent="0.2">
      <c r="C30" s="70">
        <v>59</v>
      </c>
      <c r="D30" s="63">
        <v>30</v>
      </c>
      <c r="E30" s="116" t="s">
        <v>388</v>
      </c>
      <c r="F30" s="70">
        <v>0</v>
      </c>
      <c r="G30" s="61">
        <v>0</v>
      </c>
      <c r="H30" s="61">
        <v>0</v>
      </c>
      <c r="I30" s="64">
        <v>0</v>
      </c>
      <c r="J30" s="101">
        <v>0</v>
      </c>
      <c r="K30" s="105">
        <v>2</v>
      </c>
      <c r="L30" s="62">
        <v>3.8</v>
      </c>
      <c r="M30" s="62">
        <v>2</v>
      </c>
      <c r="N30" s="64">
        <v>4.2</v>
      </c>
      <c r="O30" s="62">
        <v>4.2</v>
      </c>
      <c r="P30" s="101">
        <v>1.95</v>
      </c>
      <c r="Q30" s="110"/>
      <c r="R30" s="150">
        <v>59</v>
      </c>
      <c r="S30" s="148">
        <v>56</v>
      </c>
      <c r="T30" s="148">
        <f>R30 - S30</f>
        <v>3</v>
      </c>
    </row>
    <row r="31" spans="3:20" ht="30" customHeight="1" x14ac:dyDescent="0.2">
      <c r="C31" s="114">
        <v>15</v>
      </c>
      <c r="D31" s="50">
        <v>38</v>
      </c>
      <c r="E31" s="116" t="s">
        <v>307</v>
      </c>
      <c r="F31" s="70">
        <v>2</v>
      </c>
      <c r="G31" s="61">
        <v>4.5199999999999996</v>
      </c>
      <c r="H31" s="61">
        <v>2</v>
      </c>
      <c r="I31" s="64">
        <v>4.92</v>
      </c>
      <c r="J31" s="101">
        <v>2.35</v>
      </c>
      <c r="K31" s="105">
        <v>2</v>
      </c>
      <c r="L31" s="62">
        <v>5.52</v>
      </c>
      <c r="M31" s="62">
        <v>2</v>
      </c>
      <c r="N31" s="64">
        <v>5.92</v>
      </c>
      <c r="O31" s="62">
        <v>10.84</v>
      </c>
      <c r="P31" s="101">
        <v>2.38</v>
      </c>
      <c r="Q31" s="110"/>
      <c r="R31" s="149">
        <v>15</v>
      </c>
      <c r="S31" s="148">
        <v>12</v>
      </c>
      <c r="T31" s="148">
        <f>R31 - S31</f>
        <v>3</v>
      </c>
    </row>
    <row r="32" spans="3:20" ht="30" customHeight="1" x14ac:dyDescent="0.2">
      <c r="C32" s="114">
        <v>1</v>
      </c>
      <c r="D32" s="63">
        <v>2</v>
      </c>
      <c r="E32" s="116" t="s">
        <v>440</v>
      </c>
      <c r="F32" s="70">
        <v>5</v>
      </c>
      <c r="G32" s="61">
        <v>7.25</v>
      </c>
      <c r="H32" s="61">
        <v>5</v>
      </c>
      <c r="I32" s="64">
        <v>8.25</v>
      </c>
      <c r="J32" s="101">
        <v>2.36</v>
      </c>
      <c r="K32" s="105">
        <v>5</v>
      </c>
      <c r="L32" s="62">
        <v>8.75</v>
      </c>
      <c r="M32" s="62">
        <v>5</v>
      </c>
      <c r="N32" s="64">
        <v>9.75</v>
      </c>
      <c r="O32" s="62">
        <v>18</v>
      </c>
      <c r="P32" s="101">
        <v>3.03</v>
      </c>
      <c r="Q32" s="110"/>
      <c r="R32" s="149">
        <v>1</v>
      </c>
      <c r="S32" s="148">
        <v>1</v>
      </c>
      <c r="T32" s="148">
        <f>R32 - S32</f>
        <v>0</v>
      </c>
    </row>
    <row r="33" spans="3:20" ht="30" customHeight="1" x14ac:dyDescent="0.2">
      <c r="C33" s="114">
        <v>9</v>
      </c>
      <c r="D33" s="50">
        <v>3</v>
      </c>
      <c r="E33" s="116" t="s">
        <v>363</v>
      </c>
      <c r="F33" s="70">
        <v>2</v>
      </c>
      <c r="G33" s="61">
        <v>5.16</v>
      </c>
      <c r="H33" s="61">
        <v>2</v>
      </c>
      <c r="I33" s="64">
        <v>5.56</v>
      </c>
      <c r="J33" s="101">
        <v>2.81</v>
      </c>
      <c r="K33" s="105">
        <v>3</v>
      </c>
      <c r="L33" s="62">
        <v>5.15</v>
      </c>
      <c r="M33" s="62">
        <v>3</v>
      </c>
      <c r="N33" s="64">
        <v>5.75</v>
      </c>
      <c r="O33" s="62">
        <v>11.31</v>
      </c>
      <c r="P33" s="101">
        <v>2.3199999999999998</v>
      </c>
      <c r="Q33" s="110"/>
      <c r="R33" s="149">
        <v>9</v>
      </c>
      <c r="S33" s="148">
        <v>9</v>
      </c>
      <c r="T33" s="148">
        <f>R33 - S33</f>
        <v>0</v>
      </c>
    </row>
    <row r="34" spans="3:20" ht="30" customHeight="1" x14ac:dyDescent="0.2">
      <c r="C34" s="114">
        <v>59</v>
      </c>
      <c r="D34" s="63">
        <v>36</v>
      </c>
      <c r="E34" s="116" t="s">
        <v>330</v>
      </c>
      <c r="F34" s="70">
        <v>0</v>
      </c>
      <c r="G34" s="61">
        <v>0</v>
      </c>
      <c r="H34" s="61">
        <v>0</v>
      </c>
      <c r="I34" s="64">
        <v>0</v>
      </c>
      <c r="J34" s="101">
        <v>0</v>
      </c>
      <c r="K34" s="105">
        <v>2</v>
      </c>
      <c r="L34" s="62">
        <v>3.67</v>
      </c>
      <c r="M34" s="62">
        <v>2</v>
      </c>
      <c r="N34" s="64">
        <v>4.07</v>
      </c>
      <c r="O34" s="62">
        <v>4.07</v>
      </c>
      <c r="P34" s="101">
        <v>2.67</v>
      </c>
      <c r="Q34" s="110"/>
      <c r="R34" s="149">
        <v>59</v>
      </c>
      <c r="S34" s="148">
        <v>59</v>
      </c>
      <c r="T34" s="148">
        <f>R34 - S34</f>
        <v>0</v>
      </c>
    </row>
    <row r="35" spans="3:20" ht="30" customHeight="1" x14ac:dyDescent="0.2">
      <c r="C35" s="114">
        <v>7</v>
      </c>
      <c r="D35" s="50">
        <v>7</v>
      </c>
      <c r="E35" s="116" t="s">
        <v>326</v>
      </c>
      <c r="F35" s="70">
        <v>3</v>
      </c>
      <c r="G35" s="61">
        <v>5.2</v>
      </c>
      <c r="H35" s="61">
        <v>3</v>
      </c>
      <c r="I35" s="64">
        <v>5.8</v>
      </c>
      <c r="J35" s="101">
        <v>2.27</v>
      </c>
      <c r="K35" s="105">
        <v>3</v>
      </c>
      <c r="L35" s="62">
        <v>4.92</v>
      </c>
      <c r="M35" s="62">
        <v>3</v>
      </c>
      <c r="N35" s="64">
        <v>5.52</v>
      </c>
      <c r="O35" s="62">
        <v>11.32</v>
      </c>
      <c r="P35" s="101">
        <v>2.15</v>
      </c>
      <c r="Q35" s="110"/>
      <c r="R35" s="149">
        <v>7</v>
      </c>
      <c r="S35" s="148">
        <v>8</v>
      </c>
      <c r="T35" s="148">
        <f>R35 - S35</f>
        <v>-1</v>
      </c>
    </row>
    <row r="36" spans="3:20" ht="30" customHeight="1" x14ac:dyDescent="0.2">
      <c r="C36" s="114">
        <v>2</v>
      </c>
      <c r="D36" s="63">
        <v>16</v>
      </c>
      <c r="E36" s="116" t="s">
        <v>345</v>
      </c>
      <c r="F36" s="70">
        <v>5</v>
      </c>
      <c r="G36" s="61">
        <v>5.96</v>
      </c>
      <c r="H36" s="61">
        <v>5</v>
      </c>
      <c r="I36" s="64">
        <v>6.96</v>
      </c>
      <c r="J36" s="101">
        <v>2.2000000000000002</v>
      </c>
      <c r="K36" s="105">
        <v>4</v>
      </c>
      <c r="L36" s="62">
        <v>5.48</v>
      </c>
      <c r="M36" s="62">
        <v>4</v>
      </c>
      <c r="N36" s="64">
        <v>6.28</v>
      </c>
      <c r="O36" s="62">
        <v>13.24</v>
      </c>
      <c r="P36" s="101">
        <v>1.89</v>
      </c>
      <c r="Q36" s="110"/>
      <c r="R36" s="149">
        <v>2</v>
      </c>
      <c r="S36" s="148">
        <v>3</v>
      </c>
      <c r="T36" s="148">
        <f>R36 - S36</f>
        <v>-1</v>
      </c>
    </row>
    <row r="37" spans="3:20" ht="30" customHeight="1" x14ac:dyDescent="0.2">
      <c r="C37" s="114">
        <v>28</v>
      </c>
      <c r="D37" s="50">
        <v>27</v>
      </c>
      <c r="E37" s="116" t="s">
        <v>226</v>
      </c>
      <c r="F37" s="70">
        <v>2</v>
      </c>
      <c r="G37" s="61">
        <v>4.0999999999999996</v>
      </c>
      <c r="H37" s="61">
        <v>2</v>
      </c>
      <c r="I37" s="64">
        <v>4.5</v>
      </c>
      <c r="J37" s="101">
        <v>2.29</v>
      </c>
      <c r="K37" s="105">
        <v>2</v>
      </c>
      <c r="L37" s="62">
        <v>3.77</v>
      </c>
      <c r="M37" s="62">
        <v>2</v>
      </c>
      <c r="N37" s="64">
        <v>4.17</v>
      </c>
      <c r="O37" s="62">
        <v>8.67</v>
      </c>
      <c r="P37" s="101">
        <v>2.0299999999999998</v>
      </c>
      <c r="Q37" s="110"/>
      <c r="R37" s="149">
        <v>28</v>
      </c>
      <c r="S37" s="148">
        <v>29</v>
      </c>
      <c r="T37" s="148">
        <f>R37 - S37</f>
        <v>-1</v>
      </c>
    </row>
    <row r="38" spans="3:20" ht="30" customHeight="1" x14ac:dyDescent="0.2">
      <c r="C38" s="114">
        <v>59</v>
      </c>
      <c r="D38" s="63">
        <v>39</v>
      </c>
      <c r="E38" s="116" t="s">
        <v>453</v>
      </c>
      <c r="F38" s="70">
        <v>0</v>
      </c>
      <c r="G38" s="61">
        <v>0</v>
      </c>
      <c r="H38" s="61">
        <v>0</v>
      </c>
      <c r="I38" s="64">
        <v>0</v>
      </c>
      <c r="J38" s="101">
        <v>0</v>
      </c>
      <c r="K38" s="105">
        <v>2</v>
      </c>
      <c r="L38" s="62">
        <v>3.65</v>
      </c>
      <c r="M38" s="62">
        <v>2</v>
      </c>
      <c r="N38" s="64">
        <v>4.05</v>
      </c>
      <c r="O38" s="62">
        <v>4.05</v>
      </c>
      <c r="P38" s="101">
        <v>1.93</v>
      </c>
      <c r="Q38" s="110"/>
      <c r="R38" s="149">
        <v>59</v>
      </c>
      <c r="S38" s="148">
        <v>60</v>
      </c>
      <c r="T38" s="148">
        <f>R38 - S38</f>
        <v>-1</v>
      </c>
    </row>
    <row r="39" spans="3:20" ht="30" customHeight="1" x14ac:dyDescent="0.2">
      <c r="C39" s="114">
        <v>23</v>
      </c>
      <c r="D39" s="50">
        <v>43</v>
      </c>
      <c r="E39" s="116" t="s">
        <v>444</v>
      </c>
      <c r="F39" s="70">
        <v>2</v>
      </c>
      <c r="G39" s="61">
        <v>4.24</v>
      </c>
      <c r="H39" s="61">
        <v>2</v>
      </c>
      <c r="I39" s="64">
        <v>4.6399999999999997</v>
      </c>
      <c r="J39" s="101">
        <v>2.2400000000000002</v>
      </c>
      <c r="K39" s="105">
        <v>2</v>
      </c>
      <c r="L39" s="62">
        <v>4.24</v>
      </c>
      <c r="M39" s="62">
        <v>2</v>
      </c>
      <c r="N39" s="64">
        <v>4.6399999999999997</v>
      </c>
      <c r="O39" s="62">
        <v>9.2799999999999994</v>
      </c>
      <c r="P39" s="101">
        <v>2.14</v>
      </c>
      <c r="Q39" s="110"/>
      <c r="R39" s="149">
        <v>23</v>
      </c>
      <c r="S39" s="148">
        <v>24</v>
      </c>
      <c r="T39" s="148">
        <f>R39 - S39</f>
        <v>-1</v>
      </c>
    </row>
    <row r="40" spans="3:20" ht="30" customHeight="1" x14ac:dyDescent="0.2">
      <c r="C40" s="114">
        <v>46</v>
      </c>
      <c r="D40" s="63">
        <v>58</v>
      </c>
      <c r="E40" s="116" t="s">
        <v>468</v>
      </c>
      <c r="F40" s="70">
        <v>2</v>
      </c>
      <c r="G40" s="61">
        <v>3.46</v>
      </c>
      <c r="H40" s="61">
        <v>2</v>
      </c>
      <c r="I40" s="64">
        <v>3.86</v>
      </c>
      <c r="J40" s="101">
        <v>1.8</v>
      </c>
      <c r="K40" s="105">
        <v>1</v>
      </c>
      <c r="L40" s="62">
        <v>2.25</v>
      </c>
      <c r="M40" s="62">
        <v>1</v>
      </c>
      <c r="N40" s="64">
        <v>2.4500000000000002</v>
      </c>
      <c r="O40" s="62">
        <v>6.31</v>
      </c>
      <c r="P40" s="101">
        <v>2.25</v>
      </c>
      <c r="Q40" s="110"/>
      <c r="R40" s="149">
        <v>46</v>
      </c>
      <c r="S40" s="148">
        <v>47</v>
      </c>
      <c r="T40" s="148">
        <f>R40 - S40</f>
        <v>-1</v>
      </c>
    </row>
    <row r="41" spans="3:20" ht="30" customHeight="1" x14ac:dyDescent="0.2">
      <c r="C41" s="114">
        <v>4</v>
      </c>
      <c r="D41" s="50">
        <v>6</v>
      </c>
      <c r="E41" s="116" t="s">
        <v>459</v>
      </c>
      <c r="F41" s="70">
        <v>4</v>
      </c>
      <c r="G41" s="61">
        <v>5.41</v>
      </c>
      <c r="H41" s="61">
        <v>4</v>
      </c>
      <c r="I41" s="64">
        <v>6.21</v>
      </c>
      <c r="J41" s="101">
        <v>2.11</v>
      </c>
      <c r="K41" s="105">
        <v>2</v>
      </c>
      <c r="L41" s="62">
        <v>4.92</v>
      </c>
      <c r="M41" s="62">
        <v>2</v>
      </c>
      <c r="N41" s="64">
        <v>5.32</v>
      </c>
      <c r="O41" s="62">
        <v>11.53</v>
      </c>
      <c r="P41" s="101">
        <v>2.54</v>
      </c>
      <c r="Q41" s="110"/>
      <c r="R41" s="149">
        <v>4</v>
      </c>
      <c r="S41" s="148">
        <v>7</v>
      </c>
      <c r="T41" s="148">
        <f>R41 - S41</f>
        <v>-3</v>
      </c>
    </row>
    <row r="42" spans="3:20" ht="30" customHeight="1" x14ac:dyDescent="0.2">
      <c r="C42" s="114">
        <v>10</v>
      </c>
      <c r="D42" s="63">
        <v>14</v>
      </c>
      <c r="E42" s="116" t="s">
        <v>253</v>
      </c>
      <c r="F42" s="70">
        <v>3</v>
      </c>
      <c r="G42" s="61">
        <v>4.93</v>
      </c>
      <c r="H42" s="61">
        <v>3</v>
      </c>
      <c r="I42" s="64">
        <v>5.53</v>
      </c>
      <c r="J42" s="101">
        <v>2.0499999999999998</v>
      </c>
      <c r="K42" s="105">
        <v>3</v>
      </c>
      <c r="L42" s="62">
        <v>4.4000000000000004</v>
      </c>
      <c r="M42" s="62">
        <v>3</v>
      </c>
      <c r="N42" s="64">
        <v>5</v>
      </c>
      <c r="O42" s="62">
        <v>10.53</v>
      </c>
      <c r="P42" s="101">
        <v>1.79</v>
      </c>
      <c r="Q42" s="110"/>
      <c r="R42" s="149">
        <v>10</v>
      </c>
      <c r="S42" s="148">
        <v>14</v>
      </c>
      <c r="T42" s="148">
        <f>R42 - S42</f>
        <v>-4</v>
      </c>
    </row>
    <row r="43" spans="3:20" ht="30" customHeight="1" x14ac:dyDescent="0.2">
      <c r="C43" s="114">
        <v>22</v>
      </c>
      <c r="D43" s="50">
        <v>47</v>
      </c>
      <c r="E43" s="116" t="s">
        <v>438</v>
      </c>
      <c r="F43" s="70">
        <v>2</v>
      </c>
      <c r="G43" s="61">
        <v>4.29</v>
      </c>
      <c r="H43" s="61">
        <v>2</v>
      </c>
      <c r="I43" s="64">
        <v>4.6900000000000004</v>
      </c>
      <c r="J43" s="101">
        <v>2.3199999999999998</v>
      </c>
      <c r="K43" s="105">
        <v>2</v>
      </c>
      <c r="L43" s="62">
        <v>3.6</v>
      </c>
      <c r="M43" s="62">
        <v>2</v>
      </c>
      <c r="N43" s="64">
        <v>4</v>
      </c>
      <c r="O43" s="62">
        <v>8.69</v>
      </c>
      <c r="P43" s="101">
        <v>1.81</v>
      </c>
      <c r="Q43" s="110"/>
      <c r="R43" s="149">
        <v>22</v>
      </c>
      <c r="S43" s="148">
        <v>27</v>
      </c>
      <c r="T43" s="148">
        <f>R43 - S43</f>
        <v>-5</v>
      </c>
    </row>
    <row r="44" spans="3:20" ht="30" customHeight="1" x14ac:dyDescent="0.2">
      <c r="C44" s="114">
        <v>59</v>
      </c>
      <c r="D44" s="63">
        <v>53</v>
      </c>
      <c r="E44" s="116" t="s">
        <v>454</v>
      </c>
      <c r="F44" s="70">
        <v>0</v>
      </c>
      <c r="G44" s="61">
        <v>0</v>
      </c>
      <c r="H44" s="61">
        <v>0</v>
      </c>
      <c r="I44" s="64">
        <v>0</v>
      </c>
      <c r="J44" s="101">
        <v>0</v>
      </c>
      <c r="K44" s="105">
        <v>1</v>
      </c>
      <c r="L44" s="62">
        <v>2.25</v>
      </c>
      <c r="M44" s="62">
        <v>1</v>
      </c>
      <c r="N44" s="64">
        <v>2.4500000000000002</v>
      </c>
      <c r="O44" s="62">
        <v>2.4500000000000002</v>
      </c>
      <c r="P44" s="101">
        <v>2.25</v>
      </c>
      <c r="Q44" s="110"/>
      <c r="R44" s="149">
        <v>59</v>
      </c>
      <c r="S44" s="148">
        <v>64</v>
      </c>
      <c r="T44" s="148">
        <f>R44 - S44</f>
        <v>-5</v>
      </c>
    </row>
    <row r="45" spans="3:20" ht="30" customHeight="1" x14ac:dyDescent="0.2">
      <c r="C45" s="114">
        <v>14</v>
      </c>
      <c r="D45" s="50">
        <v>1</v>
      </c>
      <c r="E45" s="116" t="s">
        <v>211</v>
      </c>
      <c r="F45" s="70">
        <v>2</v>
      </c>
      <c r="G45" s="61">
        <v>4.5599999999999996</v>
      </c>
      <c r="H45" s="61">
        <v>2</v>
      </c>
      <c r="I45" s="64">
        <v>4.96</v>
      </c>
      <c r="J45" s="101">
        <v>2.42</v>
      </c>
      <c r="K45" s="105">
        <v>2</v>
      </c>
      <c r="L45" s="62">
        <v>4.1399999999999997</v>
      </c>
      <c r="M45" s="62">
        <v>2</v>
      </c>
      <c r="N45" s="64">
        <v>4.54</v>
      </c>
      <c r="O45" s="62">
        <v>9.5</v>
      </c>
      <c r="P45" s="101">
        <v>2.33</v>
      </c>
      <c r="Q45" s="110"/>
      <c r="R45" s="149">
        <v>14</v>
      </c>
      <c r="S45" s="148">
        <v>21</v>
      </c>
      <c r="T45" s="148">
        <f>R45 - S45</f>
        <v>-7</v>
      </c>
    </row>
    <row r="46" spans="3:20" ht="30" customHeight="1" x14ac:dyDescent="0.2">
      <c r="C46" s="114">
        <v>54</v>
      </c>
      <c r="D46" s="63">
        <v>44</v>
      </c>
      <c r="E46" s="116" t="s">
        <v>370</v>
      </c>
      <c r="F46" s="70">
        <v>1</v>
      </c>
      <c r="G46" s="61">
        <v>1.71</v>
      </c>
      <c r="H46" s="61">
        <v>1</v>
      </c>
      <c r="I46" s="64">
        <v>1.91</v>
      </c>
      <c r="J46" s="101">
        <v>1.71</v>
      </c>
      <c r="K46" s="105">
        <v>1</v>
      </c>
      <c r="L46" s="62">
        <v>1.91</v>
      </c>
      <c r="M46" s="62">
        <v>1</v>
      </c>
      <c r="N46" s="64">
        <v>2.11</v>
      </c>
      <c r="O46" s="62">
        <v>4.0199999999999996</v>
      </c>
      <c r="P46" s="101">
        <v>1.91</v>
      </c>
      <c r="Q46" s="110"/>
      <c r="R46" s="149">
        <v>54</v>
      </c>
      <c r="S46" s="148">
        <v>61</v>
      </c>
      <c r="T46" s="148">
        <f>R46 - S46</f>
        <v>-7</v>
      </c>
    </row>
    <row r="47" spans="3:20" ht="30" customHeight="1" x14ac:dyDescent="0.2">
      <c r="C47" s="114">
        <v>55</v>
      </c>
      <c r="D47" s="50">
        <v>45</v>
      </c>
      <c r="E47" s="116" t="s">
        <v>410</v>
      </c>
      <c r="F47" s="70">
        <v>1</v>
      </c>
      <c r="G47" s="61">
        <v>1.66</v>
      </c>
      <c r="H47" s="61">
        <v>1</v>
      </c>
      <c r="I47" s="64">
        <v>1.86</v>
      </c>
      <c r="J47" s="101">
        <v>1.66</v>
      </c>
      <c r="K47" s="105">
        <v>1</v>
      </c>
      <c r="L47" s="62">
        <v>1.69</v>
      </c>
      <c r="M47" s="62">
        <v>1</v>
      </c>
      <c r="N47" s="64">
        <v>1.89</v>
      </c>
      <c r="O47" s="62">
        <v>3.75</v>
      </c>
      <c r="P47" s="101">
        <v>1.69</v>
      </c>
      <c r="Q47" s="110"/>
      <c r="R47" s="149">
        <v>55</v>
      </c>
      <c r="S47" s="148">
        <v>62</v>
      </c>
      <c r="T47" s="148">
        <f>R47 - S47</f>
        <v>-7</v>
      </c>
    </row>
    <row r="48" spans="3:20" ht="30" customHeight="1" x14ac:dyDescent="0.2">
      <c r="C48" s="114">
        <v>12</v>
      </c>
      <c r="D48" s="63">
        <v>51</v>
      </c>
      <c r="E48" s="116" t="s">
        <v>448</v>
      </c>
      <c r="F48" s="70">
        <v>2</v>
      </c>
      <c r="G48" s="61">
        <v>4.7</v>
      </c>
      <c r="H48" s="61">
        <v>2</v>
      </c>
      <c r="I48" s="64">
        <v>5.0999999999999996</v>
      </c>
      <c r="J48" s="101">
        <v>2.5299999999999998</v>
      </c>
      <c r="K48" s="105">
        <v>2</v>
      </c>
      <c r="L48" s="62">
        <v>4.45</v>
      </c>
      <c r="M48" s="62">
        <v>2</v>
      </c>
      <c r="N48" s="64">
        <v>4.8499999999999996</v>
      </c>
      <c r="O48" s="62">
        <v>9.9499999999999993</v>
      </c>
      <c r="P48" s="101">
        <v>2.38</v>
      </c>
      <c r="Q48" s="110"/>
      <c r="R48" s="149">
        <v>12</v>
      </c>
      <c r="S48" s="148">
        <v>19</v>
      </c>
      <c r="T48" s="148">
        <f>R48 - S48</f>
        <v>-7</v>
      </c>
    </row>
    <row r="49" spans="3:20" ht="30" customHeight="1" x14ac:dyDescent="0.2">
      <c r="C49" s="114">
        <v>3</v>
      </c>
      <c r="D49" s="50">
        <v>25</v>
      </c>
      <c r="E49" s="116" t="s">
        <v>320</v>
      </c>
      <c r="F49" s="70">
        <v>4</v>
      </c>
      <c r="G49" s="61">
        <v>5.54</v>
      </c>
      <c r="H49" s="61">
        <v>4</v>
      </c>
      <c r="I49" s="64">
        <v>6.34</v>
      </c>
      <c r="J49" s="101">
        <v>2.1800000000000002</v>
      </c>
      <c r="K49" s="105">
        <v>2</v>
      </c>
      <c r="L49" s="62">
        <v>4.28</v>
      </c>
      <c r="M49" s="62">
        <v>2</v>
      </c>
      <c r="N49" s="64">
        <v>4.68</v>
      </c>
      <c r="O49" s="62">
        <v>11.02</v>
      </c>
      <c r="P49" s="101">
        <v>2.17</v>
      </c>
      <c r="Q49" s="110"/>
      <c r="R49" s="149">
        <v>3</v>
      </c>
      <c r="S49" s="148">
        <v>11</v>
      </c>
      <c r="T49" s="148">
        <f>R49 - S49</f>
        <v>-8</v>
      </c>
    </row>
    <row r="50" spans="3:20" ht="30" customHeight="1" x14ac:dyDescent="0.2">
      <c r="C50" s="114">
        <v>59</v>
      </c>
      <c r="D50" s="63">
        <v>68</v>
      </c>
      <c r="E50" s="116" t="s">
        <v>392</v>
      </c>
      <c r="F50" s="70">
        <v>0</v>
      </c>
      <c r="G50" s="61">
        <v>0</v>
      </c>
      <c r="H50" s="61">
        <v>0</v>
      </c>
      <c r="I50" s="64">
        <v>0</v>
      </c>
      <c r="J50" s="101">
        <v>0</v>
      </c>
      <c r="K50" s="105">
        <v>0</v>
      </c>
      <c r="L50" s="62">
        <v>0</v>
      </c>
      <c r="M50" s="62">
        <v>0</v>
      </c>
      <c r="N50" s="64">
        <v>0</v>
      </c>
      <c r="O50" s="62">
        <v>0</v>
      </c>
      <c r="P50" s="101">
        <v>0</v>
      </c>
      <c r="Q50" s="110"/>
      <c r="R50" s="149">
        <v>59</v>
      </c>
      <c r="S50" s="148">
        <v>68</v>
      </c>
      <c r="T50" s="148">
        <f>R50 - S50</f>
        <v>-9</v>
      </c>
    </row>
    <row r="51" spans="3:20" ht="30" customHeight="1" x14ac:dyDescent="0.2">
      <c r="C51" s="114">
        <v>59</v>
      </c>
      <c r="D51" s="50">
        <v>69</v>
      </c>
      <c r="E51" s="115" t="s">
        <v>446</v>
      </c>
      <c r="F51" s="70">
        <v>0</v>
      </c>
      <c r="G51" s="61">
        <v>0</v>
      </c>
      <c r="H51" s="61">
        <v>0</v>
      </c>
      <c r="I51" s="64">
        <v>0</v>
      </c>
      <c r="J51" s="101">
        <v>0</v>
      </c>
      <c r="K51" s="105">
        <v>0</v>
      </c>
      <c r="L51" s="62">
        <v>0</v>
      </c>
      <c r="M51" s="62">
        <v>0</v>
      </c>
      <c r="N51" s="64">
        <v>0</v>
      </c>
      <c r="O51" s="62">
        <v>0</v>
      </c>
      <c r="P51" s="101">
        <v>0</v>
      </c>
      <c r="Q51" s="110"/>
      <c r="R51" s="149">
        <v>59</v>
      </c>
      <c r="S51" s="148">
        <v>68</v>
      </c>
      <c r="T51" s="148">
        <f>R51 - S51</f>
        <v>-9</v>
      </c>
    </row>
    <row r="52" spans="3:20" ht="30" customHeight="1" x14ac:dyDescent="0.2">
      <c r="C52" s="114">
        <v>59</v>
      </c>
      <c r="D52" s="63">
        <v>70</v>
      </c>
      <c r="E52" s="116" t="s">
        <v>449</v>
      </c>
      <c r="F52" s="70">
        <v>0</v>
      </c>
      <c r="G52" s="61">
        <v>0</v>
      </c>
      <c r="H52" s="61">
        <v>0</v>
      </c>
      <c r="I52" s="64">
        <v>0</v>
      </c>
      <c r="J52" s="101">
        <v>0</v>
      </c>
      <c r="K52" s="105">
        <v>0</v>
      </c>
      <c r="L52" s="62">
        <v>0</v>
      </c>
      <c r="M52" s="62">
        <v>0</v>
      </c>
      <c r="N52" s="64">
        <v>0</v>
      </c>
      <c r="O52" s="62">
        <v>0</v>
      </c>
      <c r="P52" s="101">
        <v>0</v>
      </c>
      <c r="Q52" s="110"/>
      <c r="R52" s="149">
        <v>59</v>
      </c>
      <c r="S52" s="148">
        <v>68</v>
      </c>
      <c r="T52" s="148">
        <f>R52 - S52</f>
        <v>-9</v>
      </c>
    </row>
    <row r="53" spans="3:20" ht="30" customHeight="1" x14ac:dyDescent="0.2">
      <c r="C53" s="114">
        <v>59</v>
      </c>
      <c r="D53" s="50">
        <v>71</v>
      </c>
      <c r="E53" s="116" t="s">
        <v>452</v>
      </c>
      <c r="F53" s="70">
        <v>0</v>
      </c>
      <c r="G53" s="61">
        <v>0</v>
      </c>
      <c r="H53" s="61">
        <v>0</v>
      </c>
      <c r="I53" s="64">
        <v>0</v>
      </c>
      <c r="J53" s="101">
        <v>0</v>
      </c>
      <c r="K53" s="105">
        <v>0</v>
      </c>
      <c r="L53" s="62">
        <v>0</v>
      </c>
      <c r="M53" s="62">
        <v>0</v>
      </c>
      <c r="N53" s="64">
        <v>0</v>
      </c>
      <c r="O53" s="62">
        <v>0</v>
      </c>
      <c r="P53" s="101">
        <v>0</v>
      </c>
      <c r="Q53" s="110"/>
      <c r="R53" s="149">
        <v>59</v>
      </c>
      <c r="S53" s="148">
        <v>68</v>
      </c>
      <c r="T53" s="148">
        <f>R53 - S53</f>
        <v>-9</v>
      </c>
    </row>
    <row r="54" spans="3:20" ht="30" customHeight="1" x14ac:dyDescent="0.2">
      <c r="C54" s="114">
        <v>59</v>
      </c>
      <c r="D54" s="63">
        <v>72</v>
      </c>
      <c r="E54" s="116" t="s">
        <v>455</v>
      </c>
      <c r="F54" s="70">
        <v>0</v>
      </c>
      <c r="G54" s="61">
        <v>0</v>
      </c>
      <c r="H54" s="61">
        <v>0</v>
      </c>
      <c r="I54" s="64">
        <v>0</v>
      </c>
      <c r="J54" s="101">
        <v>0</v>
      </c>
      <c r="K54" s="105">
        <v>0</v>
      </c>
      <c r="L54" s="62">
        <v>0</v>
      </c>
      <c r="M54" s="62">
        <v>0</v>
      </c>
      <c r="N54" s="64">
        <v>0</v>
      </c>
      <c r="O54" s="62">
        <v>0</v>
      </c>
      <c r="P54" s="101">
        <v>0</v>
      </c>
      <c r="Q54" s="110"/>
      <c r="R54" s="149">
        <v>59</v>
      </c>
      <c r="S54" s="148">
        <v>68</v>
      </c>
      <c r="T54" s="148">
        <f>R54 - S54</f>
        <v>-9</v>
      </c>
    </row>
    <row r="55" spans="3:20" ht="30" customHeight="1" x14ac:dyDescent="0.2">
      <c r="C55" s="114">
        <v>59</v>
      </c>
      <c r="D55" s="50">
        <v>73</v>
      </c>
      <c r="E55" s="115" t="s">
        <v>460</v>
      </c>
      <c r="F55" s="70">
        <v>0</v>
      </c>
      <c r="G55" s="61">
        <v>0</v>
      </c>
      <c r="H55" s="61">
        <v>0</v>
      </c>
      <c r="I55" s="64">
        <v>0</v>
      </c>
      <c r="J55" s="101">
        <v>0</v>
      </c>
      <c r="K55" s="105">
        <v>0</v>
      </c>
      <c r="L55" s="62">
        <v>0</v>
      </c>
      <c r="M55" s="62">
        <v>0</v>
      </c>
      <c r="N55" s="64">
        <v>0</v>
      </c>
      <c r="O55" s="62">
        <v>0</v>
      </c>
      <c r="P55" s="101">
        <v>0</v>
      </c>
      <c r="Q55" s="110"/>
      <c r="R55" s="149">
        <v>59</v>
      </c>
      <c r="S55" s="148">
        <v>68</v>
      </c>
      <c r="T55" s="148">
        <f>R55 - S55</f>
        <v>-9</v>
      </c>
    </row>
    <row r="56" spans="3:20" ht="30" customHeight="1" x14ac:dyDescent="0.2">
      <c r="C56" s="114">
        <v>59</v>
      </c>
      <c r="D56" s="63">
        <v>74</v>
      </c>
      <c r="E56" s="116" t="s">
        <v>469</v>
      </c>
      <c r="F56" s="70">
        <v>0</v>
      </c>
      <c r="G56" s="61">
        <v>0</v>
      </c>
      <c r="H56" s="61">
        <v>0</v>
      </c>
      <c r="I56" s="64">
        <v>0</v>
      </c>
      <c r="J56" s="101">
        <v>0</v>
      </c>
      <c r="K56" s="105">
        <v>0</v>
      </c>
      <c r="L56" s="62">
        <v>0</v>
      </c>
      <c r="M56" s="62">
        <v>0</v>
      </c>
      <c r="N56" s="64">
        <v>0</v>
      </c>
      <c r="O56" s="62">
        <v>0</v>
      </c>
      <c r="P56" s="101">
        <v>0</v>
      </c>
      <c r="Q56" s="110"/>
      <c r="R56" s="149">
        <v>59</v>
      </c>
      <c r="S56" s="148">
        <v>68</v>
      </c>
      <c r="T56" s="148">
        <f>R56 - S56</f>
        <v>-9</v>
      </c>
    </row>
    <row r="57" spans="3:20" ht="30" customHeight="1" x14ac:dyDescent="0.2">
      <c r="C57" s="114">
        <v>59</v>
      </c>
      <c r="D57" s="50">
        <v>75</v>
      </c>
      <c r="E57" s="116" t="s">
        <v>465</v>
      </c>
      <c r="F57" s="70">
        <v>0</v>
      </c>
      <c r="G57" s="61">
        <v>0</v>
      </c>
      <c r="H57" s="61">
        <v>0</v>
      </c>
      <c r="I57" s="64">
        <v>0</v>
      </c>
      <c r="J57" s="101">
        <v>0</v>
      </c>
      <c r="K57" s="105">
        <v>0</v>
      </c>
      <c r="L57" s="62">
        <v>0</v>
      </c>
      <c r="M57" s="62">
        <v>0</v>
      </c>
      <c r="N57" s="64">
        <v>0</v>
      </c>
      <c r="O57" s="62">
        <v>0</v>
      </c>
      <c r="P57" s="101">
        <v>0</v>
      </c>
      <c r="Q57" s="110"/>
      <c r="R57" s="149">
        <v>59</v>
      </c>
      <c r="S57" s="148">
        <v>68</v>
      </c>
      <c r="T57" s="148">
        <f>R57 - S57</f>
        <v>-9</v>
      </c>
    </row>
    <row r="58" spans="3:20" ht="30" customHeight="1" x14ac:dyDescent="0.2">
      <c r="C58" s="114">
        <v>5</v>
      </c>
      <c r="D58" s="63">
        <v>17</v>
      </c>
      <c r="E58" s="116" t="s">
        <v>323</v>
      </c>
      <c r="F58" s="70">
        <v>3</v>
      </c>
      <c r="G58" s="61">
        <v>5.4</v>
      </c>
      <c r="H58" s="61">
        <v>3</v>
      </c>
      <c r="I58" s="64">
        <v>6</v>
      </c>
      <c r="J58" s="101">
        <v>2.35</v>
      </c>
      <c r="K58" s="105">
        <v>2</v>
      </c>
      <c r="L58" s="62">
        <v>4.04</v>
      </c>
      <c r="M58" s="62">
        <v>2</v>
      </c>
      <c r="N58" s="64">
        <v>4.4400000000000004</v>
      </c>
      <c r="O58" s="62">
        <v>10.44</v>
      </c>
      <c r="P58" s="101">
        <v>2.11</v>
      </c>
      <c r="Q58" s="110"/>
      <c r="R58" s="149">
        <v>5</v>
      </c>
      <c r="S58" s="148">
        <v>15</v>
      </c>
      <c r="T58" s="148">
        <f>R58 - S58</f>
        <v>-10</v>
      </c>
    </row>
    <row r="59" spans="3:20" ht="30" customHeight="1" x14ac:dyDescent="0.2">
      <c r="C59" s="70">
        <v>8</v>
      </c>
      <c r="D59" s="50">
        <v>37</v>
      </c>
      <c r="E59" s="116" t="s">
        <v>238</v>
      </c>
      <c r="F59" s="70">
        <v>3</v>
      </c>
      <c r="G59" s="61">
        <v>4.99</v>
      </c>
      <c r="H59" s="61">
        <v>3</v>
      </c>
      <c r="I59" s="64">
        <v>5.59</v>
      </c>
      <c r="J59" s="101">
        <v>2.1</v>
      </c>
      <c r="K59" s="105">
        <v>2</v>
      </c>
      <c r="L59" s="62">
        <v>3.98</v>
      </c>
      <c r="M59" s="62">
        <v>2</v>
      </c>
      <c r="N59" s="64">
        <v>4.38</v>
      </c>
      <c r="O59" s="62">
        <v>9.9700000000000006</v>
      </c>
      <c r="P59" s="101">
        <v>2.0699999999999998</v>
      </c>
      <c r="Q59" s="110"/>
      <c r="R59" s="150">
        <v>8</v>
      </c>
      <c r="S59" s="148">
        <v>18</v>
      </c>
      <c r="T59" s="148">
        <f>R59 - S59</f>
        <v>-10</v>
      </c>
    </row>
    <row r="60" spans="3:20" ht="30" customHeight="1" x14ac:dyDescent="0.2">
      <c r="C60" s="70">
        <v>57</v>
      </c>
      <c r="D60" s="63">
        <v>63</v>
      </c>
      <c r="E60" s="116" t="s">
        <v>308</v>
      </c>
      <c r="F60" s="70">
        <v>1</v>
      </c>
      <c r="G60" s="61">
        <v>1.64</v>
      </c>
      <c r="H60" s="61">
        <v>1</v>
      </c>
      <c r="I60" s="64">
        <v>1.84</v>
      </c>
      <c r="J60" s="101">
        <v>1.64</v>
      </c>
      <c r="K60" s="105">
        <v>0</v>
      </c>
      <c r="L60" s="62">
        <v>0</v>
      </c>
      <c r="M60" s="62">
        <v>0</v>
      </c>
      <c r="N60" s="64">
        <v>0</v>
      </c>
      <c r="O60" s="62">
        <v>1.84</v>
      </c>
      <c r="P60" s="101">
        <v>0</v>
      </c>
      <c r="Q60" s="110"/>
      <c r="R60" s="150">
        <v>57</v>
      </c>
      <c r="S60" s="148">
        <v>67</v>
      </c>
      <c r="T60" s="148">
        <f>R60 - S60</f>
        <v>-10</v>
      </c>
    </row>
    <row r="61" spans="3:20" ht="30" customHeight="1" x14ac:dyDescent="0.2">
      <c r="C61" s="114">
        <v>11</v>
      </c>
      <c r="D61" s="50">
        <v>32</v>
      </c>
      <c r="E61" s="115" t="s">
        <v>297</v>
      </c>
      <c r="F61" s="70">
        <v>2</v>
      </c>
      <c r="G61" s="61">
        <v>4.8600000000000003</v>
      </c>
      <c r="H61" s="61">
        <v>2</v>
      </c>
      <c r="I61" s="64">
        <v>5.26</v>
      </c>
      <c r="J61" s="101">
        <v>2.67</v>
      </c>
      <c r="K61" s="105">
        <v>2</v>
      </c>
      <c r="L61" s="62">
        <v>3.72</v>
      </c>
      <c r="M61" s="62">
        <v>2</v>
      </c>
      <c r="N61" s="64">
        <v>4.12</v>
      </c>
      <c r="O61" s="62">
        <v>9.3800000000000008</v>
      </c>
      <c r="P61" s="101">
        <v>2.02</v>
      </c>
      <c r="Q61" s="110"/>
      <c r="R61" s="149">
        <v>11</v>
      </c>
      <c r="S61" s="148">
        <v>22</v>
      </c>
      <c r="T61" s="148">
        <f>R61 - S61</f>
        <v>-11</v>
      </c>
    </row>
    <row r="62" spans="3:20" ht="30" customHeight="1" x14ac:dyDescent="0.2">
      <c r="C62" s="114">
        <v>24</v>
      </c>
      <c r="D62" s="63">
        <v>48</v>
      </c>
      <c r="E62" s="116" t="s">
        <v>219</v>
      </c>
      <c r="F62" s="70">
        <v>2</v>
      </c>
      <c r="G62" s="61">
        <v>4.1900000000000004</v>
      </c>
      <c r="H62" s="61">
        <v>2</v>
      </c>
      <c r="I62" s="64">
        <v>4.59</v>
      </c>
      <c r="J62" s="101">
        <v>2.37</v>
      </c>
      <c r="K62" s="105">
        <v>2</v>
      </c>
      <c r="L62" s="62">
        <v>2.4300000000000002</v>
      </c>
      <c r="M62" s="62">
        <v>2</v>
      </c>
      <c r="N62" s="64">
        <v>2.83</v>
      </c>
      <c r="O62" s="62">
        <v>7.42</v>
      </c>
      <c r="P62" s="101">
        <v>1.92</v>
      </c>
      <c r="Q62" s="110"/>
      <c r="R62" s="149">
        <v>24</v>
      </c>
      <c r="S62" s="148">
        <v>36</v>
      </c>
      <c r="T62" s="148">
        <f>R62 - S62</f>
        <v>-12</v>
      </c>
    </row>
    <row r="63" spans="3:20" ht="30" customHeight="1" x14ac:dyDescent="0.2">
      <c r="C63" s="70">
        <v>18</v>
      </c>
      <c r="D63" s="50">
        <v>41</v>
      </c>
      <c r="E63" s="115" t="s">
        <v>210</v>
      </c>
      <c r="F63" s="70">
        <v>2</v>
      </c>
      <c r="G63" s="61">
        <v>4.3899999999999997</v>
      </c>
      <c r="H63" s="61">
        <v>2</v>
      </c>
      <c r="I63" s="64">
        <v>4.79</v>
      </c>
      <c r="J63" s="101">
        <v>2.2599999999999998</v>
      </c>
      <c r="K63" s="105">
        <v>3</v>
      </c>
      <c r="L63" s="62">
        <v>3.24</v>
      </c>
      <c r="M63" s="62">
        <v>3</v>
      </c>
      <c r="N63" s="64">
        <v>3.84</v>
      </c>
      <c r="O63" s="62">
        <v>8.6300000000000008</v>
      </c>
      <c r="P63" s="101">
        <v>2.08</v>
      </c>
      <c r="Q63" s="110"/>
      <c r="R63" s="150">
        <v>18</v>
      </c>
      <c r="S63" s="148">
        <v>31</v>
      </c>
      <c r="T63" s="148">
        <f>R63 - S63</f>
        <v>-13</v>
      </c>
    </row>
    <row r="64" spans="3:20" ht="30" customHeight="1" x14ac:dyDescent="0.2">
      <c r="C64" s="114">
        <v>52</v>
      </c>
      <c r="D64" s="63">
        <v>55</v>
      </c>
      <c r="E64" s="116" t="s">
        <v>450</v>
      </c>
      <c r="F64" s="70">
        <v>1</v>
      </c>
      <c r="G64" s="61">
        <v>1.83</v>
      </c>
      <c r="H64" s="61">
        <v>1</v>
      </c>
      <c r="I64" s="64">
        <v>2.0299999999999998</v>
      </c>
      <c r="J64" s="101">
        <v>1.83</v>
      </c>
      <c r="K64" s="105">
        <v>0</v>
      </c>
      <c r="L64" s="62">
        <v>0</v>
      </c>
      <c r="M64" s="62">
        <v>0</v>
      </c>
      <c r="N64" s="64">
        <v>0</v>
      </c>
      <c r="O64" s="62">
        <v>2.0299999999999998</v>
      </c>
      <c r="P64" s="101">
        <v>0</v>
      </c>
      <c r="Q64" s="110"/>
      <c r="R64" s="149">
        <v>52</v>
      </c>
      <c r="S64" s="148">
        <v>65</v>
      </c>
      <c r="T64" s="148">
        <f>R64 - S64</f>
        <v>-13</v>
      </c>
    </row>
    <row r="65" spans="3:20" ht="30" customHeight="1" x14ac:dyDescent="0.2">
      <c r="C65" s="114">
        <v>53</v>
      </c>
      <c r="D65" s="50">
        <v>59</v>
      </c>
      <c r="E65" s="116" t="s">
        <v>470</v>
      </c>
      <c r="F65" s="70">
        <v>1</v>
      </c>
      <c r="G65" s="61">
        <v>1.78</v>
      </c>
      <c r="H65" s="61">
        <v>1</v>
      </c>
      <c r="I65" s="64">
        <v>1.98</v>
      </c>
      <c r="J65" s="101">
        <v>1.78</v>
      </c>
      <c r="K65" s="105">
        <v>0</v>
      </c>
      <c r="L65" s="62">
        <v>0</v>
      </c>
      <c r="M65" s="62">
        <v>0</v>
      </c>
      <c r="N65" s="64">
        <v>0</v>
      </c>
      <c r="O65" s="62">
        <v>1.98</v>
      </c>
      <c r="P65" s="101">
        <v>0</v>
      </c>
      <c r="Q65" s="110" t="s">
        <v>473</v>
      </c>
      <c r="R65" s="149">
        <v>53</v>
      </c>
      <c r="S65" s="148">
        <v>66</v>
      </c>
      <c r="T65" s="148">
        <f>R65 - S65</f>
        <v>-13</v>
      </c>
    </row>
    <row r="66" spans="3:20" ht="30" customHeight="1" x14ac:dyDescent="0.2">
      <c r="C66" s="114">
        <v>25</v>
      </c>
      <c r="D66" s="63">
        <v>49</v>
      </c>
      <c r="E66" s="116" t="s">
        <v>471</v>
      </c>
      <c r="F66" s="70">
        <v>2</v>
      </c>
      <c r="G66" s="61">
        <v>4.1399999999999997</v>
      </c>
      <c r="H66" s="61">
        <v>2</v>
      </c>
      <c r="I66" s="64">
        <v>4.54</v>
      </c>
      <c r="J66" s="101">
        <v>2.2799999999999998</v>
      </c>
      <c r="K66" s="105">
        <v>1</v>
      </c>
      <c r="L66" s="62">
        <v>2.4300000000000002</v>
      </c>
      <c r="M66" s="62">
        <v>1</v>
      </c>
      <c r="N66" s="64">
        <v>2.63</v>
      </c>
      <c r="O66" s="62">
        <v>7.17</v>
      </c>
      <c r="P66" s="101">
        <v>2.4300000000000002</v>
      </c>
      <c r="Q66" s="110"/>
      <c r="R66" s="149">
        <v>25</v>
      </c>
      <c r="S66" s="148">
        <v>39</v>
      </c>
      <c r="T66" s="148">
        <f>R66 - S66</f>
        <v>-14</v>
      </c>
    </row>
    <row r="67" spans="3:20" ht="30" customHeight="1" x14ac:dyDescent="0.2">
      <c r="C67" s="114">
        <v>30</v>
      </c>
      <c r="D67" s="50">
        <v>18</v>
      </c>
      <c r="E67" s="116" t="s">
        <v>461</v>
      </c>
      <c r="F67" s="70">
        <v>2</v>
      </c>
      <c r="G67" s="61">
        <v>4.0599999999999996</v>
      </c>
      <c r="H67" s="61">
        <v>2</v>
      </c>
      <c r="I67" s="64">
        <v>4.46</v>
      </c>
      <c r="J67" s="101">
        <v>2.13</v>
      </c>
      <c r="K67" s="105">
        <v>1</v>
      </c>
      <c r="L67" s="62">
        <v>2</v>
      </c>
      <c r="M67" s="62">
        <v>1</v>
      </c>
      <c r="N67" s="64">
        <v>2.2000000000000002</v>
      </c>
      <c r="O67" s="62">
        <v>6.66</v>
      </c>
      <c r="P67" s="101">
        <v>2</v>
      </c>
      <c r="Q67" s="110"/>
      <c r="R67" s="149">
        <v>30</v>
      </c>
      <c r="S67" s="148">
        <v>45</v>
      </c>
      <c r="T67" s="148">
        <f>R67 - S67</f>
        <v>-15</v>
      </c>
    </row>
    <row r="68" spans="3:20" ht="30" customHeight="1" x14ac:dyDescent="0.2">
      <c r="C68" s="114">
        <v>29</v>
      </c>
      <c r="D68" s="63">
        <v>21</v>
      </c>
      <c r="E68" s="116" t="s">
        <v>458</v>
      </c>
      <c r="F68" s="70">
        <v>2</v>
      </c>
      <c r="G68" s="61">
        <v>4.0999999999999996</v>
      </c>
      <c r="H68" s="61">
        <v>2</v>
      </c>
      <c r="I68" s="64">
        <v>4.5</v>
      </c>
      <c r="J68" s="101">
        <v>2.1</v>
      </c>
      <c r="K68" s="105">
        <v>1</v>
      </c>
      <c r="L68" s="62">
        <v>2.04</v>
      </c>
      <c r="M68" s="62">
        <v>1</v>
      </c>
      <c r="N68" s="64">
        <v>2.2400000000000002</v>
      </c>
      <c r="O68" s="62">
        <v>6.74</v>
      </c>
      <c r="P68" s="101">
        <v>2.04</v>
      </c>
      <c r="Q68" s="110"/>
      <c r="R68" s="149">
        <v>29</v>
      </c>
      <c r="S68" s="148">
        <v>44</v>
      </c>
      <c r="T68" s="148">
        <f>R68 - S68</f>
        <v>-15</v>
      </c>
    </row>
    <row r="69" spans="3:20" ht="30" customHeight="1" x14ac:dyDescent="0.2">
      <c r="C69" s="114">
        <v>47</v>
      </c>
      <c r="D69" s="50">
        <v>52</v>
      </c>
      <c r="E69" s="116" t="s">
        <v>467</v>
      </c>
      <c r="F69" s="70">
        <v>1</v>
      </c>
      <c r="G69" s="61">
        <v>2.46</v>
      </c>
      <c r="H69" s="61">
        <v>1</v>
      </c>
      <c r="I69" s="64">
        <v>2.66</v>
      </c>
      <c r="J69" s="101">
        <v>2.46</v>
      </c>
      <c r="K69" s="105">
        <v>0</v>
      </c>
      <c r="L69" s="62">
        <v>0</v>
      </c>
      <c r="M69" s="62">
        <v>0</v>
      </c>
      <c r="N69" s="64">
        <v>0</v>
      </c>
      <c r="O69" s="62">
        <v>2.66</v>
      </c>
      <c r="P69" s="101">
        <v>0</v>
      </c>
      <c r="Q69" s="110"/>
      <c r="R69" s="149">
        <v>47</v>
      </c>
      <c r="S69" s="148">
        <v>63</v>
      </c>
      <c r="T69" s="148">
        <f>R69 - S69</f>
        <v>-16</v>
      </c>
    </row>
    <row r="70" spans="3:20" ht="30" customHeight="1" x14ac:dyDescent="0.2">
      <c r="C70" s="114">
        <v>16</v>
      </c>
      <c r="D70" s="63">
        <v>23</v>
      </c>
      <c r="E70" s="116" t="s">
        <v>310</v>
      </c>
      <c r="F70" s="70">
        <v>2</v>
      </c>
      <c r="G70" s="61">
        <v>4.45</v>
      </c>
      <c r="H70" s="61">
        <v>2</v>
      </c>
      <c r="I70" s="64">
        <v>4.8499999999999996</v>
      </c>
      <c r="J70" s="101">
        <v>2.2400000000000002</v>
      </c>
      <c r="K70" s="105">
        <v>2</v>
      </c>
      <c r="L70" s="62">
        <v>2.7</v>
      </c>
      <c r="M70" s="62">
        <v>2</v>
      </c>
      <c r="N70" s="64">
        <v>3.1</v>
      </c>
      <c r="O70" s="62">
        <v>7.95</v>
      </c>
      <c r="P70" s="101">
        <v>2.0699999999999998</v>
      </c>
      <c r="Q70" s="110"/>
      <c r="R70" s="149">
        <v>16</v>
      </c>
      <c r="S70" s="148">
        <v>34</v>
      </c>
      <c r="T70" s="148">
        <f>R70 - S70</f>
        <v>-18</v>
      </c>
    </row>
    <row r="71" spans="3:20" ht="30" customHeight="1" x14ac:dyDescent="0.2">
      <c r="C71" s="114">
        <v>38</v>
      </c>
      <c r="D71" s="50">
        <v>50</v>
      </c>
      <c r="E71" s="116" t="s">
        <v>464</v>
      </c>
      <c r="F71" s="70">
        <v>2</v>
      </c>
      <c r="G71" s="61">
        <v>3.7</v>
      </c>
      <c r="H71" s="61">
        <v>2</v>
      </c>
      <c r="I71" s="64">
        <v>4.0999999999999996</v>
      </c>
      <c r="J71" s="101">
        <v>2.04</v>
      </c>
      <c r="K71" s="105">
        <v>0</v>
      </c>
      <c r="L71" s="62">
        <v>0</v>
      </c>
      <c r="M71" s="62">
        <v>0</v>
      </c>
      <c r="N71" s="64">
        <v>0</v>
      </c>
      <c r="O71" s="62">
        <v>4.0999999999999996</v>
      </c>
      <c r="P71" s="101">
        <v>0</v>
      </c>
      <c r="Q71" s="110"/>
      <c r="R71" s="149">
        <v>38</v>
      </c>
      <c r="S71" s="148">
        <v>58</v>
      </c>
      <c r="T71" s="148">
        <f>R71 - S71</f>
        <v>-20</v>
      </c>
    </row>
    <row r="72" spans="3:20" ht="30" customHeight="1" x14ac:dyDescent="0.2">
      <c r="C72" s="114">
        <v>37</v>
      </c>
      <c r="D72" s="63">
        <v>67</v>
      </c>
      <c r="E72" s="116" t="s">
        <v>451</v>
      </c>
      <c r="F72" s="70">
        <v>2</v>
      </c>
      <c r="G72" s="61">
        <v>3.72</v>
      </c>
      <c r="H72" s="61">
        <v>2</v>
      </c>
      <c r="I72" s="64">
        <v>4.12</v>
      </c>
      <c r="J72" s="101">
        <v>2</v>
      </c>
      <c r="K72" s="105">
        <v>0</v>
      </c>
      <c r="L72" s="62">
        <v>0</v>
      </c>
      <c r="M72" s="62">
        <v>0</v>
      </c>
      <c r="N72" s="64">
        <v>0</v>
      </c>
      <c r="O72" s="62">
        <v>4.12</v>
      </c>
      <c r="P72" s="101">
        <v>0</v>
      </c>
      <c r="Q72" s="110"/>
      <c r="R72" s="149">
        <v>37</v>
      </c>
      <c r="S72" s="148">
        <v>57</v>
      </c>
      <c r="T72" s="148">
        <f>R72 - S72</f>
        <v>-20</v>
      </c>
    </row>
    <row r="73" spans="3:20" ht="30" customHeight="1" x14ac:dyDescent="0.2">
      <c r="C73" s="114">
        <v>20</v>
      </c>
      <c r="D73" s="50">
        <v>11</v>
      </c>
      <c r="E73" s="116" t="s">
        <v>284</v>
      </c>
      <c r="F73" s="70">
        <v>2</v>
      </c>
      <c r="G73" s="61">
        <v>4.3099999999999996</v>
      </c>
      <c r="H73" s="61">
        <v>2</v>
      </c>
      <c r="I73" s="64">
        <v>4.71</v>
      </c>
      <c r="J73" s="101">
        <v>2.1</v>
      </c>
      <c r="K73" s="105">
        <v>1</v>
      </c>
      <c r="L73" s="62">
        <v>2.1800000000000002</v>
      </c>
      <c r="M73" s="62">
        <v>1</v>
      </c>
      <c r="N73" s="64">
        <v>2.38</v>
      </c>
      <c r="O73" s="62">
        <v>7.09</v>
      </c>
      <c r="P73" s="101">
        <v>2.1800000000000002</v>
      </c>
      <c r="Q73" s="110"/>
      <c r="R73" s="149">
        <v>20</v>
      </c>
      <c r="S73" s="148">
        <v>41</v>
      </c>
      <c r="T73" s="148">
        <f>R73 - S73</f>
        <v>-21</v>
      </c>
    </row>
    <row r="74" spans="3:20" ht="30" customHeight="1" x14ac:dyDescent="0.2">
      <c r="C74" s="114">
        <v>31</v>
      </c>
      <c r="D74" s="63">
        <v>54</v>
      </c>
      <c r="E74" s="116" t="s">
        <v>404</v>
      </c>
      <c r="F74" s="70">
        <v>2</v>
      </c>
      <c r="G74" s="61">
        <v>4.0149999999999997</v>
      </c>
      <c r="H74" s="61">
        <v>2</v>
      </c>
      <c r="I74" s="64">
        <v>4.41</v>
      </c>
      <c r="J74" s="101">
        <v>2.2000000000000002</v>
      </c>
      <c r="K74" s="105">
        <v>0</v>
      </c>
      <c r="L74" s="62">
        <v>0</v>
      </c>
      <c r="M74" s="62">
        <v>0</v>
      </c>
      <c r="N74" s="64">
        <v>0</v>
      </c>
      <c r="O74" s="62">
        <v>4.41</v>
      </c>
      <c r="P74" s="101">
        <v>0</v>
      </c>
      <c r="Q74" s="110"/>
      <c r="R74" s="149">
        <v>31</v>
      </c>
      <c r="S74" s="148">
        <v>53</v>
      </c>
      <c r="T74" s="148">
        <f>R74 - S74</f>
        <v>-22</v>
      </c>
    </row>
    <row r="75" spans="3:20" ht="30" customHeight="1" x14ac:dyDescent="0.2">
      <c r="C75" s="114">
        <v>32</v>
      </c>
      <c r="D75" s="50">
        <v>66</v>
      </c>
      <c r="E75" s="116" t="s">
        <v>411</v>
      </c>
      <c r="F75" s="70">
        <v>2</v>
      </c>
      <c r="G75" s="61">
        <v>4.01</v>
      </c>
      <c r="H75" s="61">
        <v>2</v>
      </c>
      <c r="I75" s="64">
        <v>4.41</v>
      </c>
      <c r="J75" s="101">
        <v>2.11</v>
      </c>
      <c r="K75" s="105">
        <v>0</v>
      </c>
      <c r="L75" s="62">
        <v>0</v>
      </c>
      <c r="M75" s="62">
        <v>0</v>
      </c>
      <c r="N75" s="64">
        <v>0</v>
      </c>
      <c r="O75" s="62">
        <v>4.41</v>
      </c>
      <c r="P75" s="101">
        <v>0</v>
      </c>
      <c r="Q75" s="110"/>
      <c r="R75" s="149">
        <v>32</v>
      </c>
      <c r="S75" s="148">
        <v>54</v>
      </c>
      <c r="T75" s="148">
        <f>R75 - S75</f>
        <v>-22</v>
      </c>
    </row>
    <row r="76" spans="3:20" ht="30" customHeight="1" x14ac:dyDescent="0.2">
      <c r="C76" s="114">
        <v>6</v>
      </c>
      <c r="D76" s="63">
        <v>35</v>
      </c>
      <c r="E76" s="116" t="s">
        <v>391</v>
      </c>
      <c r="F76" s="70">
        <v>4</v>
      </c>
      <c r="G76" s="61">
        <v>5.05</v>
      </c>
      <c r="H76" s="61">
        <v>4</v>
      </c>
      <c r="I76" s="64">
        <v>5.85</v>
      </c>
      <c r="J76" s="101">
        <v>1.79</v>
      </c>
      <c r="K76" s="105">
        <v>2</v>
      </c>
      <c r="L76" s="62">
        <v>2.41</v>
      </c>
      <c r="M76" s="62">
        <v>2</v>
      </c>
      <c r="N76" s="64">
        <v>2.81</v>
      </c>
      <c r="O76" s="62">
        <v>8.66</v>
      </c>
      <c r="P76" s="101">
        <v>1.63</v>
      </c>
      <c r="Q76" s="110"/>
      <c r="R76" s="149">
        <v>6</v>
      </c>
      <c r="S76" s="148">
        <v>30</v>
      </c>
      <c r="T76" s="148">
        <f>R76 - S76</f>
        <v>-24</v>
      </c>
    </row>
    <row r="77" spans="3:20" ht="30" customHeight="1" x14ac:dyDescent="0.2">
      <c r="C77" s="114">
        <v>27</v>
      </c>
      <c r="D77" s="50">
        <v>65</v>
      </c>
      <c r="E77" s="116" t="s">
        <v>386</v>
      </c>
      <c r="F77" s="70">
        <v>2</v>
      </c>
      <c r="G77" s="61">
        <v>4.1100000000000003</v>
      </c>
      <c r="H77" s="61">
        <v>2</v>
      </c>
      <c r="I77" s="64">
        <v>4.51</v>
      </c>
      <c r="J77" s="101">
        <v>2.23</v>
      </c>
      <c r="K77" s="105">
        <v>0</v>
      </c>
      <c r="L77" s="62">
        <v>0</v>
      </c>
      <c r="M77" s="62">
        <v>0</v>
      </c>
      <c r="N77" s="64">
        <v>0</v>
      </c>
      <c r="O77" s="62">
        <v>4.51</v>
      </c>
      <c r="P77" s="101">
        <v>0</v>
      </c>
      <c r="Q77" s="110"/>
      <c r="R77" s="149">
        <v>27</v>
      </c>
      <c r="S77" s="148">
        <v>52</v>
      </c>
      <c r="T77" s="148">
        <f>R77 - S77</f>
        <v>-25</v>
      </c>
    </row>
    <row r="78" spans="3:20" ht="30" customHeight="1" thickBot="1" x14ac:dyDescent="0.25">
      <c r="C78" s="114"/>
      <c r="D78" s="63"/>
      <c r="E78" s="116"/>
      <c r="F78" s="70"/>
      <c r="G78" s="61"/>
      <c r="H78" s="61"/>
      <c r="I78" s="64"/>
      <c r="J78" s="101"/>
      <c r="K78" s="105"/>
      <c r="L78" s="62"/>
      <c r="M78" s="62"/>
      <c r="N78" s="64"/>
      <c r="O78" s="62"/>
      <c r="P78" s="101"/>
      <c r="Q78" s="111"/>
      <c r="R78" s="151"/>
      <c r="S78" s="148"/>
      <c r="T78" s="148"/>
    </row>
    <row r="79" spans="3:20" ht="30" customHeight="1" x14ac:dyDescent="0.2">
      <c r="C79" s="114"/>
      <c r="D79" s="63"/>
      <c r="E79" s="116"/>
      <c r="F79" s="70"/>
      <c r="G79" s="61"/>
      <c r="H79" s="61"/>
      <c r="I79" s="64"/>
      <c r="J79" s="101"/>
      <c r="K79" s="105"/>
      <c r="L79" s="62"/>
      <c r="M79" s="62"/>
      <c r="N79" s="64"/>
      <c r="O79" s="62"/>
      <c r="P79" s="101"/>
      <c r="Q79" s="31"/>
      <c r="R79" s="175"/>
      <c r="S79" s="148"/>
      <c r="T79" s="148"/>
    </row>
    <row r="80" spans="3:20" ht="30" customHeight="1" x14ac:dyDescent="0.2">
      <c r="C80" s="61"/>
      <c r="D80" s="63"/>
      <c r="E80" s="62"/>
      <c r="F80" s="61"/>
      <c r="G80" s="61"/>
      <c r="H80" s="61"/>
      <c r="I80" s="64"/>
      <c r="J80" s="65"/>
      <c r="K80" s="62"/>
      <c r="L80" s="62"/>
      <c r="M80" s="62"/>
      <c r="N80" s="64"/>
      <c r="O80" s="62"/>
      <c r="P80" s="65"/>
      <c r="Q80" s="27"/>
      <c r="R80" s="152"/>
      <c r="S80" s="148"/>
      <c r="T80" s="148"/>
    </row>
    <row r="81" spans="3:20" ht="30" customHeight="1" x14ac:dyDescent="0.2">
      <c r="C81" s="61"/>
      <c r="D81" s="63"/>
      <c r="E81" s="62"/>
      <c r="F81" s="61"/>
      <c r="G81" s="61"/>
      <c r="H81" s="61"/>
      <c r="I81" s="64"/>
      <c r="J81" s="65"/>
      <c r="K81" s="62"/>
      <c r="L81" s="62"/>
      <c r="M81" s="62"/>
      <c r="N81" s="64"/>
      <c r="O81" s="62"/>
      <c r="P81" s="65"/>
      <c r="Q81" s="27"/>
      <c r="R81" s="152"/>
      <c r="S81" s="148"/>
      <c r="T81" s="148"/>
    </row>
    <row r="82" spans="3:20" ht="30" customHeight="1" x14ac:dyDescent="0.2">
      <c r="C82" s="61"/>
      <c r="D82" s="63"/>
      <c r="E82" s="62"/>
      <c r="F82" s="61"/>
      <c r="G82" s="61"/>
      <c r="H82" s="61"/>
      <c r="I82" s="64"/>
      <c r="J82" s="65"/>
      <c r="K82" s="62"/>
      <c r="L82" s="62"/>
      <c r="M82" s="62"/>
      <c r="N82" s="64"/>
      <c r="O82" s="62"/>
      <c r="P82" s="65"/>
      <c r="Q82" s="27"/>
      <c r="R82" s="152"/>
      <c r="S82" s="148"/>
      <c r="T82" s="148"/>
    </row>
    <row r="83" spans="3:20" ht="30" customHeight="1" x14ac:dyDescent="0.2">
      <c r="C83" s="61"/>
      <c r="D83" s="63"/>
      <c r="E83" s="62"/>
      <c r="F83" s="61"/>
      <c r="G83" s="61"/>
      <c r="H83" s="61"/>
      <c r="I83" s="64"/>
      <c r="J83" s="65"/>
      <c r="K83" s="62"/>
      <c r="L83" s="62"/>
      <c r="M83" s="62"/>
      <c r="N83" s="64"/>
      <c r="O83" s="62"/>
      <c r="P83" s="65"/>
      <c r="Q83" s="27"/>
      <c r="R83" s="152"/>
    </row>
    <row r="84" spans="3:20" ht="30" customHeight="1" x14ac:dyDescent="0.2">
      <c r="C84" s="61"/>
      <c r="D84" s="63"/>
      <c r="E84" s="62"/>
      <c r="F84" s="61"/>
      <c r="G84" s="61"/>
      <c r="H84" s="61"/>
      <c r="I84" s="64"/>
      <c r="J84" s="65"/>
      <c r="K84" s="62"/>
      <c r="L84" s="62"/>
      <c r="M84" s="62"/>
      <c r="N84" s="64"/>
      <c r="O84" s="62"/>
      <c r="P84" s="65"/>
      <c r="Q84" s="27"/>
      <c r="R84" s="152"/>
    </row>
    <row r="85" spans="3:20" ht="30" customHeight="1" x14ac:dyDescent="0.2">
      <c r="C85" s="61"/>
      <c r="D85" s="63"/>
      <c r="E85" s="62"/>
      <c r="F85" s="61"/>
      <c r="G85" s="61"/>
      <c r="H85" s="61"/>
      <c r="I85" s="64"/>
      <c r="J85" s="65"/>
      <c r="K85" s="62"/>
      <c r="L85" s="62"/>
      <c r="M85" s="62"/>
      <c r="N85" s="64"/>
      <c r="O85" s="62"/>
      <c r="P85" s="65"/>
      <c r="Q85" s="27"/>
      <c r="R85" s="152"/>
    </row>
    <row r="86" spans="3:20" ht="30" customHeight="1" x14ac:dyDescent="0.2">
      <c r="C86" s="114"/>
      <c r="D86" s="63"/>
      <c r="E86" s="116"/>
      <c r="F86" s="70"/>
      <c r="G86" s="61"/>
      <c r="H86" s="61"/>
      <c r="I86" s="64"/>
      <c r="J86" s="101"/>
      <c r="K86" s="105"/>
      <c r="L86" s="62"/>
      <c r="M86" s="62"/>
      <c r="N86" s="64"/>
      <c r="O86" s="62"/>
      <c r="P86" s="101"/>
      <c r="Q86" s="110"/>
      <c r="R86" s="149"/>
    </row>
    <row r="87" spans="3:20" ht="30" customHeight="1" x14ac:dyDescent="0.2">
      <c r="C87" s="114"/>
      <c r="D87" s="63"/>
      <c r="E87" s="116"/>
      <c r="F87" s="70"/>
      <c r="G87" s="61"/>
      <c r="H87" s="61"/>
      <c r="I87" s="64"/>
      <c r="J87" s="101"/>
      <c r="K87" s="105"/>
      <c r="L87" s="62"/>
      <c r="M87" s="62"/>
      <c r="N87" s="64"/>
      <c r="O87" s="62"/>
      <c r="P87" s="101"/>
      <c r="Q87" s="110"/>
      <c r="R87" s="149"/>
    </row>
    <row r="88" spans="3:20" ht="30" customHeight="1" x14ac:dyDescent="0.2">
      <c r="C88" s="114"/>
      <c r="D88" s="63"/>
      <c r="E88" s="116"/>
      <c r="F88" s="70"/>
      <c r="G88" s="61"/>
      <c r="H88" s="61"/>
      <c r="I88" s="64"/>
      <c r="J88" s="101"/>
      <c r="K88" s="105"/>
      <c r="L88" s="62"/>
      <c r="M88" s="62"/>
      <c r="N88" s="64"/>
      <c r="O88" s="62"/>
      <c r="P88" s="101"/>
      <c r="Q88" s="110"/>
      <c r="R88" s="149"/>
    </row>
    <row r="89" spans="3:20" ht="30" customHeight="1" x14ac:dyDescent="0.2">
      <c r="C89" s="114"/>
      <c r="D89" s="63"/>
      <c r="E89" s="116"/>
      <c r="F89" s="70"/>
      <c r="G89" s="61"/>
      <c r="H89" s="61"/>
      <c r="I89" s="64"/>
      <c r="J89" s="101"/>
      <c r="K89" s="105"/>
      <c r="L89" s="62"/>
      <c r="M89" s="62"/>
      <c r="N89" s="64"/>
      <c r="O89" s="62"/>
      <c r="P89" s="101"/>
      <c r="Q89" s="110"/>
      <c r="R89" s="149"/>
    </row>
    <row r="90" spans="3:20" ht="30" customHeight="1" x14ac:dyDescent="0.2">
      <c r="C90" s="114"/>
      <c r="D90" s="63"/>
      <c r="E90" s="116"/>
      <c r="F90" s="70"/>
      <c r="G90" s="61"/>
      <c r="H90" s="61"/>
      <c r="I90" s="64"/>
      <c r="J90" s="101"/>
      <c r="K90" s="105"/>
      <c r="L90" s="62"/>
      <c r="M90" s="62"/>
      <c r="N90" s="64"/>
      <c r="O90" s="62"/>
      <c r="P90" s="101"/>
      <c r="Q90" s="110"/>
      <c r="R90" s="149"/>
    </row>
    <row r="91" spans="3:20" ht="30" customHeight="1" x14ac:dyDescent="0.2">
      <c r="C91" s="114"/>
      <c r="D91" s="63"/>
      <c r="E91" s="116"/>
      <c r="F91" s="70"/>
      <c r="G91" s="61"/>
      <c r="H91" s="61"/>
      <c r="I91" s="64"/>
      <c r="J91" s="101"/>
      <c r="K91" s="105"/>
      <c r="L91" s="62"/>
      <c r="M91" s="62"/>
      <c r="N91" s="64"/>
      <c r="O91" s="62"/>
      <c r="P91" s="101"/>
      <c r="Q91" s="110"/>
      <c r="R91" s="149"/>
    </row>
    <row r="92" spans="3:20" ht="30" customHeight="1" x14ac:dyDescent="0.2">
      <c r="C92" s="114"/>
      <c r="D92" s="63"/>
      <c r="E92" s="116"/>
      <c r="F92" s="70"/>
      <c r="G92" s="61"/>
      <c r="H92" s="61"/>
      <c r="I92" s="64"/>
      <c r="J92" s="101"/>
      <c r="K92" s="105"/>
      <c r="L92" s="62"/>
      <c r="M92" s="62"/>
      <c r="N92" s="64"/>
      <c r="O92" s="62"/>
      <c r="P92" s="101"/>
      <c r="Q92" s="110"/>
      <c r="R92" s="149"/>
    </row>
    <row r="93" spans="3:20" ht="30" customHeight="1" x14ac:dyDescent="0.2">
      <c r="C93" s="114"/>
      <c r="D93" s="63"/>
      <c r="E93" s="116"/>
      <c r="F93" s="70"/>
      <c r="G93" s="61"/>
      <c r="H93" s="61"/>
      <c r="I93" s="64"/>
      <c r="J93" s="101"/>
      <c r="K93" s="105"/>
      <c r="L93" s="62"/>
      <c r="M93" s="62"/>
      <c r="N93" s="64"/>
      <c r="O93" s="62"/>
      <c r="P93" s="101"/>
      <c r="Q93" s="110"/>
      <c r="R93" s="149"/>
    </row>
    <row r="94" spans="3:20" ht="30" customHeight="1" x14ac:dyDescent="0.2">
      <c r="C94" s="114"/>
      <c r="D94" s="63"/>
      <c r="E94" s="116"/>
      <c r="F94" s="70"/>
      <c r="G94" s="61"/>
      <c r="H94" s="61"/>
      <c r="I94" s="64"/>
      <c r="J94" s="101"/>
      <c r="K94" s="105"/>
      <c r="L94" s="62"/>
      <c r="M94" s="62"/>
      <c r="N94" s="64"/>
      <c r="O94" s="62"/>
      <c r="P94" s="101"/>
      <c r="Q94" s="110"/>
      <c r="R94" s="149"/>
    </row>
    <row r="95" spans="3:20" ht="30" customHeight="1" x14ac:dyDescent="0.2">
      <c r="C95" s="114"/>
      <c r="D95" s="63"/>
      <c r="E95" s="116"/>
      <c r="F95" s="70"/>
      <c r="G95" s="61"/>
      <c r="H95" s="61"/>
      <c r="I95" s="64"/>
      <c r="J95" s="101"/>
      <c r="K95" s="105"/>
      <c r="L95" s="62"/>
      <c r="M95" s="62"/>
      <c r="N95" s="64"/>
      <c r="O95" s="62"/>
      <c r="P95" s="101"/>
      <c r="Q95" s="110"/>
      <c r="R95" s="149"/>
    </row>
    <row r="96" spans="3:20" ht="30" customHeight="1" x14ac:dyDescent="0.2">
      <c r="C96" s="114"/>
      <c r="D96" s="63"/>
      <c r="E96" s="116"/>
      <c r="F96" s="70"/>
      <c r="G96" s="61"/>
      <c r="H96" s="61"/>
      <c r="I96" s="64"/>
      <c r="J96" s="101"/>
      <c r="K96" s="105"/>
      <c r="L96" s="62"/>
      <c r="M96" s="62"/>
      <c r="N96" s="64"/>
      <c r="O96" s="62"/>
      <c r="P96" s="101"/>
      <c r="Q96" s="110"/>
      <c r="R96" s="149"/>
    </row>
    <row r="97" spans="3:18" ht="30" customHeight="1" x14ac:dyDescent="0.2">
      <c r="C97" s="114"/>
      <c r="D97" s="63"/>
      <c r="E97" s="116"/>
      <c r="F97" s="70"/>
      <c r="G97" s="61"/>
      <c r="H97" s="61"/>
      <c r="I97" s="64"/>
      <c r="J97" s="101"/>
      <c r="K97" s="105"/>
      <c r="L97" s="62"/>
      <c r="M97" s="62"/>
      <c r="N97" s="64"/>
      <c r="O97" s="62"/>
      <c r="P97" s="101"/>
      <c r="Q97" s="110"/>
      <c r="R97" s="149"/>
    </row>
    <row r="98" spans="3:18" ht="30" customHeight="1" x14ac:dyDescent="0.2">
      <c r="C98" s="114"/>
      <c r="D98" s="63"/>
      <c r="E98" s="116"/>
      <c r="F98" s="70"/>
      <c r="G98" s="61"/>
      <c r="H98" s="61"/>
      <c r="I98" s="64"/>
      <c r="J98" s="101"/>
      <c r="K98" s="105"/>
      <c r="L98" s="62"/>
      <c r="M98" s="62"/>
      <c r="N98" s="64"/>
      <c r="O98" s="62"/>
      <c r="P98" s="101"/>
      <c r="Q98" s="110"/>
      <c r="R98" s="149"/>
    </row>
    <row r="99" spans="3:18" ht="30" customHeight="1" x14ac:dyDescent="0.2">
      <c r="C99" s="114"/>
      <c r="D99" s="63"/>
      <c r="E99" s="116"/>
      <c r="F99" s="70"/>
      <c r="G99" s="61"/>
      <c r="H99" s="61"/>
      <c r="I99" s="64"/>
      <c r="J99" s="101"/>
      <c r="K99" s="105"/>
      <c r="L99" s="62"/>
      <c r="M99" s="62"/>
      <c r="N99" s="64"/>
      <c r="O99" s="62"/>
      <c r="P99" s="101"/>
      <c r="Q99" s="110"/>
      <c r="R99" s="149"/>
    </row>
    <row r="100" spans="3:18" ht="30" customHeight="1" x14ac:dyDescent="0.2">
      <c r="C100" s="114"/>
      <c r="D100" s="63"/>
      <c r="E100" s="116"/>
      <c r="F100" s="70"/>
      <c r="G100" s="61"/>
      <c r="H100" s="61"/>
      <c r="I100" s="64"/>
      <c r="J100" s="101"/>
      <c r="K100" s="105"/>
      <c r="L100" s="62"/>
      <c r="M100" s="62"/>
      <c r="N100" s="64"/>
      <c r="O100" s="62"/>
      <c r="P100" s="101"/>
      <c r="Q100" s="110"/>
      <c r="R100" s="149"/>
    </row>
    <row r="101" spans="3:18" ht="30" customHeight="1" x14ac:dyDescent="0.2">
      <c r="C101" s="114"/>
      <c r="D101" s="63"/>
      <c r="E101" s="116"/>
      <c r="F101" s="70"/>
      <c r="G101" s="61"/>
      <c r="H101" s="61"/>
      <c r="I101" s="64"/>
      <c r="J101" s="101"/>
      <c r="K101" s="105"/>
      <c r="L101" s="62"/>
      <c r="M101" s="62"/>
      <c r="N101" s="64"/>
      <c r="O101" s="62"/>
      <c r="P101" s="101"/>
      <c r="Q101" s="110"/>
      <c r="R101" s="149"/>
    </row>
    <row r="102" spans="3:18" ht="30" customHeight="1" x14ac:dyDescent="0.2">
      <c r="C102" s="114"/>
      <c r="D102" s="63"/>
      <c r="E102" s="116"/>
      <c r="F102" s="70"/>
      <c r="G102" s="61"/>
      <c r="H102" s="61"/>
      <c r="I102" s="64"/>
      <c r="J102" s="101"/>
      <c r="K102" s="105"/>
      <c r="L102" s="62"/>
      <c r="M102" s="62"/>
      <c r="N102" s="64"/>
      <c r="O102" s="62"/>
      <c r="P102" s="101"/>
      <c r="Q102" s="110"/>
      <c r="R102" s="149"/>
    </row>
    <row r="103" spans="3:18" ht="30" customHeight="1" x14ac:dyDescent="0.2">
      <c r="C103" s="114"/>
      <c r="D103" s="63"/>
      <c r="E103" s="116"/>
      <c r="F103" s="70"/>
      <c r="G103" s="61"/>
      <c r="H103" s="61"/>
      <c r="I103" s="64"/>
      <c r="J103" s="101"/>
      <c r="K103" s="105"/>
      <c r="L103" s="62"/>
      <c r="M103" s="62"/>
      <c r="N103" s="64"/>
      <c r="O103" s="62"/>
      <c r="P103" s="101"/>
      <c r="Q103" s="110"/>
      <c r="R103" s="149"/>
    </row>
    <row r="104" spans="3:18" ht="30" customHeight="1" x14ac:dyDescent="0.2">
      <c r="C104" s="114"/>
      <c r="D104" s="63"/>
      <c r="E104" s="116"/>
      <c r="F104" s="70"/>
      <c r="G104" s="61"/>
      <c r="H104" s="61"/>
      <c r="I104" s="64"/>
      <c r="J104" s="101"/>
      <c r="K104" s="105"/>
      <c r="L104" s="62"/>
      <c r="M104" s="62"/>
      <c r="N104" s="64"/>
      <c r="O104" s="62"/>
      <c r="P104" s="101"/>
      <c r="Q104" s="110"/>
      <c r="R104" s="149"/>
    </row>
    <row r="105" spans="3:18" ht="30" customHeight="1" x14ac:dyDescent="0.2">
      <c r="C105" s="114"/>
      <c r="D105" s="63"/>
      <c r="E105" s="116"/>
      <c r="F105" s="70"/>
      <c r="G105" s="61"/>
      <c r="H105" s="61"/>
      <c r="I105" s="64"/>
      <c r="J105" s="101"/>
      <c r="K105" s="105"/>
      <c r="L105" s="62"/>
      <c r="M105" s="62"/>
      <c r="N105" s="64"/>
      <c r="O105" s="62"/>
      <c r="P105" s="101"/>
      <c r="Q105" s="110"/>
      <c r="R105" s="149"/>
    </row>
    <row r="106" spans="3:18" ht="30" customHeight="1" x14ac:dyDescent="0.2">
      <c r="C106" s="114"/>
      <c r="D106" s="63"/>
      <c r="E106" s="116"/>
      <c r="F106" s="70"/>
      <c r="G106" s="61"/>
      <c r="H106" s="61"/>
      <c r="I106" s="64"/>
      <c r="J106" s="101"/>
      <c r="K106" s="105"/>
      <c r="L106" s="62"/>
      <c r="M106" s="62"/>
      <c r="N106" s="64"/>
      <c r="O106" s="62"/>
      <c r="P106" s="101"/>
      <c r="Q106" s="110"/>
      <c r="R106" s="149"/>
    </row>
    <row r="107" spans="3:18" ht="30" customHeight="1" x14ac:dyDescent="0.2">
      <c r="C107" s="114"/>
      <c r="D107" s="63"/>
      <c r="E107" s="116"/>
      <c r="F107" s="70"/>
      <c r="G107" s="61"/>
      <c r="H107" s="61"/>
      <c r="I107" s="64"/>
      <c r="J107" s="101"/>
      <c r="K107" s="105"/>
      <c r="L107" s="62"/>
      <c r="M107" s="62"/>
      <c r="N107" s="64"/>
      <c r="O107" s="62"/>
      <c r="P107" s="101"/>
      <c r="Q107" s="110"/>
      <c r="R107" s="149"/>
    </row>
    <row r="108" spans="3:18" ht="30" customHeight="1" x14ac:dyDescent="0.2">
      <c r="C108" s="114"/>
      <c r="D108" s="63"/>
      <c r="E108" s="116"/>
      <c r="F108" s="70"/>
      <c r="G108" s="61"/>
      <c r="H108" s="61"/>
      <c r="I108" s="64"/>
      <c r="J108" s="101"/>
      <c r="K108" s="105"/>
      <c r="L108" s="62"/>
      <c r="M108" s="62"/>
      <c r="N108" s="64"/>
      <c r="O108" s="62"/>
      <c r="P108" s="101"/>
      <c r="Q108" s="110"/>
      <c r="R108" s="149"/>
    </row>
    <row r="109" spans="3:18" ht="30" customHeight="1" x14ac:dyDescent="0.2">
      <c r="C109" s="114"/>
      <c r="D109" s="63"/>
      <c r="E109" s="116"/>
      <c r="F109" s="70"/>
      <c r="G109" s="61"/>
      <c r="H109" s="61"/>
      <c r="I109" s="64"/>
      <c r="J109" s="101"/>
      <c r="K109" s="105"/>
      <c r="L109" s="62"/>
      <c r="M109" s="62"/>
      <c r="N109" s="64"/>
      <c r="O109" s="62"/>
      <c r="P109" s="101"/>
      <c r="Q109" s="110"/>
      <c r="R109" s="149"/>
    </row>
    <row r="110" spans="3:18" ht="30" customHeight="1" x14ac:dyDescent="0.2">
      <c r="C110" s="114"/>
      <c r="D110" s="63"/>
      <c r="E110" s="116"/>
      <c r="F110" s="70"/>
      <c r="G110" s="61"/>
      <c r="H110" s="61"/>
      <c r="I110" s="64"/>
      <c r="J110" s="101"/>
      <c r="K110" s="105"/>
      <c r="L110" s="62"/>
      <c r="M110" s="62"/>
      <c r="N110" s="64"/>
      <c r="O110" s="62"/>
      <c r="P110" s="101"/>
      <c r="Q110" s="110"/>
      <c r="R110" s="149"/>
    </row>
    <row r="111" spans="3:18" ht="30" customHeight="1" x14ac:dyDescent="0.2">
      <c r="C111" s="114"/>
      <c r="D111" s="63"/>
      <c r="E111" s="116"/>
      <c r="F111" s="70"/>
      <c r="G111" s="61"/>
      <c r="H111" s="61"/>
      <c r="I111" s="64"/>
      <c r="J111" s="101"/>
      <c r="K111" s="105"/>
      <c r="L111" s="62"/>
      <c r="M111" s="62"/>
      <c r="N111" s="64"/>
      <c r="O111" s="62"/>
      <c r="P111" s="101"/>
      <c r="Q111" s="110"/>
      <c r="R111" s="149"/>
    </row>
    <row r="112" spans="3:18" ht="30" customHeight="1" x14ac:dyDescent="0.2">
      <c r="C112" s="114"/>
      <c r="D112" s="63"/>
      <c r="E112" s="116"/>
      <c r="F112" s="70"/>
      <c r="G112" s="61"/>
      <c r="H112" s="61"/>
      <c r="I112" s="64"/>
      <c r="J112" s="101"/>
      <c r="K112" s="105"/>
      <c r="L112" s="62"/>
      <c r="M112" s="62"/>
      <c r="N112" s="64"/>
      <c r="O112" s="62"/>
      <c r="P112" s="101"/>
      <c r="Q112" s="110"/>
      <c r="R112" s="149"/>
    </row>
    <row r="113" spans="3:18" ht="30" customHeight="1" x14ac:dyDescent="0.2">
      <c r="C113" s="114"/>
      <c r="D113" s="63"/>
      <c r="E113" s="116"/>
      <c r="F113" s="70"/>
      <c r="G113" s="61"/>
      <c r="H113" s="61"/>
      <c r="I113" s="64"/>
      <c r="J113" s="101"/>
      <c r="K113" s="105"/>
      <c r="L113" s="62"/>
      <c r="M113" s="62"/>
      <c r="N113" s="64"/>
      <c r="O113" s="62"/>
      <c r="P113" s="101"/>
      <c r="Q113" s="110"/>
      <c r="R113" s="149"/>
    </row>
    <row r="114" spans="3:18" ht="30" customHeight="1" x14ac:dyDescent="0.2">
      <c r="C114" s="114"/>
      <c r="D114" s="63"/>
      <c r="E114" s="116"/>
      <c r="F114" s="70"/>
      <c r="G114" s="61"/>
      <c r="H114" s="61"/>
      <c r="I114" s="64"/>
      <c r="J114" s="101"/>
      <c r="K114" s="105"/>
      <c r="L114" s="62"/>
      <c r="M114" s="62"/>
      <c r="N114" s="64"/>
      <c r="O114" s="62"/>
      <c r="P114" s="101"/>
      <c r="Q114" s="110"/>
      <c r="R114" s="149"/>
    </row>
    <row r="115" spans="3:18" ht="30" customHeight="1" x14ac:dyDescent="0.2">
      <c r="C115" s="114"/>
      <c r="D115" s="63"/>
      <c r="E115" s="116"/>
      <c r="F115" s="70"/>
      <c r="G115" s="61"/>
      <c r="H115" s="61"/>
      <c r="I115" s="64"/>
      <c r="J115" s="101"/>
      <c r="K115" s="105"/>
      <c r="L115" s="62"/>
      <c r="M115" s="62"/>
      <c r="N115" s="64"/>
      <c r="O115" s="62"/>
      <c r="P115" s="101"/>
      <c r="Q115" s="110"/>
      <c r="R115" s="149"/>
    </row>
    <row r="116" spans="3:18" ht="30" customHeight="1" x14ac:dyDescent="0.2">
      <c r="C116" s="114"/>
      <c r="D116" s="63"/>
      <c r="E116" s="116"/>
      <c r="F116" s="70"/>
      <c r="G116" s="61"/>
      <c r="H116" s="61"/>
      <c r="I116" s="64"/>
      <c r="J116" s="101"/>
      <c r="K116" s="105"/>
      <c r="L116" s="62"/>
      <c r="M116" s="62"/>
      <c r="N116" s="64"/>
      <c r="O116" s="62"/>
      <c r="P116" s="101"/>
      <c r="Q116" s="110"/>
      <c r="R116" s="149"/>
    </row>
    <row r="117" spans="3:18" ht="30" customHeight="1" x14ac:dyDescent="0.2">
      <c r="C117" s="114"/>
      <c r="D117" s="63"/>
      <c r="E117" s="116"/>
      <c r="F117" s="70"/>
      <c r="G117" s="61"/>
      <c r="H117" s="61"/>
      <c r="I117" s="64"/>
      <c r="J117" s="101"/>
      <c r="K117" s="105"/>
      <c r="L117" s="62"/>
      <c r="M117" s="62"/>
      <c r="N117" s="64"/>
      <c r="O117" s="62"/>
      <c r="P117" s="101"/>
      <c r="Q117" s="110"/>
      <c r="R117" s="149"/>
    </row>
    <row r="118" spans="3:18" ht="30" customHeight="1" x14ac:dyDescent="0.2">
      <c r="C118" s="114"/>
      <c r="D118" s="63"/>
      <c r="E118" s="116"/>
      <c r="F118" s="70"/>
      <c r="G118" s="61"/>
      <c r="H118" s="61"/>
      <c r="I118" s="64"/>
      <c r="J118" s="101"/>
      <c r="K118" s="105"/>
      <c r="L118" s="62"/>
      <c r="M118" s="62"/>
      <c r="N118" s="64"/>
      <c r="O118" s="62"/>
      <c r="P118" s="101"/>
      <c r="Q118" s="110"/>
      <c r="R118" s="149"/>
    </row>
    <row r="119" spans="3:18" ht="30" customHeight="1" x14ac:dyDescent="0.2">
      <c r="C119" s="114"/>
      <c r="D119" s="63"/>
      <c r="E119" s="116"/>
      <c r="F119" s="70"/>
      <c r="G119" s="61"/>
      <c r="H119" s="61"/>
      <c r="I119" s="64"/>
      <c r="J119" s="101"/>
      <c r="K119" s="105"/>
      <c r="L119" s="62"/>
      <c r="M119" s="62"/>
      <c r="N119" s="64"/>
      <c r="O119" s="62"/>
      <c r="P119" s="101"/>
      <c r="Q119" s="110"/>
      <c r="R119" s="149"/>
    </row>
    <row r="120" spans="3:18" ht="30" customHeight="1" x14ac:dyDescent="0.2">
      <c r="C120" s="114"/>
      <c r="D120" s="63"/>
      <c r="E120" s="116"/>
      <c r="F120" s="70"/>
      <c r="G120" s="61"/>
      <c r="H120" s="61"/>
      <c r="I120" s="64"/>
      <c r="J120" s="101"/>
      <c r="K120" s="105"/>
      <c r="L120" s="62"/>
      <c r="M120" s="62"/>
      <c r="N120" s="64"/>
      <c r="O120" s="62"/>
      <c r="P120" s="101"/>
      <c r="Q120" s="110"/>
      <c r="R120" s="149"/>
    </row>
    <row r="121" spans="3:18" ht="30" customHeight="1" x14ac:dyDescent="0.2">
      <c r="C121" s="114"/>
      <c r="D121" s="63"/>
      <c r="E121" s="116"/>
      <c r="F121" s="70"/>
      <c r="G121" s="61"/>
      <c r="H121" s="61"/>
      <c r="I121" s="64"/>
      <c r="J121" s="101"/>
      <c r="K121" s="105"/>
      <c r="L121" s="62"/>
      <c r="M121" s="62"/>
      <c r="N121" s="64"/>
      <c r="O121" s="62"/>
      <c r="P121" s="101"/>
      <c r="Q121" s="110"/>
      <c r="R121" s="149"/>
    </row>
    <row r="122" spans="3:18" ht="30" customHeight="1" x14ac:dyDescent="0.2">
      <c r="C122" s="114"/>
      <c r="D122" s="63"/>
      <c r="E122" s="116"/>
      <c r="F122" s="70"/>
      <c r="G122" s="61"/>
      <c r="H122" s="61"/>
      <c r="I122" s="64"/>
      <c r="J122" s="101"/>
      <c r="K122" s="105"/>
      <c r="L122" s="62"/>
      <c r="M122" s="62"/>
      <c r="N122" s="64"/>
      <c r="O122" s="62"/>
      <c r="P122" s="101"/>
      <c r="Q122" s="110"/>
      <c r="R122" s="149"/>
    </row>
    <row r="123" spans="3:18" ht="30" customHeight="1" x14ac:dyDescent="0.2">
      <c r="C123" s="114"/>
      <c r="D123" s="63"/>
      <c r="E123" s="116"/>
      <c r="F123" s="70"/>
      <c r="G123" s="61"/>
      <c r="H123" s="61"/>
      <c r="I123" s="64"/>
      <c r="J123" s="101"/>
      <c r="K123" s="105"/>
      <c r="L123" s="62"/>
      <c r="M123" s="62"/>
      <c r="N123" s="64"/>
      <c r="O123" s="62"/>
      <c r="P123" s="101"/>
      <c r="Q123" s="110"/>
      <c r="R123" s="149"/>
    </row>
    <row r="124" spans="3:18" ht="30" customHeight="1" x14ac:dyDescent="0.2">
      <c r="C124" s="114"/>
      <c r="D124" s="63"/>
      <c r="E124" s="116"/>
      <c r="F124" s="70"/>
      <c r="G124" s="61"/>
      <c r="H124" s="61"/>
      <c r="I124" s="64"/>
      <c r="J124" s="101"/>
      <c r="K124" s="105"/>
      <c r="L124" s="62"/>
      <c r="M124" s="62"/>
      <c r="N124" s="64"/>
      <c r="O124" s="62"/>
      <c r="P124" s="101"/>
      <c r="Q124" s="110"/>
      <c r="R124" s="149"/>
    </row>
    <row r="125" spans="3:18" ht="30" customHeight="1" x14ac:dyDescent="0.2">
      <c r="C125" s="114"/>
      <c r="D125" s="63"/>
      <c r="E125" s="116"/>
      <c r="F125" s="70"/>
      <c r="G125" s="61"/>
      <c r="H125" s="61"/>
      <c r="I125" s="64"/>
      <c r="J125" s="101"/>
      <c r="K125" s="105"/>
      <c r="L125" s="62"/>
      <c r="M125" s="62"/>
      <c r="N125" s="64"/>
      <c r="O125" s="62"/>
      <c r="P125" s="101"/>
      <c r="Q125" s="110"/>
      <c r="R125" s="149"/>
    </row>
    <row r="126" spans="3:18" ht="30" customHeight="1" x14ac:dyDescent="0.2">
      <c r="C126" s="114"/>
      <c r="D126" s="63"/>
      <c r="E126" s="116"/>
      <c r="F126" s="70"/>
      <c r="G126" s="61"/>
      <c r="H126" s="61"/>
      <c r="I126" s="64"/>
      <c r="J126" s="101"/>
      <c r="K126" s="105"/>
      <c r="L126" s="62"/>
      <c r="M126" s="62"/>
      <c r="N126" s="64"/>
      <c r="O126" s="62"/>
      <c r="P126" s="101"/>
      <c r="Q126" s="110"/>
      <c r="R126" s="149"/>
    </row>
    <row r="127" spans="3:18" ht="30" customHeight="1" x14ac:dyDescent="0.2">
      <c r="C127" s="114"/>
      <c r="D127" s="63"/>
      <c r="E127" s="116"/>
      <c r="F127" s="70"/>
      <c r="G127" s="61"/>
      <c r="H127" s="61"/>
      <c r="I127" s="64"/>
      <c r="J127" s="101"/>
      <c r="K127" s="105"/>
      <c r="L127" s="62"/>
      <c r="M127" s="62"/>
      <c r="N127" s="64"/>
      <c r="O127" s="62"/>
      <c r="P127" s="101"/>
      <c r="Q127" s="110"/>
      <c r="R127" s="149"/>
    </row>
    <row r="128" spans="3:18" ht="30" customHeight="1" x14ac:dyDescent="0.2">
      <c r="C128" s="114"/>
      <c r="D128" s="63"/>
      <c r="E128" s="116"/>
      <c r="F128" s="70"/>
      <c r="G128" s="61"/>
      <c r="H128" s="61"/>
      <c r="I128" s="64"/>
      <c r="J128" s="101"/>
      <c r="K128" s="105"/>
      <c r="L128" s="62"/>
      <c r="M128" s="62"/>
      <c r="N128" s="64"/>
      <c r="O128" s="62"/>
      <c r="P128" s="101"/>
      <c r="Q128" s="110"/>
      <c r="R128" s="149"/>
    </row>
    <row r="129" spans="3:18" ht="30" customHeight="1" x14ac:dyDescent="0.2">
      <c r="C129" s="114"/>
      <c r="D129" s="63"/>
      <c r="E129" s="116"/>
      <c r="F129" s="70"/>
      <c r="G129" s="61"/>
      <c r="H129" s="61"/>
      <c r="I129" s="64"/>
      <c r="J129" s="101"/>
      <c r="K129" s="105"/>
      <c r="L129" s="62"/>
      <c r="M129" s="62"/>
      <c r="N129" s="64"/>
      <c r="O129" s="62"/>
      <c r="P129" s="101"/>
      <c r="Q129" s="110"/>
      <c r="R129" s="149"/>
    </row>
    <row r="130" spans="3:18" ht="30" customHeight="1" x14ac:dyDescent="0.2">
      <c r="C130" s="114"/>
      <c r="D130" s="63"/>
      <c r="E130" s="116"/>
      <c r="F130" s="70"/>
      <c r="G130" s="61"/>
      <c r="H130" s="61"/>
      <c r="I130" s="64"/>
      <c r="J130" s="101"/>
      <c r="K130" s="105"/>
      <c r="L130" s="62"/>
      <c r="M130" s="62"/>
      <c r="N130" s="64"/>
      <c r="O130" s="62"/>
      <c r="P130" s="101"/>
      <c r="Q130" s="110"/>
      <c r="R130" s="149"/>
    </row>
    <row r="131" spans="3:18" ht="30" customHeight="1" x14ac:dyDescent="0.2">
      <c r="C131" s="114"/>
      <c r="D131" s="63"/>
      <c r="E131" s="116"/>
      <c r="F131" s="70"/>
      <c r="G131" s="61"/>
      <c r="H131" s="61"/>
      <c r="I131" s="64"/>
      <c r="J131" s="101"/>
      <c r="K131" s="105"/>
      <c r="L131" s="62"/>
      <c r="M131" s="62"/>
      <c r="N131" s="64"/>
      <c r="O131" s="62"/>
      <c r="P131" s="101"/>
      <c r="Q131" s="110"/>
      <c r="R131" s="149"/>
    </row>
    <row r="132" spans="3:18" ht="30" customHeight="1" x14ac:dyDescent="0.2">
      <c r="C132" s="114"/>
      <c r="D132" s="63"/>
      <c r="E132" s="116"/>
      <c r="F132" s="70"/>
      <c r="G132" s="61"/>
      <c r="H132" s="61"/>
      <c r="I132" s="64"/>
      <c r="J132" s="101"/>
      <c r="K132" s="105"/>
      <c r="L132" s="62"/>
      <c r="M132" s="62"/>
      <c r="N132" s="64"/>
      <c r="O132" s="62"/>
      <c r="P132" s="101"/>
      <c r="Q132" s="110"/>
      <c r="R132" s="149"/>
    </row>
    <row r="133" spans="3:18" ht="30" customHeight="1" x14ac:dyDescent="0.2">
      <c r="C133" s="114"/>
      <c r="D133" s="63"/>
      <c r="E133" s="116"/>
      <c r="F133" s="70"/>
      <c r="G133" s="61"/>
      <c r="H133" s="61"/>
      <c r="I133" s="64"/>
      <c r="J133" s="101"/>
      <c r="K133" s="105"/>
      <c r="L133" s="62"/>
      <c r="M133" s="62"/>
      <c r="N133" s="64"/>
      <c r="O133" s="62"/>
      <c r="P133" s="101"/>
      <c r="Q133" s="110"/>
      <c r="R133" s="149"/>
    </row>
    <row r="134" spans="3:18" ht="30" customHeight="1" x14ac:dyDescent="0.2">
      <c r="C134" s="114"/>
      <c r="D134" s="63"/>
      <c r="E134" s="116"/>
      <c r="F134" s="70"/>
      <c r="G134" s="61"/>
      <c r="H134" s="61"/>
      <c r="I134" s="64"/>
      <c r="J134" s="101"/>
      <c r="K134" s="105"/>
      <c r="L134" s="62"/>
      <c r="M134" s="62"/>
      <c r="N134" s="64"/>
      <c r="O134" s="62"/>
      <c r="P134" s="101"/>
      <c r="Q134" s="110"/>
      <c r="R134" s="149"/>
    </row>
    <row r="135" spans="3:18" ht="30" customHeight="1" x14ac:dyDescent="0.2">
      <c r="C135" s="114"/>
      <c r="D135" s="63"/>
      <c r="E135" s="116"/>
      <c r="F135" s="70"/>
      <c r="G135" s="61"/>
      <c r="H135" s="61"/>
      <c r="I135" s="64"/>
      <c r="J135" s="101"/>
      <c r="K135" s="105"/>
      <c r="L135" s="62"/>
      <c r="M135" s="62"/>
      <c r="N135" s="64"/>
      <c r="O135" s="62"/>
      <c r="P135" s="101"/>
      <c r="Q135" s="110"/>
      <c r="R135" s="149"/>
    </row>
    <row r="136" spans="3:18" ht="30" customHeight="1" x14ac:dyDescent="0.2">
      <c r="C136" s="114"/>
      <c r="D136" s="63"/>
      <c r="E136" s="116"/>
      <c r="F136" s="70"/>
      <c r="G136" s="61"/>
      <c r="H136" s="61"/>
      <c r="I136" s="64"/>
      <c r="J136" s="101"/>
      <c r="K136" s="105"/>
      <c r="L136" s="62"/>
      <c r="M136" s="62"/>
      <c r="N136" s="64"/>
      <c r="O136" s="62"/>
      <c r="P136" s="101"/>
      <c r="Q136" s="110"/>
      <c r="R136" s="149"/>
    </row>
    <row r="137" spans="3:18" ht="30" customHeight="1" x14ac:dyDescent="0.2">
      <c r="C137" s="114"/>
      <c r="D137" s="63"/>
      <c r="E137" s="116"/>
      <c r="F137" s="70"/>
      <c r="G137" s="61"/>
      <c r="H137" s="61"/>
      <c r="I137" s="64"/>
      <c r="J137" s="101"/>
      <c r="K137" s="105"/>
      <c r="L137" s="62"/>
      <c r="M137" s="62"/>
      <c r="N137" s="64"/>
      <c r="O137" s="62"/>
      <c r="P137" s="101"/>
      <c r="Q137" s="110"/>
      <c r="R137" s="149"/>
    </row>
    <row r="138" spans="3:18" ht="30" customHeight="1" x14ac:dyDescent="0.2">
      <c r="C138" s="114"/>
      <c r="D138" s="63"/>
      <c r="E138" s="116"/>
      <c r="F138" s="70"/>
      <c r="G138" s="61"/>
      <c r="H138" s="61"/>
      <c r="I138" s="64"/>
      <c r="J138" s="101"/>
      <c r="K138" s="105"/>
      <c r="L138" s="62"/>
      <c r="M138" s="62"/>
      <c r="N138" s="64"/>
      <c r="O138" s="62"/>
      <c r="P138" s="101"/>
      <c r="Q138" s="110"/>
      <c r="R138" s="149"/>
    </row>
    <row r="139" spans="3:18" ht="30" customHeight="1" x14ac:dyDescent="0.2">
      <c r="C139" s="114"/>
      <c r="D139" s="63"/>
      <c r="E139" s="116"/>
      <c r="F139" s="70"/>
      <c r="G139" s="61"/>
      <c r="H139" s="61"/>
      <c r="I139" s="64"/>
      <c r="J139" s="101"/>
      <c r="K139" s="105"/>
      <c r="L139" s="62"/>
      <c r="M139" s="62"/>
      <c r="N139" s="64"/>
      <c r="O139" s="62"/>
      <c r="P139" s="101"/>
      <c r="Q139" s="110"/>
      <c r="R139" s="149"/>
    </row>
    <row r="140" spans="3:18" ht="30" customHeight="1" x14ac:dyDescent="0.2">
      <c r="C140" s="114"/>
      <c r="D140" s="63"/>
      <c r="E140" s="116"/>
      <c r="F140" s="70"/>
      <c r="G140" s="61"/>
      <c r="H140" s="61"/>
      <c r="I140" s="64"/>
      <c r="J140" s="101"/>
      <c r="K140" s="105"/>
      <c r="L140" s="62"/>
      <c r="M140" s="62"/>
      <c r="N140" s="64"/>
      <c r="O140" s="62"/>
      <c r="P140" s="101"/>
      <c r="Q140" s="110"/>
      <c r="R140" s="149"/>
    </row>
    <row r="141" spans="3:18" ht="30" customHeight="1" x14ac:dyDescent="0.2">
      <c r="C141" s="114"/>
      <c r="D141" s="63"/>
      <c r="E141" s="116"/>
      <c r="F141" s="70"/>
      <c r="G141" s="61"/>
      <c r="H141" s="61"/>
      <c r="I141" s="64"/>
      <c r="J141" s="101"/>
      <c r="K141" s="105"/>
      <c r="L141" s="62"/>
      <c r="M141" s="62"/>
      <c r="N141" s="64"/>
      <c r="O141" s="62"/>
      <c r="P141" s="101"/>
      <c r="Q141" s="110"/>
      <c r="R141" s="149"/>
    </row>
    <row r="142" spans="3:18" ht="30" customHeight="1" x14ac:dyDescent="0.2">
      <c r="C142" s="114"/>
      <c r="D142" s="63"/>
      <c r="E142" s="116"/>
      <c r="F142" s="70"/>
      <c r="G142" s="61"/>
      <c r="H142" s="61"/>
      <c r="I142" s="64"/>
      <c r="J142" s="101"/>
      <c r="K142" s="105"/>
      <c r="L142" s="62"/>
      <c r="M142" s="62"/>
      <c r="N142" s="64"/>
      <c r="O142" s="62"/>
      <c r="P142" s="101"/>
      <c r="Q142" s="110"/>
      <c r="R142" s="149"/>
    </row>
    <row r="143" spans="3:18" ht="30" customHeight="1" x14ac:dyDescent="0.2">
      <c r="C143" s="114"/>
      <c r="D143" s="63"/>
      <c r="E143" s="116"/>
      <c r="F143" s="70"/>
      <c r="G143" s="61"/>
      <c r="H143" s="61"/>
      <c r="I143" s="64"/>
      <c r="J143" s="101"/>
      <c r="K143" s="105"/>
      <c r="L143" s="62"/>
      <c r="M143" s="62"/>
      <c r="N143" s="64"/>
      <c r="O143" s="62"/>
      <c r="P143" s="101"/>
      <c r="Q143" s="110"/>
      <c r="R143" s="149"/>
    </row>
    <row r="144" spans="3:18" ht="30" customHeight="1" x14ac:dyDescent="0.2">
      <c r="C144" s="114"/>
      <c r="D144" s="63"/>
      <c r="E144" s="116"/>
      <c r="F144" s="70"/>
      <c r="G144" s="61"/>
      <c r="H144" s="61"/>
      <c r="I144" s="64"/>
      <c r="J144" s="101"/>
      <c r="K144" s="105"/>
      <c r="L144" s="62"/>
      <c r="M144" s="62"/>
      <c r="N144" s="64"/>
      <c r="O144" s="62"/>
      <c r="P144" s="101"/>
      <c r="Q144" s="110"/>
      <c r="R144" s="149"/>
    </row>
    <row r="145" spans="3:18" ht="30" customHeight="1" x14ac:dyDescent="0.2">
      <c r="C145" s="114"/>
      <c r="D145" s="63"/>
      <c r="E145" s="116"/>
      <c r="F145" s="70"/>
      <c r="G145" s="61"/>
      <c r="H145" s="61"/>
      <c r="I145" s="64"/>
      <c r="J145" s="101"/>
      <c r="K145" s="105"/>
      <c r="L145" s="62"/>
      <c r="M145" s="62"/>
      <c r="N145" s="64"/>
      <c r="O145" s="62"/>
      <c r="P145" s="101"/>
      <c r="Q145" s="110"/>
      <c r="R145" s="149"/>
    </row>
    <row r="146" spans="3:18" ht="30" customHeight="1" x14ac:dyDescent="0.2">
      <c r="C146" s="114"/>
      <c r="D146" s="63"/>
      <c r="E146" s="116"/>
      <c r="F146" s="70"/>
      <c r="G146" s="61"/>
      <c r="H146" s="61"/>
      <c r="I146" s="64"/>
      <c r="J146" s="101"/>
      <c r="K146" s="105"/>
      <c r="L146" s="62"/>
      <c r="M146" s="62"/>
      <c r="N146" s="64"/>
      <c r="O146" s="62"/>
      <c r="P146" s="101"/>
      <c r="Q146" s="110"/>
      <c r="R146" s="149"/>
    </row>
    <row r="147" spans="3:18" ht="30" customHeight="1" x14ac:dyDescent="0.2"/>
    <row r="148" spans="3:18" ht="30" customHeight="1" x14ac:dyDescent="0.2"/>
    <row r="149" spans="3:18" ht="30" customHeight="1" x14ac:dyDescent="0.2"/>
    <row r="150" spans="3:18" ht="30" customHeight="1" x14ac:dyDescent="0.2"/>
    <row r="151" spans="3:18" ht="30" customHeight="1" x14ac:dyDescent="0.2"/>
    <row r="152" spans="3:18" ht="30" customHeight="1" x14ac:dyDescent="0.2"/>
    <row r="153" spans="3:18" ht="30" customHeight="1" x14ac:dyDescent="0.2"/>
    <row r="154" spans="3:18" ht="30" customHeight="1" x14ac:dyDescent="0.2"/>
  </sheetData>
  <mergeCells count="2">
    <mergeCell ref="C1:P1"/>
    <mergeCell ref="Q1:AD1"/>
  </mergeCells>
  <pageMargins left="0.7" right="0.7" top="0.75" bottom="0.75" header="0.3" footer="0.3"/>
  <pageSetup scale="63" fitToHeight="0" orientation="portrait" r:id="rId1"/>
  <headerFooter>
    <oddHeader>&amp;L&amp;G&amp;R&amp;G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7030A0"/>
  </sheetPr>
  <dimension ref="A1:T114"/>
  <sheetViews>
    <sheetView zoomScaleNormal="100" workbookViewId="0">
      <pane xSplit="20" ySplit="1" topLeftCell="U2" activePane="bottomRight" state="frozen"/>
      <selection pane="topRight" activeCell="S1" sqref="S1"/>
      <selection pane="bottomLeft" activeCell="A2" sqref="A2"/>
      <selection pane="bottomRight" activeCell="N11" sqref="N11"/>
    </sheetView>
  </sheetViews>
  <sheetFormatPr defaultRowHeight="12.75" x14ac:dyDescent="0.2"/>
  <cols>
    <col min="2" max="2" width="5.85546875" customWidth="1"/>
    <col min="3" max="3" width="6.7109375" customWidth="1"/>
    <col min="4" max="5" width="6.140625" customWidth="1"/>
    <col min="6" max="6" width="9.85546875" customWidth="1"/>
    <col min="8" max="9" width="9.7109375" customWidth="1"/>
    <col min="12" max="12" width="17.28515625" customWidth="1"/>
    <col min="13" max="13" width="13.85546875" customWidth="1"/>
    <col min="17" max="17" width="13" customWidth="1"/>
    <col min="20" max="20" width="15.7109375" customWidth="1"/>
  </cols>
  <sheetData>
    <row r="1" spans="1:20" ht="43.5" customHeight="1" thickBot="1" x14ac:dyDescent="0.25">
      <c r="A1" s="130" t="s">
        <v>168</v>
      </c>
      <c r="B1" s="136" t="s">
        <v>165</v>
      </c>
      <c r="C1" s="137" t="s">
        <v>166</v>
      </c>
      <c r="D1" s="138" t="s">
        <v>167</v>
      </c>
      <c r="E1" s="159" t="s">
        <v>374</v>
      </c>
      <c r="F1" s="136" t="s">
        <v>276</v>
      </c>
      <c r="G1" s="136" t="s">
        <v>277</v>
      </c>
      <c r="H1" s="136" t="s">
        <v>278</v>
      </c>
      <c r="I1" s="136" t="s">
        <v>375</v>
      </c>
      <c r="J1" s="136"/>
      <c r="K1" s="139" t="s">
        <v>169</v>
      </c>
      <c r="L1" s="136" t="s">
        <v>57</v>
      </c>
      <c r="M1" s="139" t="s">
        <v>58</v>
      </c>
      <c r="P1" s="136" t="s">
        <v>376</v>
      </c>
      <c r="Q1" s="136" t="s">
        <v>378</v>
      </c>
      <c r="R1" s="83" t="s">
        <v>147</v>
      </c>
      <c r="S1" s="83"/>
      <c r="T1" s="83">
        <f>'Control Page'!A2</f>
        <v>2022</v>
      </c>
    </row>
    <row r="2" spans="1:20" ht="20.100000000000001" customHeight="1" x14ac:dyDescent="0.2">
      <c r="A2" s="88">
        <v>1</v>
      </c>
      <c r="B2" s="89">
        <v>43</v>
      </c>
      <c r="C2" s="90">
        <v>46</v>
      </c>
      <c r="D2" s="91">
        <v>53</v>
      </c>
      <c r="E2" s="160"/>
      <c r="F2" s="92">
        <f t="shared" ref="F2:F27" ca="1" si="0">_xlfn.IFNA(INDEX(INDIRECT("'"&amp;$T$1&amp;"'!"&amp;"$A$2:$N$77"),MATCH(B2,INDIRECT("'"&amp;$T$1&amp;"'!"&amp;"$B$2:$B$77"),0),13),"-")</f>
        <v>9.2799999999999994</v>
      </c>
      <c r="G2" s="49">
        <f t="shared" ref="G2:G27" ca="1" si="1">_xlfn.IFNA(INDEX(INDIRECT("'"&amp;$T$1&amp;"'!"&amp;"$A$2:$N$77"),MATCH(C2,INDIRECT("'"&amp;$T$1&amp;"'!"&amp;"$B$2:$B$77"),0),13),"-")</f>
        <v>10.18</v>
      </c>
      <c r="H2" s="93">
        <f t="shared" ref="H2:H27" ca="1" si="2">_xlfn.IFNA(INDEX(INDIRECT("'"&amp;$T$1&amp;"'!"&amp;"$A$2:$N$77"),MATCH(D2,INDIRECT("'"&amp;$T$1&amp;"'!"&amp;"$B$2:$B$77"),0),13),"-")</f>
        <v>2.4500000000000002</v>
      </c>
      <c r="I2" s="93"/>
      <c r="J2" s="128"/>
      <c r="K2" s="129">
        <f ca="1">IF(MAX(D2,G2,H2) &gt; 0,MAX(F2,G2,H2),"-")</f>
        <v>10.18</v>
      </c>
      <c r="L2" s="121"/>
      <c r="M2" s="122"/>
      <c r="P2" s="88"/>
      <c r="Q2" s="89" t="str">
        <f ca="1">_xlfn.IFNA(INDEX(INDIRECT("'"&amp;$T$1&amp;"'!"&amp;"$A$2:$N$77"),MATCH(P2,INDIRECT("'"&amp;$T$1&amp;"'!"&amp;"$B$2:$B$77"),0),13),"-")</f>
        <v>-</v>
      </c>
    </row>
    <row r="3" spans="1:20" ht="20.100000000000001" customHeight="1" x14ac:dyDescent="0.2">
      <c r="A3" s="84">
        <v>2</v>
      </c>
      <c r="B3" s="77">
        <v>64</v>
      </c>
      <c r="C3" s="78">
        <v>8</v>
      </c>
      <c r="D3" s="79">
        <v>30</v>
      </c>
      <c r="E3" s="160"/>
      <c r="F3" s="92">
        <f t="shared" ca="1" si="0"/>
        <v>8.6</v>
      </c>
      <c r="G3" s="49">
        <f t="shared" ca="1" si="1"/>
        <v>12.12</v>
      </c>
      <c r="H3" s="93">
        <f t="shared" ca="1" si="2"/>
        <v>4.2</v>
      </c>
      <c r="I3" s="93"/>
      <c r="J3" s="86"/>
      <c r="K3" s="129">
        <f t="shared" ref="K3:K27" ca="1" si="3">IF(MAX(D3,G3,H3) &gt; 0,MAX(F3,G3,H3),"-")</f>
        <v>12.12</v>
      </c>
      <c r="L3" s="123"/>
      <c r="M3" s="124"/>
      <c r="P3" s="88"/>
      <c r="Q3" s="89" t="str">
        <f ca="1">_xlfn.IFNA(INDEX(INDIRECT("'"&amp;$T$1&amp;"'!"&amp;"$A$2:$N$77"),MATCH(P3,INDIRECT("'"&amp;$T$1&amp;"'!"&amp;"$B$2:$B$77"),0),13),"-")</f>
        <v>-</v>
      </c>
    </row>
    <row r="4" spans="1:20" ht="20.100000000000001" customHeight="1" x14ac:dyDescent="0.2">
      <c r="A4" s="84">
        <v>3</v>
      </c>
      <c r="B4" s="77">
        <v>62</v>
      </c>
      <c r="C4" s="78">
        <v>21</v>
      </c>
      <c r="D4" s="79">
        <v>51</v>
      </c>
      <c r="E4" s="160"/>
      <c r="F4" s="92">
        <f t="shared" ca="1" si="0"/>
        <v>7.24</v>
      </c>
      <c r="G4" s="49">
        <f t="shared" ca="1" si="1"/>
        <v>6.74</v>
      </c>
      <c r="H4" s="93">
        <f t="shared" ca="1" si="2"/>
        <v>9.9499999999999993</v>
      </c>
      <c r="I4" s="93"/>
      <c r="J4" s="86"/>
      <c r="K4" s="129">
        <f t="shared" ca="1" si="3"/>
        <v>9.9499999999999993</v>
      </c>
      <c r="L4" s="123"/>
      <c r="M4" s="124"/>
      <c r="P4" s="88"/>
      <c r="Q4" s="89"/>
    </row>
    <row r="5" spans="1:20" ht="20.100000000000001" customHeight="1" x14ac:dyDescent="0.35">
      <c r="A5" s="84">
        <v>4</v>
      </c>
      <c r="B5" s="77">
        <v>63</v>
      </c>
      <c r="C5" s="78">
        <v>33</v>
      </c>
      <c r="D5" s="79">
        <v>17</v>
      </c>
      <c r="E5" s="160"/>
      <c r="F5" s="92">
        <f t="shared" ca="1" si="0"/>
        <v>1.84</v>
      </c>
      <c r="G5" s="49">
        <f t="shared" ca="1" si="1"/>
        <v>4.57</v>
      </c>
      <c r="H5" s="93">
        <f t="shared" ca="1" si="2"/>
        <v>10.44</v>
      </c>
      <c r="I5" s="93"/>
      <c r="J5" s="86"/>
      <c r="K5" s="129">
        <f ca="1">IF(MAX(D5,G5,H5) &gt; 0,MAX(F5,G5,H5),"-")</f>
        <v>10.44</v>
      </c>
      <c r="L5" s="123"/>
      <c r="M5" s="124"/>
      <c r="N5" s="161" t="s">
        <v>377</v>
      </c>
      <c r="P5" s="88"/>
      <c r="Q5" s="89"/>
    </row>
    <row r="6" spans="1:20" ht="20.100000000000001" customHeight="1" x14ac:dyDescent="0.2">
      <c r="A6" s="84">
        <v>5</v>
      </c>
      <c r="B6" s="77">
        <v>55</v>
      </c>
      <c r="C6" s="78">
        <v>68</v>
      </c>
      <c r="D6" s="79">
        <v>74</v>
      </c>
      <c r="E6" s="160"/>
      <c r="F6" s="92">
        <f t="shared" ca="1" si="0"/>
        <v>2.0299999999999998</v>
      </c>
      <c r="G6" s="49">
        <f t="shared" ca="1" si="1"/>
        <v>0</v>
      </c>
      <c r="H6" s="93">
        <f t="shared" ca="1" si="2"/>
        <v>0</v>
      </c>
      <c r="I6" s="93"/>
      <c r="J6" s="86"/>
      <c r="K6" s="129">
        <f t="shared" ca="1" si="3"/>
        <v>2.0299999999999998</v>
      </c>
      <c r="L6" s="123"/>
      <c r="M6" s="124"/>
      <c r="P6" s="88"/>
      <c r="Q6" s="89"/>
    </row>
    <row r="7" spans="1:20" ht="20.100000000000001" customHeight="1" x14ac:dyDescent="0.35">
      <c r="A7" s="84">
        <v>6</v>
      </c>
      <c r="B7" s="77">
        <v>73</v>
      </c>
      <c r="C7" s="78">
        <v>66</v>
      </c>
      <c r="D7" s="79">
        <v>40</v>
      </c>
      <c r="E7" s="160"/>
      <c r="F7" s="92">
        <f t="shared" ca="1" si="0"/>
        <v>0</v>
      </c>
      <c r="G7" s="49">
        <f t="shared" ca="1" si="1"/>
        <v>4.41</v>
      </c>
      <c r="H7" s="93">
        <f t="shared" ca="1" si="2"/>
        <v>7.86</v>
      </c>
      <c r="I7" s="93"/>
      <c r="J7" s="86"/>
      <c r="K7" s="129">
        <f t="shared" ca="1" si="3"/>
        <v>7.86</v>
      </c>
      <c r="L7" s="123"/>
      <c r="M7" s="124"/>
      <c r="N7" s="161" t="s">
        <v>377</v>
      </c>
      <c r="P7" s="88"/>
      <c r="Q7" s="89"/>
      <c r="S7" s="161" t="s">
        <v>377</v>
      </c>
    </row>
    <row r="8" spans="1:20" ht="20.100000000000001" customHeight="1" x14ac:dyDescent="0.2">
      <c r="A8" s="84">
        <v>7</v>
      </c>
      <c r="B8" s="77">
        <v>49</v>
      </c>
      <c r="C8" s="78">
        <v>35</v>
      </c>
      <c r="D8" s="79">
        <v>12</v>
      </c>
      <c r="E8" s="160"/>
      <c r="F8" s="92">
        <f t="shared" ca="1" si="0"/>
        <v>7.17</v>
      </c>
      <c r="G8" s="49">
        <f t="shared" ca="1" si="1"/>
        <v>8.66</v>
      </c>
      <c r="H8" s="93">
        <f t="shared" ca="1" si="2"/>
        <v>8.98</v>
      </c>
      <c r="I8" s="93"/>
      <c r="J8" s="86"/>
      <c r="K8" s="129">
        <f t="shared" ca="1" si="3"/>
        <v>8.98</v>
      </c>
      <c r="L8" s="123"/>
      <c r="M8" s="124"/>
      <c r="P8" s="88"/>
      <c r="Q8" s="89"/>
    </row>
    <row r="9" spans="1:20" ht="20.100000000000001" customHeight="1" x14ac:dyDescent="0.2">
      <c r="A9" s="84">
        <v>8</v>
      </c>
      <c r="B9" s="77">
        <v>65</v>
      </c>
      <c r="C9" s="78">
        <v>28</v>
      </c>
      <c r="D9" s="79">
        <v>4</v>
      </c>
      <c r="E9" s="160"/>
      <c r="F9" s="92">
        <f t="shared" ca="1" si="0"/>
        <v>4.51</v>
      </c>
      <c r="G9" s="49">
        <f t="shared" ca="1" si="1"/>
        <v>11.74</v>
      </c>
      <c r="H9" s="93">
        <f t="shared" ca="1" si="2"/>
        <v>15.63</v>
      </c>
      <c r="I9" s="93"/>
      <c r="J9" s="86"/>
      <c r="K9" s="129">
        <f t="shared" ca="1" si="3"/>
        <v>15.63</v>
      </c>
      <c r="L9" s="123"/>
      <c r="M9" s="124"/>
      <c r="P9" s="88"/>
      <c r="Q9" s="89"/>
    </row>
    <row r="10" spans="1:20" ht="20.100000000000001" customHeight="1" x14ac:dyDescent="0.2">
      <c r="A10" s="84">
        <v>9</v>
      </c>
      <c r="B10" s="77">
        <v>38</v>
      </c>
      <c r="C10" s="78">
        <v>5</v>
      </c>
      <c r="D10" s="79">
        <v>29</v>
      </c>
      <c r="E10" s="160"/>
      <c r="F10" s="92">
        <f t="shared" ca="1" si="0"/>
        <v>10.84</v>
      </c>
      <c r="G10" s="49">
        <f t="shared" ca="1" si="1"/>
        <v>10.15</v>
      </c>
      <c r="H10" s="93">
        <f t="shared" ca="1" si="2"/>
        <v>5.46</v>
      </c>
      <c r="I10" s="93"/>
      <c r="J10" s="86"/>
      <c r="K10" s="129">
        <f t="shared" ca="1" si="3"/>
        <v>10.84</v>
      </c>
      <c r="L10" s="123"/>
      <c r="M10" s="124"/>
      <c r="P10" s="88"/>
      <c r="Q10" s="89"/>
    </row>
    <row r="11" spans="1:20" ht="20.100000000000001" customHeight="1" x14ac:dyDescent="0.35">
      <c r="A11" s="84">
        <v>10</v>
      </c>
      <c r="B11" s="77">
        <v>34</v>
      </c>
      <c r="C11" s="78">
        <v>23</v>
      </c>
      <c r="D11" s="79">
        <v>1</v>
      </c>
      <c r="E11" s="160"/>
      <c r="F11" s="92">
        <f t="shared" ca="1" si="0"/>
        <v>6.56</v>
      </c>
      <c r="G11" s="49">
        <f t="shared" ca="1" si="1"/>
        <v>7.95</v>
      </c>
      <c r="H11" s="93">
        <f t="shared" ca="1" si="2"/>
        <v>9.5</v>
      </c>
      <c r="I11" s="93"/>
      <c r="J11" s="86"/>
      <c r="K11" s="129">
        <f t="shared" ca="1" si="3"/>
        <v>9.5</v>
      </c>
      <c r="L11" s="123"/>
      <c r="M11" s="124"/>
      <c r="P11" s="88"/>
      <c r="Q11" s="89"/>
      <c r="T11" s="161" t="s">
        <v>377</v>
      </c>
    </row>
    <row r="12" spans="1:20" ht="20.100000000000001" customHeight="1" x14ac:dyDescent="0.2">
      <c r="A12" s="84">
        <v>11</v>
      </c>
      <c r="B12" s="77">
        <v>47</v>
      </c>
      <c r="C12" s="78">
        <v>3</v>
      </c>
      <c r="D12" s="79">
        <v>54</v>
      </c>
      <c r="E12" s="160"/>
      <c r="F12" s="92">
        <f t="shared" ca="1" si="0"/>
        <v>8.69</v>
      </c>
      <c r="G12" s="49">
        <f t="shared" ca="1" si="1"/>
        <v>11.31</v>
      </c>
      <c r="H12" s="93">
        <f t="shared" ca="1" si="2"/>
        <v>4.41</v>
      </c>
      <c r="I12" s="93"/>
      <c r="J12" s="86"/>
      <c r="K12" s="129">
        <f t="shared" ca="1" si="3"/>
        <v>11.31</v>
      </c>
      <c r="L12" s="123"/>
      <c r="M12" s="124"/>
      <c r="P12" s="88"/>
      <c r="Q12" s="89"/>
    </row>
    <row r="13" spans="1:20" ht="20.100000000000001" customHeight="1" x14ac:dyDescent="0.2">
      <c r="A13" s="84">
        <v>12</v>
      </c>
      <c r="B13" s="77">
        <v>24</v>
      </c>
      <c r="C13" s="78">
        <v>22</v>
      </c>
      <c r="D13" s="79">
        <v>25</v>
      </c>
      <c r="E13" s="160"/>
      <c r="F13" s="92">
        <f t="shared" ca="1" si="0"/>
        <v>8.68</v>
      </c>
      <c r="G13" s="49">
        <f t="shared" ca="1" si="1"/>
        <v>9.68</v>
      </c>
      <c r="H13" s="93">
        <f t="shared" ca="1" si="2"/>
        <v>11.02</v>
      </c>
      <c r="I13" s="93"/>
      <c r="J13" s="86"/>
      <c r="K13" s="129">
        <f t="shared" ca="1" si="3"/>
        <v>11.02</v>
      </c>
      <c r="L13" s="123"/>
      <c r="M13" s="124"/>
      <c r="P13" s="88"/>
      <c r="Q13" s="89"/>
    </row>
    <row r="14" spans="1:20" ht="20.100000000000001" customHeight="1" x14ac:dyDescent="0.2">
      <c r="A14" s="84">
        <v>13</v>
      </c>
      <c r="B14" s="77">
        <v>27</v>
      </c>
      <c r="C14" s="78">
        <v>18</v>
      </c>
      <c r="D14" s="79">
        <v>45</v>
      </c>
      <c r="E14" s="160"/>
      <c r="F14" s="92">
        <f t="shared" ca="1" si="0"/>
        <v>8.67</v>
      </c>
      <c r="G14" s="49">
        <f t="shared" ca="1" si="1"/>
        <v>6.66</v>
      </c>
      <c r="H14" s="93">
        <f t="shared" ca="1" si="2"/>
        <v>3.75</v>
      </c>
      <c r="I14" s="93"/>
      <c r="J14" s="86"/>
      <c r="K14" s="129">
        <f t="shared" ca="1" si="3"/>
        <v>8.67</v>
      </c>
      <c r="L14" s="123"/>
      <c r="M14" s="124"/>
      <c r="P14" s="88"/>
      <c r="Q14" s="89"/>
    </row>
    <row r="15" spans="1:20" ht="20.100000000000001" customHeight="1" x14ac:dyDescent="0.2">
      <c r="A15" s="84">
        <v>14</v>
      </c>
      <c r="B15" s="77">
        <v>44</v>
      </c>
      <c r="C15" s="78">
        <v>75</v>
      </c>
      <c r="D15" s="79">
        <v>70</v>
      </c>
      <c r="E15" s="160"/>
      <c r="F15" s="92">
        <f t="shared" ca="1" si="0"/>
        <v>4.0199999999999996</v>
      </c>
      <c r="G15" s="49">
        <f t="shared" ca="1" si="1"/>
        <v>0</v>
      </c>
      <c r="H15" s="93">
        <f t="shared" ca="1" si="2"/>
        <v>0</v>
      </c>
      <c r="I15" s="93"/>
      <c r="J15" s="86"/>
      <c r="K15" s="129">
        <f t="shared" ca="1" si="3"/>
        <v>4.0199999999999996</v>
      </c>
      <c r="L15" s="123"/>
      <c r="M15" s="124"/>
      <c r="P15" s="88"/>
      <c r="Q15" s="89"/>
    </row>
    <row r="16" spans="1:20" ht="20.100000000000001" customHeight="1" x14ac:dyDescent="0.2">
      <c r="A16" s="84">
        <v>15</v>
      </c>
      <c r="B16" s="77">
        <v>19</v>
      </c>
      <c r="C16" s="78">
        <v>61</v>
      </c>
      <c r="D16" s="79">
        <v>58</v>
      </c>
      <c r="E16" s="160"/>
      <c r="F16" s="92">
        <f t="shared" ca="1" si="0"/>
        <v>9.35</v>
      </c>
      <c r="G16" s="49">
        <f t="shared" ca="1" si="1"/>
        <v>7.29</v>
      </c>
      <c r="H16" s="93">
        <f t="shared" ca="1" si="2"/>
        <v>6.31</v>
      </c>
      <c r="I16" s="93"/>
      <c r="J16" s="86"/>
      <c r="K16" s="129">
        <f t="shared" ca="1" si="3"/>
        <v>9.35</v>
      </c>
      <c r="L16" s="123"/>
      <c r="M16" s="124"/>
      <c r="P16" s="88"/>
      <c r="Q16" s="89"/>
    </row>
    <row r="17" spans="1:17" ht="20.100000000000001" customHeight="1" x14ac:dyDescent="0.2">
      <c r="A17" s="84">
        <v>16</v>
      </c>
      <c r="B17" s="77">
        <v>31</v>
      </c>
      <c r="C17" s="78">
        <v>48</v>
      </c>
      <c r="D17" s="79">
        <v>10</v>
      </c>
      <c r="E17" s="160"/>
      <c r="F17" s="92">
        <f t="shared" ca="1" si="0"/>
        <v>4.75</v>
      </c>
      <c r="G17" s="49">
        <f t="shared" ca="1" si="1"/>
        <v>7.42</v>
      </c>
      <c r="H17" s="93">
        <f t="shared" ca="1" si="2"/>
        <v>13.01</v>
      </c>
      <c r="I17" s="93"/>
      <c r="J17" s="86"/>
      <c r="K17" s="129">
        <f t="shared" ca="1" si="3"/>
        <v>13.01</v>
      </c>
      <c r="L17" s="123"/>
      <c r="M17" s="124"/>
      <c r="P17" s="88"/>
      <c r="Q17" s="89"/>
    </row>
    <row r="18" spans="1:17" ht="20.100000000000001" customHeight="1" x14ac:dyDescent="0.2">
      <c r="A18" s="84">
        <v>17</v>
      </c>
      <c r="B18" s="77">
        <v>14</v>
      </c>
      <c r="C18" s="78">
        <v>52</v>
      </c>
      <c r="D18" s="79">
        <v>9</v>
      </c>
      <c r="E18" s="160"/>
      <c r="F18" s="92">
        <f t="shared" ca="1" si="0"/>
        <v>10.53</v>
      </c>
      <c r="G18" s="49">
        <f t="shared" ca="1" si="1"/>
        <v>2.66</v>
      </c>
      <c r="H18" s="93">
        <f t="shared" ca="1" si="2"/>
        <v>11.09</v>
      </c>
      <c r="I18" s="93"/>
      <c r="J18" s="86"/>
      <c r="K18" s="129">
        <f t="shared" ca="1" si="3"/>
        <v>11.09</v>
      </c>
      <c r="L18" s="123"/>
      <c r="M18" s="124"/>
      <c r="P18" s="88"/>
      <c r="Q18" s="89"/>
    </row>
    <row r="19" spans="1:17" ht="20.100000000000001" customHeight="1" x14ac:dyDescent="0.2">
      <c r="A19" s="84">
        <v>18</v>
      </c>
      <c r="B19" s="77">
        <v>56</v>
      </c>
      <c r="C19" s="78">
        <v>59</v>
      </c>
      <c r="D19" s="79">
        <v>7</v>
      </c>
      <c r="E19" s="160"/>
      <c r="F19" s="92">
        <f t="shared" ca="1" si="0"/>
        <v>9.0299999999999994</v>
      </c>
      <c r="G19" s="49">
        <f t="shared" ca="1" si="1"/>
        <v>1.98</v>
      </c>
      <c r="H19" s="93">
        <f t="shared" ca="1" si="2"/>
        <v>11.32</v>
      </c>
      <c r="I19" s="93"/>
      <c r="J19" s="86"/>
      <c r="K19" s="129">
        <f t="shared" ca="1" si="3"/>
        <v>11.32</v>
      </c>
      <c r="L19" s="123"/>
      <c r="M19" s="124"/>
      <c r="P19" s="88"/>
      <c r="Q19" s="89"/>
    </row>
    <row r="20" spans="1:17" ht="20.100000000000001" customHeight="1" x14ac:dyDescent="0.2">
      <c r="A20" s="84">
        <v>19</v>
      </c>
      <c r="B20" s="77">
        <v>11</v>
      </c>
      <c r="C20" s="78">
        <v>32</v>
      </c>
      <c r="D20" s="79">
        <v>36</v>
      </c>
      <c r="E20" s="160"/>
      <c r="F20" s="92">
        <f t="shared" ca="1" si="0"/>
        <v>7.09</v>
      </c>
      <c r="G20" s="49">
        <f t="shared" ca="1" si="1"/>
        <v>9.3800000000000008</v>
      </c>
      <c r="H20" s="93">
        <f t="shared" ca="1" si="2"/>
        <v>4.07</v>
      </c>
      <c r="I20" s="93"/>
      <c r="J20" s="86"/>
      <c r="K20" s="129">
        <f t="shared" ca="1" si="3"/>
        <v>9.3800000000000008</v>
      </c>
      <c r="L20" s="123"/>
      <c r="M20" s="124"/>
      <c r="P20" s="88"/>
      <c r="Q20" s="89"/>
    </row>
    <row r="21" spans="1:17" ht="20.100000000000001" customHeight="1" x14ac:dyDescent="0.2">
      <c r="A21" s="84">
        <v>20</v>
      </c>
      <c r="B21" s="77">
        <v>71</v>
      </c>
      <c r="C21" s="78">
        <v>26</v>
      </c>
      <c r="D21" s="79">
        <v>39</v>
      </c>
      <c r="E21" s="160"/>
      <c r="F21" s="92">
        <f t="shared" ca="1" si="0"/>
        <v>0</v>
      </c>
      <c r="G21" s="49">
        <f t="shared" ca="1" si="1"/>
        <v>7.15</v>
      </c>
      <c r="H21" s="93">
        <f t="shared" ca="1" si="2"/>
        <v>4.05</v>
      </c>
      <c r="I21" s="93"/>
      <c r="J21" s="86"/>
      <c r="K21" s="129">
        <f t="shared" ca="1" si="3"/>
        <v>7.15</v>
      </c>
      <c r="L21" s="123"/>
      <c r="M21" s="124"/>
      <c r="P21" s="88"/>
      <c r="Q21" s="89"/>
    </row>
    <row r="22" spans="1:17" ht="20.100000000000001" customHeight="1" x14ac:dyDescent="0.2">
      <c r="A22" s="84">
        <v>21</v>
      </c>
      <c r="B22" s="77">
        <v>20</v>
      </c>
      <c r="C22" s="78">
        <v>6</v>
      </c>
      <c r="D22" s="79">
        <v>41</v>
      </c>
      <c r="E22" s="160"/>
      <c r="F22" s="92">
        <f t="shared" ca="1" si="0"/>
        <v>6.95</v>
      </c>
      <c r="G22" s="49">
        <f t="shared" ca="1" si="1"/>
        <v>11.53</v>
      </c>
      <c r="H22" s="93">
        <f t="shared" ca="1" si="2"/>
        <v>8.6300000000000008</v>
      </c>
      <c r="I22" s="93"/>
      <c r="J22" s="86"/>
      <c r="K22" s="129">
        <f t="shared" ca="1" si="3"/>
        <v>11.53</v>
      </c>
      <c r="L22" s="123"/>
      <c r="M22" s="124"/>
      <c r="P22" s="88"/>
      <c r="Q22" s="89"/>
    </row>
    <row r="23" spans="1:17" ht="20.100000000000001" customHeight="1" x14ac:dyDescent="0.2">
      <c r="A23" s="84">
        <v>22</v>
      </c>
      <c r="B23" s="77">
        <v>67</v>
      </c>
      <c r="C23" s="78">
        <v>16</v>
      </c>
      <c r="D23" s="79">
        <v>42</v>
      </c>
      <c r="E23" s="160"/>
      <c r="F23" s="92">
        <f t="shared" ca="1" si="0"/>
        <v>4.12</v>
      </c>
      <c r="G23" s="49">
        <f t="shared" ca="1" si="1"/>
        <v>13.24</v>
      </c>
      <c r="H23" s="93">
        <f t="shared" ca="1" si="2"/>
        <v>10.7</v>
      </c>
      <c r="I23" s="93"/>
      <c r="J23" s="86"/>
      <c r="K23" s="129">
        <f t="shared" ca="1" si="3"/>
        <v>13.24</v>
      </c>
      <c r="L23" s="123"/>
      <c r="M23" s="124"/>
      <c r="P23" s="88"/>
      <c r="Q23" s="89"/>
    </row>
    <row r="24" spans="1:17" ht="20.100000000000001" customHeight="1" x14ac:dyDescent="0.2">
      <c r="A24" s="84">
        <v>23</v>
      </c>
      <c r="B24" s="77">
        <v>72</v>
      </c>
      <c r="C24" s="78">
        <v>15</v>
      </c>
      <c r="D24" s="79">
        <v>60</v>
      </c>
      <c r="E24" s="160"/>
      <c r="F24" s="92">
        <f t="shared" ca="1" si="0"/>
        <v>0</v>
      </c>
      <c r="G24" s="49">
        <f t="shared" ca="1" si="1"/>
        <v>6.76</v>
      </c>
      <c r="H24" s="93">
        <f t="shared" ca="1" si="2"/>
        <v>5.57</v>
      </c>
      <c r="I24" s="93"/>
      <c r="J24" s="86"/>
      <c r="K24" s="129">
        <f t="shared" ca="1" si="3"/>
        <v>6.76</v>
      </c>
      <c r="L24" s="123"/>
      <c r="M24" s="124"/>
      <c r="P24" s="88"/>
      <c r="Q24" s="89"/>
    </row>
    <row r="25" spans="1:17" ht="20.100000000000001" customHeight="1" x14ac:dyDescent="0.2">
      <c r="A25" s="84">
        <v>24</v>
      </c>
      <c r="B25" s="77">
        <v>37</v>
      </c>
      <c r="C25" s="78">
        <v>50</v>
      </c>
      <c r="D25" s="79">
        <v>13</v>
      </c>
      <c r="E25" s="160"/>
      <c r="F25" s="92">
        <f t="shared" ca="1" si="0"/>
        <v>9.9700000000000006</v>
      </c>
      <c r="G25" s="49">
        <f t="shared" ca="1" si="1"/>
        <v>4.0999999999999996</v>
      </c>
      <c r="H25" s="93">
        <f t="shared" ca="1" si="2"/>
        <v>8.18</v>
      </c>
      <c r="I25" s="93"/>
      <c r="J25" s="86"/>
      <c r="K25" s="129">
        <f t="shared" ca="1" si="3"/>
        <v>9.9700000000000006</v>
      </c>
      <c r="L25" s="123"/>
      <c r="M25" s="124"/>
      <c r="P25" s="88"/>
      <c r="Q25" s="89"/>
    </row>
    <row r="26" spans="1:17" ht="20.100000000000001" customHeight="1" x14ac:dyDescent="0.2">
      <c r="A26" s="84">
        <v>25</v>
      </c>
      <c r="B26" s="77">
        <v>69</v>
      </c>
      <c r="C26" s="78">
        <v>57</v>
      </c>
      <c r="D26" s="79">
        <v>2</v>
      </c>
      <c r="E26" s="160"/>
      <c r="F26" s="92">
        <f t="shared" ca="1" si="0"/>
        <v>0</v>
      </c>
      <c r="G26" s="49">
        <f t="shared" ca="1" si="1"/>
        <v>4.2300000000000004</v>
      </c>
      <c r="H26" s="93">
        <f t="shared" ca="1" si="2"/>
        <v>18</v>
      </c>
      <c r="I26" s="93"/>
      <c r="J26" s="86"/>
      <c r="K26" s="129">
        <f t="shared" ca="1" si="3"/>
        <v>18</v>
      </c>
      <c r="L26" s="123"/>
      <c r="M26" s="124"/>
      <c r="P26" s="88"/>
      <c r="Q26" s="89"/>
    </row>
    <row r="27" spans="1:17" ht="20.100000000000001" customHeight="1" x14ac:dyDescent="0.2">
      <c r="A27" s="84">
        <v>26</v>
      </c>
      <c r="B27" s="77"/>
      <c r="C27" s="78"/>
      <c r="D27" s="79"/>
      <c r="E27" s="160"/>
      <c r="F27" s="92" t="str">
        <f t="shared" ca="1" si="0"/>
        <v>-</v>
      </c>
      <c r="G27" s="49" t="str">
        <f t="shared" ca="1" si="1"/>
        <v>-</v>
      </c>
      <c r="H27" s="93" t="str">
        <f t="shared" ca="1" si="2"/>
        <v>-</v>
      </c>
      <c r="I27" s="93"/>
      <c r="J27" s="86"/>
      <c r="K27" s="129" t="str">
        <f t="shared" ca="1" si="3"/>
        <v>-</v>
      </c>
      <c r="L27" s="123"/>
      <c r="M27" s="124"/>
      <c r="P27" s="88"/>
      <c r="Q27" s="89"/>
    </row>
    <row r="28" spans="1:17" ht="20.100000000000001" customHeight="1" x14ac:dyDescent="0.2">
      <c r="A28" s="84"/>
      <c r="B28" s="77"/>
      <c r="C28" s="78"/>
      <c r="D28" s="79"/>
      <c r="E28" s="160"/>
      <c r="F28" s="92"/>
      <c r="G28" s="49"/>
      <c r="H28" s="93"/>
      <c r="I28" s="93"/>
      <c r="J28" s="86"/>
      <c r="K28" s="94"/>
      <c r="L28" s="123"/>
      <c r="M28" s="124"/>
    </row>
    <row r="29" spans="1:17" ht="20.100000000000001" customHeight="1" x14ac:dyDescent="0.2">
      <c r="A29" s="84"/>
      <c r="B29" s="77"/>
      <c r="C29" s="78"/>
      <c r="D29" s="79"/>
      <c r="E29" s="160"/>
      <c r="F29" s="92"/>
      <c r="G29" s="49"/>
      <c r="H29" s="93"/>
      <c r="I29" s="93"/>
      <c r="J29" s="86"/>
      <c r="K29" s="94"/>
      <c r="L29" s="123"/>
      <c r="M29" s="124"/>
    </row>
    <row r="30" spans="1:17" ht="20.100000000000001" customHeight="1" x14ac:dyDescent="0.2">
      <c r="A30" s="84"/>
      <c r="B30" s="77"/>
      <c r="C30" s="78"/>
      <c r="D30" s="79"/>
      <c r="E30" s="160"/>
      <c r="F30" s="92"/>
      <c r="G30" s="49"/>
      <c r="H30" s="93"/>
      <c r="I30" s="93"/>
      <c r="J30" s="86"/>
      <c r="K30" s="94"/>
      <c r="L30" s="123"/>
      <c r="M30" s="124"/>
    </row>
    <row r="31" spans="1:17" ht="20.100000000000001" customHeight="1" x14ac:dyDescent="0.2">
      <c r="A31" s="84"/>
      <c r="B31" s="77"/>
      <c r="C31" s="78"/>
      <c r="D31" s="79"/>
      <c r="E31" s="160"/>
      <c r="F31" s="92"/>
      <c r="G31" s="49"/>
      <c r="H31" s="93"/>
      <c r="I31" s="93"/>
      <c r="J31" s="86"/>
      <c r="K31" s="94"/>
      <c r="L31" s="123"/>
      <c r="M31" s="124"/>
    </row>
    <row r="32" spans="1:17" ht="20.100000000000001" customHeight="1" x14ac:dyDescent="0.2">
      <c r="A32" s="84"/>
      <c r="B32" s="77"/>
      <c r="C32" s="78"/>
      <c r="D32" s="79"/>
      <c r="E32" s="160"/>
      <c r="F32" s="92"/>
      <c r="G32" s="49"/>
      <c r="H32" s="93"/>
      <c r="I32" s="93"/>
      <c r="J32" s="86"/>
      <c r="K32" s="94"/>
      <c r="L32" s="123"/>
      <c r="M32" s="124"/>
    </row>
    <row r="33" spans="1:13" ht="20.100000000000001" customHeight="1" x14ac:dyDescent="0.2">
      <c r="A33" s="84"/>
      <c r="B33" s="77"/>
      <c r="C33" s="78"/>
      <c r="D33" s="79"/>
      <c r="E33" s="160"/>
      <c r="F33" s="92"/>
      <c r="G33" s="49"/>
      <c r="H33" s="93"/>
      <c r="I33" s="93"/>
      <c r="J33" s="86"/>
      <c r="K33" s="94"/>
      <c r="L33" s="123"/>
      <c r="M33" s="124"/>
    </row>
    <row r="34" spans="1:13" ht="20.100000000000001" customHeight="1" x14ac:dyDescent="0.2">
      <c r="A34" s="84"/>
      <c r="B34" s="77"/>
      <c r="C34" s="78"/>
      <c r="D34" s="79"/>
      <c r="E34" s="160"/>
      <c r="F34" s="92"/>
      <c r="G34" s="49"/>
      <c r="H34" s="93"/>
      <c r="I34" s="93"/>
      <c r="J34" s="86"/>
      <c r="K34" s="94"/>
      <c r="L34" s="123"/>
      <c r="M34" s="124"/>
    </row>
    <row r="35" spans="1:13" ht="20.100000000000001" customHeight="1" x14ac:dyDescent="0.2">
      <c r="A35" s="84"/>
      <c r="B35" s="77"/>
      <c r="C35" s="78"/>
      <c r="D35" s="79"/>
      <c r="E35" s="160"/>
      <c r="F35" s="92"/>
      <c r="G35" s="49"/>
      <c r="H35" s="93"/>
      <c r="I35" s="93"/>
      <c r="J35" s="86"/>
      <c r="K35" s="94"/>
      <c r="L35" s="123"/>
      <c r="M35" s="124"/>
    </row>
    <row r="36" spans="1:13" ht="20.100000000000001" customHeight="1" x14ac:dyDescent="0.2">
      <c r="A36" s="84"/>
      <c r="B36" s="77"/>
      <c r="C36" s="78"/>
      <c r="D36" s="79"/>
      <c r="E36" s="160"/>
      <c r="F36" s="92"/>
      <c r="G36" s="49"/>
      <c r="H36" s="93"/>
      <c r="I36" s="93"/>
      <c r="J36" s="86"/>
      <c r="K36" s="94"/>
      <c r="L36" s="123"/>
      <c r="M36" s="124"/>
    </row>
    <row r="37" spans="1:13" ht="20.100000000000001" customHeight="1" x14ac:dyDescent="0.2">
      <c r="A37" s="84"/>
      <c r="B37" s="77"/>
      <c r="C37" s="78"/>
      <c r="D37" s="79"/>
      <c r="E37" s="160"/>
      <c r="F37" s="92"/>
      <c r="G37" s="49"/>
      <c r="H37" s="93"/>
      <c r="I37" s="93"/>
      <c r="J37" s="86"/>
      <c r="K37" s="94"/>
      <c r="L37" s="123"/>
      <c r="M37" s="124"/>
    </row>
    <row r="38" spans="1:13" ht="20.100000000000001" customHeight="1" x14ac:dyDescent="0.2">
      <c r="A38" s="84"/>
      <c r="B38" s="77"/>
      <c r="C38" s="78"/>
      <c r="D38" s="79"/>
      <c r="E38" s="160"/>
      <c r="F38" s="92"/>
      <c r="G38" s="49"/>
      <c r="H38" s="93"/>
      <c r="I38" s="93"/>
      <c r="J38" s="86"/>
      <c r="K38" s="94"/>
      <c r="L38" s="123"/>
      <c r="M38" s="124"/>
    </row>
    <row r="39" spans="1:13" ht="20.100000000000001" customHeight="1" x14ac:dyDescent="0.2">
      <c r="A39" s="84"/>
      <c r="B39" s="77"/>
      <c r="C39" s="78"/>
      <c r="D39" s="79"/>
      <c r="E39" s="160"/>
      <c r="F39" s="92"/>
      <c r="G39" s="49"/>
      <c r="H39" s="93"/>
      <c r="I39" s="93"/>
      <c r="J39" s="86"/>
      <c r="K39" s="94"/>
      <c r="L39" s="123"/>
      <c r="M39" s="124"/>
    </row>
    <row r="40" spans="1:13" ht="20.100000000000001" customHeight="1" x14ac:dyDescent="0.2">
      <c r="A40" s="84"/>
      <c r="B40" s="77"/>
      <c r="C40" s="78"/>
      <c r="D40" s="79"/>
      <c r="E40" s="160"/>
      <c r="F40" s="92"/>
      <c r="G40" s="49"/>
      <c r="H40" s="93"/>
      <c r="I40" s="93"/>
      <c r="J40" s="86"/>
      <c r="K40" s="94"/>
      <c r="L40" s="123"/>
      <c r="M40" s="124"/>
    </row>
    <row r="41" spans="1:13" ht="20.100000000000001" customHeight="1" x14ac:dyDescent="0.2">
      <c r="A41" s="84"/>
      <c r="B41" s="77"/>
      <c r="C41" s="78"/>
      <c r="D41" s="79"/>
      <c r="E41" s="160"/>
      <c r="F41" s="92"/>
      <c r="G41" s="49"/>
      <c r="H41" s="93"/>
      <c r="I41" s="93"/>
      <c r="J41" s="86"/>
      <c r="K41" s="94"/>
      <c r="L41" s="123"/>
      <c r="M41" s="124"/>
    </row>
    <row r="42" spans="1:13" ht="20.100000000000001" customHeight="1" x14ac:dyDescent="0.2">
      <c r="A42" s="84"/>
      <c r="B42" s="77"/>
      <c r="C42" s="78"/>
      <c r="D42" s="79"/>
      <c r="E42" s="160"/>
      <c r="F42" s="92"/>
      <c r="G42" s="49"/>
      <c r="H42" s="93"/>
      <c r="I42" s="93"/>
      <c r="J42" s="86"/>
      <c r="K42" s="94"/>
      <c r="L42" s="123"/>
      <c r="M42" s="124"/>
    </row>
    <row r="43" spans="1:13" ht="20.100000000000001" customHeight="1" x14ac:dyDescent="0.2">
      <c r="A43" s="84"/>
      <c r="B43" s="77"/>
      <c r="C43" s="78"/>
      <c r="D43" s="79"/>
      <c r="E43" s="160"/>
      <c r="F43" s="92"/>
      <c r="G43" s="49"/>
      <c r="H43" s="93"/>
      <c r="I43" s="93"/>
      <c r="J43" s="86"/>
      <c r="K43" s="94"/>
      <c r="L43" s="123"/>
      <c r="M43" s="124"/>
    </row>
    <row r="44" spans="1:13" ht="20.100000000000001" customHeight="1" x14ac:dyDescent="0.2">
      <c r="A44" s="84"/>
      <c r="B44" s="77"/>
      <c r="C44" s="78"/>
      <c r="D44" s="79"/>
      <c r="E44" s="160"/>
      <c r="F44" s="92"/>
      <c r="G44" s="49"/>
      <c r="H44" s="93"/>
      <c r="I44" s="93"/>
      <c r="J44" s="86"/>
      <c r="K44" s="94"/>
      <c r="L44" s="123"/>
      <c r="M44" s="124"/>
    </row>
    <row r="45" spans="1:13" ht="20.100000000000001" customHeight="1" x14ac:dyDescent="0.2">
      <c r="A45" s="84"/>
      <c r="B45" s="77"/>
      <c r="C45" s="78"/>
      <c r="D45" s="79"/>
      <c r="E45" s="160"/>
      <c r="F45" s="92"/>
      <c r="G45" s="49"/>
      <c r="H45" s="93"/>
      <c r="I45" s="93"/>
      <c r="J45" s="86"/>
      <c r="K45" s="94"/>
      <c r="L45" s="123"/>
      <c r="M45" s="124"/>
    </row>
    <row r="46" spans="1:13" ht="20.100000000000001" customHeight="1" x14ac:dyDescent="0.2">
      <c r="A46" s="84"/>
      <c r="B46" s="77"/>
      <c r="C46" s="78"/>
      <c r="D46" s="79"/>
      <c r="E46" s="160"/>
      <c r="F46" s="92"/>
      <c r="G46" s="49"/>
      <c r="H46" s="93"/>
      <c r="I46" s="93"/>
      <c r="J46" s="86"/>
      <c r="K46" s="94"/>
      <c r="L46" s="123"/>
      <c r="M46" s="124"/>
    </row>
    <row r="47" spans="1:13" ht="20.100000000000001" customHeight="1" x14ac:dyDescent="0.2">
      <c r="A47" s="84"/>
      <c r="B47" s="77"/>
      <c r="C47" s="78"/>
      <c r="D47" s="79"/>
      <c r="E47" s="160"/>
      <c r="F47" s="92"/>
      <c r="G47" s="49"/>
      <c r="H47" s="93"/>
      <c r="I47" s="93"/>
      <c r="J47" s="86"/>
      <c r="K47" s="94"/>
      <c r="L47" s="123"/>
      <c r="M47" s="124"/>
    </row>
    <row r="48" spans="1:13" ht="20.100000000000001" customHeight="1" x14ac:dyDescent="0.2">
      <c r="A48" s="84"/>
      <c r="B48" s="77"/>
      <c r="C48" s="78"/>
      <c r="D48" s="79"/>
      <c r="E48" s="160"/>
      <c r="F48" s="92"/>
      <c r="G48" s="49"/>
      <c r="H48" s="93"/>
      <c r="I48" s="93"/>
      <c r="J48" s="86"/>
      <c r="K48" s="94"/>
      <c r="L48" s="123"/>
      <c r="M48" s="124"/>
    </row>
    <row r="49" spans="1:13" ht="20.100000000000001" customHeight="1" x14ac:dyDescent="0.2">
      <c r="A49" s="84"/>
      <c r="B49" s="77"/>
      <c r="C49" s="78"/>
      <c r="D49" s="79"/>
      <c r="E49" s="160"/>
      <c r="F49" s="92"/>
      <c r="G49" s="49"/>
      <c r="H49" s="93"/>
      <c r="I49" s="93"/>
      <c r="J49" s="86"/>
      <c r="K49" s="94"/>
      <c r="L49" s="123"/>
      <c r="M49" s="124"/>
    </row>
    <row r="50" spans="1:13" ht="20.100000000000001" customHeight="1" x14ac:dyDescent="0.2">
      <c r="A50" s="84"/>
      <c r="B50" s="77"/>
      <c r="C50" s="78"/>
      <c r="D50" s="79"/>
      <c r="E50" s="160"/>
      <c r="F50" s="92"/>
      <c r="G50" s="49"/>
      <c r="H50" s="93"/>
      <c r="I50" s="93"/>
      <c r="J50" s="86"/>
      <c r="K50" s="94"/>
      <c r="L50" s="123"/>
      <c r="M50" s="124"/>
    </row>
    <row r="51" spans="1:13" ht="20.100000000000001" customHeight="1" x14ac:dyDescent="0.2">
      <c r="A51" s="84"/>
      <c r="B51" s="77"/>
      <c r="C51" s="78"/>
      <c r="D51" s="79"/>
      <c r="E51" s="160"/>
      <c r="F51" s="92"/>
      <c r="G51" s="49"/>
      <c r="H51" s="93"/>
      <c r="I51" s="93"/>
      <c r="J51" s="86"/>
      <c r="K51" s="94"/>
      <c r="L51" s="123"/>
      <c r="M51" s="124"/>
    </row>
    <row r="52" spans="1:13" ht="20.100000000000001" customHeight="1" x14ac:dyDescent="0.2">
      <c r="A52" s="84"/>
      <c r="B52" s="77"/>
      <c r="C52" s="78"/>
      <c r="D52" s="79"/>
      <c r="E52" s="160"/>
      <c r="F52" s="92"/>
      <c r="G52" s="49"/>
      <c r="H52" s="93"/>
      <c r="I52" s="93"/>
      <c r="J52" s="86"/>
      <c r="K52" s="94"/>
      <c r="L52" s="123"/>
      <c r="M52" s="124"/>
    </row>
    <row r="53" spans="1:13" ht="20.100000000000001" customHeight="1" x14ac:dyDescent="0.2">
      <c r="A53" s="84"/>
      <c r="B53" s="77"/>
      <c r="C53" s="78"/>
      <c r="D53" s="79"/>
      <c r="E53" s="160"/>
      <c r="F53" s="92"/>
      <c r="G53" s="49"/>
      <c r="H53" s="93"/>
      <c r="I53" s="93"/>
      <c r="J53" s="86"/>
      <c r="K53" s="94"/>
      <c r="L53" s="123"/>
      <c r="M53" s="124"/>
    </row>
    <row r="54" spans="1:13" ht="20.100000000000001" customHeight="1" x14ac:dyDescent="0.2">
      <c r="A54" s="84"/>
      <c r="B54" s="77"/>
      <c r="C54" s="78"/>
      <c r="D54" s="79"/>
      <c r="E54" s="160"/>
      <c r="F54" s="92"/>
      <c r="G54" s="49"/>
      <c r="H54" s="93"/>
      <c r="I54" s="93"/>
      <c r="J54" s="86"/>
      <c r="K54" s="94"/>
      <c r="L54" s="123"/>
      <c r="M54" s="124"/>
    </row>
    <row r="55" spans="1:13" x14ac:dyDescent="0.2">
      <c r="A55" s="84"/>
      <c r="B55" s="77"/>
      <c r="C55" s="78"/>
      <c r="D55" s="79"/>
      <c r="E55" s="160"/>
      <c r="F55" s="92"/>
      <c r="G55" s="49"/>
      <c r="H55" s="93"/>
      <c r="I55" s="93"/>
      <c r="J55" s="86"/>
      <c r="K55" s="94"/>
      <c r="L55" s="123"/>
      <c r="M55" s="124"/>
    </row>
    <row r="56" spans="1:13" x14ac:dyDescent="0.2">
      <c r="A56" s="84"/>
      <c r="B56" s="77"/>
      <c r="C56" s="78"/>
      <c r="D56" s="79"/>
      <c r="E56" s="160"/>
      <c r="F56" s="92"/>
      <c r="G56" s="49"/>
      <c r="H56" s="93"/>
      <c r="I56" s="93"/>
      <c r="J56" s="86"/>
      <c r="K56" s="94"/>
      <c r="L56" s="123"/>
      <c r="M56" s="124"/>
    </row>
    <row r="57" spans="1:13" x14ac:dyDescent="0.2">
      <c r="A57" s="84"/>
      <c r="B57" s="77"/>
      <c r="C57" s="78"/>
      <c r="D57" s="79"/>
      <c r="E57" s="160"/>
      <c r="F57" s="92"/>
      <c r="G57" s="49"/>
      <c r="H57" s="93"/>
      <c r="I57" s="93"/>
      <c r="J57" s="86"/>
      <c r="K57" s="94"/>
      <c r="L57" s="123"/>
      <c r="M57" s="124"/>
    </row>
    <row r="58" spans="1:13" x14ac:dyDescent="0.2">
      <c r="A58" s="84"/>
      <c r="B58" s="77"/>
      <c r="C58" s="78"/>
      <c r="D58" s="79"/>
      <c r="E58" s="160"/>
      <c r="F58" s="92"/>
      <c r="G58" s="49"/>
      <c r="H58" s="93"/>
      <c r="I58" s="93"/>
      <c r="J58" s="86"/>
      <c r="K58" s="94"/>
      <c r="L58" s="123"/>
      <c r="M58" s="124"/>
    </row>
    <row r="59" spans="1:13" x14ac:dyDescent="0.2">
      <c r="A59" s="84"/>
      <c r="B59" s="77"/>
      <c r="C59" s="78"/>
      <c r="D59" s="79"/>
      <c r="E59" s="160"/>
      <c r="F59" s="92"/>
      <c r="G59" s="49"/>
      <c r="H59" s="93"/>
      <c r="I59" s="93"/>
      <c r="J59" s="86"/>
      <c r="K59" s="94"/>
      <c r="L59" s="123"/>
      <c r="M59" s="124"/>
    </row>
    <row r="60" spans="1:13" x14ac:dyDescent="0.2">
      <c r="A60" s="84"/>
      <c r="B60" s="77"/>
      <c r="C60" s="78"/>
      <c r="D60" s="79"/>
      <c r="E60" s="160"/>
      <c r="F60" s="92"/>
      <c r="G60" s="49"/>
      <c r="H60" s="93"/>
      <c r="I60" s="93"/>
      <c r="J60" s="86"/>
      <c r="K60" s="94"/>
      <c r="L60" s="123"/>
      <c r="M60" s="124"/>
    </row>
    <row r="61" spans="1:13" x14ac:dyDescent="0.2">
      <c r="A61" s="84"/>
      <c r="B61" s="77"/>
      <c r="C61" s="78"/>
      <c r="D61" s="79"/>
      <c r="E61" s="160"/>
      <c r="F61" s="92"/>
      <c r="G61" s="49"/>
      <c r="H61" s="93"/>
      <c r="I61" s="93"/>
      <c r="J61" s="86"/>
      <c r="K61" s="94"/>
      <c r="L61" s="123"/>
      <c r="M61" s="124"/>
    </row>
    <row r="62" spans="1:13" x14ac:dyDescent="0.2">
      <c r="A62" s="84"/>
      <c r="B62" s="77"/>
      <c r="C62" s="78"/>
      <c r="D62" s="79"/>
      <c r="E62" s="160"/>
      <c r="F62" s="92"/>
      <c r="G62" s="49"/>
      <c r="H62" s="93"/>
      <c r="I62" s="93"/>
      <c r="J62" s="86"/>
      <c r="K62" s="94"/>
      <c r="L62" s="123"/>
      <c r="M62" s="124"/>
    </row>
    <row r="63" spans="1:13" x14ac:dyDescent="0.2">
      <c r="A63" s="84"/>
      <c r="B63" s="77"/>
      <c r="C63" s="78"/>
      <c r="D63" s="79"/>
      <c r="E63" s="160"/>
      <c r="F63" s="92"/>
      <c r="G63" s="49"/>
      <c r="H63" s="93"/>
      <c r="I63" s="93"/>
      <c r="J63" s="86"/>
      <c r="K63" s="94"/>
      <c r="L63" s="123"/>
      <c r="M63" s="124"/>
    </row>
    <row r="64" spans="1:13" x14ac:dyDescent="0.2">
      <c r="A64" s="84"/>
      <c r="B64" s="77"/>
      <c r="C64" s="78"/>
      <c r="D64" s="79"/>
      <c r="E64" s="160"/>
      <c r="F64" s="92"/>
      <c r="G64" s="49"/>
      <c r="H64" s="93"/>
      <c r="I64" s="93"/>
      <c r="J64" s="86"/>
      <c r="K64" s="94"/>
      <c r="L64" s="123"/>
      <c r="M64" s="124"/>
    </row>
    <row r="65" spans="1:13" x14ac:dyDescent="0.2">
      <c r="A65" s="84"/>
      <c r="B65" s="77"/>
      <c r="C65" s="78"/>
      <c r="D65" s="79"/>
      <c r="E65" s="160"/>
      <c r="F65" s="92"/>
      <c r="G65" s="49"/>
      <c r="H65" s="93"/>
      <c r="I65" s="93"/>
      <c r="J65" s="86"/>
      <c r="K65" s="94"/>
      <c r="L65" s="123"/>
      <c r="M65" s="124"/>
    </row>
    <row r="66" spans="1:13" x14ac:dyDescent="0.2">
      <c r="A66" s="84"/>
      <c r="B66" s="77"/>
      <c r="C66" s="78"/>
      <c r="D66" s="79"/>
      <c r="E66" s="160"/>
      <c r="F66" s="92"/>
      <c r="G66" s="49"/>
      <c r="H66" s="93"/>
      <c r="I66" s="93"/>
      <c r="J66" s="86"/>
      <c r="K66" s="94"/>
      <c r="L66" s="123"/>
      <c r="M66" s="124"/>
    </row>
    <row r="67" spans="1:13" x14ac:dyDescent="0.2">
      <c r="A67" s="84"/>
      <c r="B67" s="77"/>
      <c r="C67" s="78"/>
      <c r="D67" s="79"/>
      <c r="E67" s="160"/>
      <c r="F67" s="92"/>
      <c r="G67" s="49"/>
      <c r="H67" s="93"/>
      <c r="I67" s="93"/>
      <c r="J67" s="86"/>
      <c r="K67" s="94"/>
      <c r="L67" s="123"/>
      <c r="M67" s="124"/>
    </row>
    <row r="68" spans="1:13" x14ac:dyDescent="0.2">
      <c r="A68" s="84"/>
      <c r="B68" s="77"/>
      <c r="C68" s="78"/>
      <c r="D68" s="79"/>
      <c r="E68" s="160"/>
      <c r="F68" s="92"/>
      <c r="G68" s="49"/>
      <c r="H68" s="93"/>
      <c r="I68" s="93"/>
      <c r="J68" s="86"/>
      <c r="K68" s="94"/>
      <c r="L68" s="123"/>
      <c r="M68" s="124"/>
    </row>
    <row r="69" spans="1:13" x14ac:dyDescent="0.2">
      <c r="A69" s="84"/>
      <c r="B69" s="77"/>
      <c r="C69" s="78"/>
      <c r="D69" s="79"/>
      <c r="E69" s="160"/>
      <c r="F69" s="92"/>
      <c r="G69" s="49"/>
      <c r="H69" s="93"/>
      <c r="I69" s="93"/>
      <c r="J69" s="86"/>
      <c r="K69" s="94"/>
      <c r="L69" s="123"/>
      <c r="M69" s="124"/>
    </row>
    <row r="70" spans="1:13" x14ac:dyDescent="0.2">
      <c r="A70" s="84"/>
      <c r="B70" s="77"/>
      <c r="C70" s="78"/>
      <c r="D70" s="79"/>
      <c r="E70" s="160"/>
      <c r="F70" s="92"/>
      <c r="G70" s="49"/>
      <c r="H70" s="93"/>
      <c r="I70" s="93"/>
      <c r="J70" s="86"/>
      <c r="K70" s="94"/>
      <c r="L70" s="123"/>
      <c r="M70" s="124"/>
    </row>
    <row r="71" spans="1:13" x14ac:dyDescent="0.2">
      <c r="A71" s="84"/>
      <c r="B71" s="77"/>
      <c r="C71" s="78"/>
      <c r="D71" s="79"/>
      <c r="E71" s="160"/>
      <c r="F71" s="92"/>
      <c r="G71" s="49"/>
      <c r="H71" s="93"/>
      <c r="I71" s="93"/>
      <c r="J71" s="86"/>
      <c r="K71" s="94"/>
      <c r="L71" s="123"/>
      <c r="M71" s="124"/>
    </row>
    <row r="72" spans="1:13" x14ac:dyDescent="0.2">
      <c r="A72" s="84"/>
      <c r="B72" s="77"/>
      <c r="C72" s="78"/>
      <c r="D72" s="79"/>
      <c r="E72" s="160"/>
      <c r="F72" s="92"/>
      <c r="G72" s="49"/>
      <c r="H72" s="93"/>
      <c r="I72" s="93"/>
      <c r="J72" s="86"/>
      <c r="K72" s="94"/>
      <c r="L72" s="123"/>
      <c r="M72" s="124"/>
    </row>
    <row r="73" spans="1:13" x14ac:dyDescent="0.2">
      <c r="A73" s="84"/>
      <c r="B73" s="77"/>
      <c r="C73" s="78"/>
      <c r="D73" s="79"/>
      <c r="E73" s="160"/>
      <c r="F73" s="92"/>
      <c r="G73" s="49"/>
      <c r="H73" s="93"/>
      <c r="I73" s="93"/>
      <c r="J73" s="86"/>
      <c r="K73" s="94"/>
      <c r="L73" s="123"/>
      <c r="M73" s="124"/>
    </row>
    <row r="74" spans="1:13" x14ac:dyDescent="0.2">
      <c r="A74" s="84"/>
      <c r="B74" s="77"/>
      <c r="C74" s="78"/>
      <c r="D74" s="79"/>
      <c r="E74" s="160"/>
      <c r="F74" s="92"/>
      <c r="G74" s="49"/>
      <c r="H74" s="93"/>
      <c r="I74" s="93"/>
      <c r="J74" s="86"/>
      <c r="K74" s="94"/>
      <c r="L74" s="123"/>
      <c r="M74" s="124"/>
    </row>
    <row r="75" spans="1:13" x14ac:dyDescent="0.2">
      <c r="A75" s="84"/>
      <c r="B75" s="77"/>
      <c r="C75" s="78"/>
      <c r="D75" s="79"/>
      <c r="E75" s="160"/>
      <c r="F75" s="92"/>
      <c r="G75" s="49"/>
      <c r="H75" s="93"/>
      <c r="I75" s="93"/>
      <c r="J75" s="86"/>
      <c r="K75" s="94"/>
      <c r="L75" s="123"/>
      <c r="M75" s="124"/>
    </row>
    <row r="76" spans="1:13" x14ac:dyDescent="0.2">
      <c r="A76" s="84"/>
      <c r="B76" s="77"/>
      <c r="C76" s="78"/>
      <c r="D76" s="79"/>
      <c r="E76" s="160"/>
      <c r="F76" s="92"/>
      <c r="G76" s="49"/>
      <c r="H76" s="93"/>
      <c r="I76" s="93"/>
      <c r="J76" s="86"/>
      <c r="K76" s="94"/>
      <c r="L76" s="123"/>
      <c r="M76" s="124"/>
    </row>
    <row r="77" spans="1:13" x14ac:dyDescent="0.2">
      <c r="A77" s="84"/>
      <c r="B77" s="77"/>
      <c r="C77" s="78"/>
      <c r="D77" s="79"/>
      <c r="E77" s="160"/>
      <c r="F77" s="92"/>
      <c r="G77" s="49"/>
      <c r="H77" s="93"/>
      <c r="I77" s="93"/>
      <c r="J77" s="86"/>
      <c r="K77" s="94"/>
      <c r="L77" s="123"/>
      <c r="M77" s="124"/>
    </row>
    <row r="78" spans="1:13" x14ac:dyDescent="0.2">
      <c r="A78" s="84"/>
      <c r="B78" s="77"/>
      <c r="C78" s="78"/>
      <c r="D78" s="79"/>
      <c r="E78" s="160"/>
      <c r="F78" s="92"/>
      <c r="G78" s="49"/>
      <c r="H78" s="93"/>
      <c r="I78" s="93"/>
      <c r="J78" s="86"/>
      <c r="K78" s="94"/>
      <c r="L78" s="123"/>
      <c r="M78" s="124"/>
    </row>
    <row r="79" spans="1:13" x14ac:dyDescent="0.2">
      <c r="A79" s="84"/>
      <c r="B79" s="77"/>
      <c r="C79" s="78"/>
      <c r="D79" s="79"/>
      <c r="E79" s="160"/>
      <c r="F79" s="92"/>
      <c r="G79" s="49"/>
      <c r="H79" s="93"/>
      <c r="I79" s="93"/>
      <c r="J79" s="86"/>
      <c r="K79" s="94"/>
      <c r="L79" s="123"/>
      <c r="M79" s="124"/>
    </row>
    <row r="80" spans="1:13" x14ac:dyDescent="0.2">
      <c r="A80" s="84"/>
      <c r="B80" s="77"/>
      <c r="C80" s="78"/>
      <c r="D80" s="79"/>
      <c r="E80" s="160"/>
      <c r="F80" s="92"/>
      <c r="G80" s="49"/>
      <c r="H80" s="93"/>
      <c r="I80" s="93"/>
      <c r="J80" s="86"/>
      <c r="K80" s="94"/>
      <c r="L80" s="123"/>
      <c r="M80" s="124"/>
    </row>
    <row r="81" spans="1:13" x14ac:dyDescent="0.2">
      <c r="A81" s="84"/>
      <c r="B81" s="77"/>
      <c r="C81" s="78"/>
      <c r="D81" s="79"/>
      <c r="E81" s="160"/>
      <c r="F81" s="92"/>
      <c r="G81" s="49"/>
      <c r="H81" s="93"/>
      <c r="I81" s="93"/>
      <c r="J81" s="86"/>
      <c r="K81" s="94"/>
      <c r="L81" s="123"/>
      <c r="M81" s="124"/>
    </row>
    <row r="82" spans="1:13" x14ac:dyDescent="0.2">
      <c r="A82" s="84"/>
      <c r="B82" s="77"/>
      <c r="C82" s="78"/>
      <c r="D82" s="79"/>
      <c r="E82" s="160"/>
      <c r="F82" s="92"/>
      <c r="G82" s="49"/>
      <c r="H82" s="93"/>
      <c r="I82" s="93"/>
      <c r="J82" s="86"/>
      <c r="K82" s="94"/>
      <c r="L82" s="123"/>
      <c r="M82" s="124"/>
    </row>
    <row r="83" spans="1:13" x14ac:dyDescent="0.2">
      <c r="A83" s="84"/>
      <c r="B83" s="77"/>
      <c r="C83" s="78"/>
      <c r="D83" s="79"/>
      <c r="E83" s="160"/>
      <c r="F83" s="92"/>
      <c r="G83" s="49"/>
      <c r="H83" s="93"/>
      <c r="I83" s="93"/>
      <c r="J83" s="86"/>
      <c r="K83" s="94"/>
      <c r="L83" s="123"/>
      <c r="M83" s="124"/>
    </row>
    <row r="84" spans="1:13" x14ac:dyDescent="0.2">
      <c r="A84" s="84"/>
      <c r="B84" s="77"/>
      <c r="C84" s="78"/>
      <c r="D84" s="79"/>
      <c r="E84" s="160"/>
      <c r="F84" s="92"/>
      <c r="G84" s="49"/>
      <c r="H84" s="93"/>
      <c r="I84" s="93"/>
      <c r="J84" s="86"/>
      <c r="K84" s="94"/>
      <c r="L84" s="123"/>
      <c r="M84" s="124"/>
    </row>
    <row r="85" spans="1:13" x14ac:dyDescent="0.2">
      <c r="A85" s="84"/>
      <c r="B85" s="77"/>
      <c r="C85" s="78"/>
      <c r="D85" s="79"/>
      <c r="E85" s="160"/>
      <c r="F85" s="92"/>
      <c r="G85" s="49"/>
      <c r="H85" s="93"/>
      <c r="I85" s="93"/>
      <c r="J85" s="86"/>
      <c r="K85" s="94"/>
      <c r="L85" s="123"/>
      <c r="M85" s="124"/>
    </row>
    <row r="86" spans="1:13" x14ac:dyDescent="0.2">
      <c r="A86" s="84"/>
      <c r="B86" s="77"/>
      <c r="C86" s="78"/>
      <c r="D86" s="79"/>
      <c r="E86" s="160"/>
      <c r="F86" s="92"/>
      <c r="G86" s="49"/>
      <c r="H86" s="93"/>
      <c r="I86" s="93"/>
      <c r="J86" s="86"/>
      <c r="K86" s="94"/>
      <c r="L86" s="123"/>
      <c r="M86" s="124"/>
    </row>
    <row r="87" spans="1:13" x14ac:dyDescent="0.2">
      <c r="A87" s="84"/>
      <c r="B87" s="77"/>
      <c r="C87" s="78"/>
      <c r="D87" s="79"/>
      <c r="E87" s="160"/>
      <c r="F87" s="92"/>
      <c r="G87" s="49"/>
      <c r="H87" s="93"/>
      <c r="I87" s="93"/>
      <c r="J87" s="86"/>
      <c r="K87" s="94"/>
      <c r="L87" s="123"/>
      <c r="M87" s="124"/>
    </row>
    <row r="88" spans="1:13" x14ac:dyDescent="0.2">
      <c r="A88" s="84"/>
      <c r="B88" s="77"/>
      <c r="C88" s="78"/>
      <c r="D88" s="79"/>
      <c r="E88" s="160"/>
      <c r="F88" s="92"/>
      <c r="G88" s="49"/>
      <c r="H88" s="93"/>
      <c r="I88" s="93"/>
      <c r="J88" s="86"/>
      <c r="K88" s="94"/>
      <c r="L88" s="123"/>
      <c r="M88" s="124"/>
    </row>
    <row r="89" spans="1:13" x14ac:dyDescent="0.2">
      <c r="A89" s="84"/>
      <c r="B89" s="77"/>
      <c r="C89" s="78"/>
      <c r="D89" s="79"/>
      <c r="E89" s="160"/>
      <c r="F89" s="92"/>
      <c r="G89" s="49"/>
      <c r="H89" s="93"/>
      <c r="I89" s="93"/>
      <c r="J89" s="86"/>
      <c r="K89" s="94"/>
      <c r="L89" s="123"/>
      <c r="M89" s="124"/>
    </row>
    <row r="90" spans="1:13" x14ac:dyDescent="0.2">
      <c r="A90" s="84"/>
      <c r="B90" s="77"/>
      <c r="C90" s="78"/>
      <c r="D90" s="79"/>
      <c r="E90" s="160"/>
      <c r="F90" s="92"/>
      <c r="G90" s="49"/>
      <c r="H90" s="93"/>
      <c r="I90" s="93"/>
      <c r="J90" s="86"/>
      <c r="K90" s="94"/>
      <c r="L90" s="123"/>
      <c r="M90" s="124"/>
    </row>
    <row r="91" spans="1:13" x14ac:dyDescent="0.2">
      <c r="A91" s="84"/>
      <c r="B91" s="77"/>
      <c r="C91" s="78"/>
      <c r="D91" s="79"/>
      <c r="E91" s="160"/>
      <c r="F91" s="92"/>
      <c r="G91" s="49"/>
      <c r="H91" s="93"/>
      <c r="I91" s="93"/>
      <c r="J91" s="86"/>
      <c r="K91" s="94"/>
      <c r="L91" s="123"/>
      <c r="M91" s="124"/>
    </row>
    <row r="92" spans="1:13" x14ac:dyDescent="0.2">
      <c r="A92" s="84"/>
      <c r="B92" s="77"/>
      <c r="C92" s="78"/>
      <c r="D92" s="79"/>
      <c r="E92" s="160"/>
      <c r="F92" s="92"/>
      <c r="G92" s="49"/>
      <c r="H92" s="93"/>
      <c r="I92" s="93"/>
      <c r="J92" s="86"/>
      <c r="K92" s="94"/>
      <c r="L92" s="123"/>
      <c r="M92" s="124"/>
    </row>
    <row r="93" spans="1:13" x14ac:dyDescent="0.2">
      <c r="A93" s="84"/>
      <c r="B93" s="77"/>
      <c r="C93" s="78"/>
      <c r="D93" s="79"/>
      <c r="E93" s="160"/>
      <c r="F93" s="92"/>
      <c r="G93" s="49"/>
      <c r="H93" s="93"/>
      <c r="I93" s="93"/>
      <c r="J93" s="86"/>
      <c r="K93" s="94"/>
      <c r="L93" s="123"/>
      <c r="M93" s="124"/>
    </row>
    <row r="94" spans="1:13" x14ac:dyDescent="0.2">
      <c r="A94" s="84"/>
      <c r="B94" s="77"/>
      <c r="C94" s="78"/>
      <c r="D94" s="79"/>
      <c r="E94" s="160"/>
      <c r="F94" s="92"/>
      <c r="G94" s="49"/>
      <c r="H94" s="93"/>
      <c r="I94" s="93"/>
      <c r="J94" s="86"/>
      <c r="K94" s="94"/>
      <c r="L94" s="123"/>
      <c r="M94" s="124"/>
    </row>
    <row r="95" spans="1:13" x14ac:dyDescent="0.2">
      <c r="A95" s="84"/>
      <c r="B95" s="77"/>
      <c r="C95" s="78"/>
      <c r="D95" s="79"/>
      <c r="E95" s="160"/>
      <c r="F95" s="92"/>
      <c r="G95" s="49"/>
      <c r="H95" s="93"/>
      <c r="I95" s="93"/>
      <c r="J95" s="86"/>
      <c r="K95" s="94"/>
      <c r="L95" s="123"/>
      <c r="M95" s="124"/>
    </row>
    <row r="96" spans="1:13" x14ac:dyDescent="0.2">
      <c r="A96" s="84"/>
      <c r="B96" s="77"/>
      <c r="C96" s="78"/>
      <c r="D96" s="79"/>
      <c r="E96" s="160"/>
      <c r="F96" s="92"/>
      <c r="G96" s="49"/>
      <c r="H96" s="93"/>
      <c r="I96" s="93"/>
      <c r="J96" s="86"/>
      <c r="K96" s="94"/>
      <c r="L96" s="123"/>
      <c r="M96" s="124"/>
    </row>
    <row r="97" spans="1:13" x14ac:dyDescent="0.2">
      <c r="A97" s="84"/>
      <c r="B97" s="77"/>
      <c r="C97" s="78"/>
      <c r="D97" s="79"/>
      <c r="E97" s="160"/>
      <c r="F97" s="92"/>
      <c r="G97" s="49"/>
      <c r="H97" s="93"/>
      <c r="I97" s="93"/>
      <c r="J97" s="86"/>
      <c r="K97" s="94"/>
      <c r="L97" s="123"/>
      <c r="M97" s="124"/>
    </row>
    <row r="98" spans="1:13" x14ac:dyDescent="0.2">
      <c r="A98" s="84"/>
      <c r="B98" s="77"/>
      <c r="C98" s="78"/>
      <c r="D98" s="79"/>
      <c r="E98" s="160"/>
      <c r="F98" s="92"/>
      <c r="G98" s="49"/>
      <c r="H98" s="93"/>
      <c r="I98" s="93"/>
      <c r="J98" s="86"/>
      <c r="K98" s="94"/>
      <c r="L98" s="123"/>
      <c r="M98" s="124"/>
    </row>
    <row r="99" spans="1:13" x14ac:dyDescent="0.2">
      <c r="A99" s="84"/>
      <c r="B99" s="77"/>
      <c r="C99" s="78"/>
      <c r="D99" s="79"/>
      <c r="E99" s="160"/>
      <c r="F99" s="92"/>
      <c r="G99" s="49"/>
      <c r="H99" s="93"/>
      <c r="I99" s="93"/>
      <c r="J99" s="86"/>
      <c r="K99" s="94"/>
      <c r="L99" s="123"/>
      <c r="M99" s="124"/>
    </row>
    <row r="100" spans="1:13" x14ac:dyDescent="0.2">
      <c r="A100" s="84"/>
      <c r="B100" s="77"/>
      <c r="C100" s="78"/>
      <c r="D100" s="79"/>
      <c r="E100" s="160"/>
      <c r="F100" s="92"/>
      <c r="G100" s="49"/>
      <c r="H100" s="93"/>
      <c r="I100" s="93"/>
      <c r="J100" s="86"/>
      <c r="K100" s="94"/>
      <c r="L100" s="123"/>
      <c r="M100" s="124"/>
    </row>
    <row r="101" spans="1:13" x14ac:dyDescent="0.2">
      <c r="A101" s="84"/>
      <c r="B101" s="77"/>
      <c r="C101" s="78"/>
      <c r="D101" s="79"/>
      <c r="E101" s="160"/>
      <c r="F101" s="92"/>
      <c r="G101" s="49"/>
      <c r="H101" s="93"/>
      <c r="I101" s="93"/>
      <c r="J101" s="86"/>
      <c r="K101" s="94"/>
      <c r="L101" s="123"/>
      <c r="M101" s="124"/>
    </row>
    <row r="102" spans="1:13" x14ac:dyDescent="0.2">
      <c r="A102" s="84"/>
      <c r="B102" s="77"/>
      <c r="C102" s="78"/>
      <c r="D102" s="79"/>
      <c r="E102" s="160"/>
      <c r="F102" s="92"/>
      <c r="G102" s="49"/>
      <c r="H102" s="93"/>
      <c r="I102" s="93"/>
      <c r="J102" s="86"/>
      <c r="K102" s="94"/>
      <c r="L102" s="123"/>
      <c r="M102" s="124"/>
    </row>
    <row r="103" spans="1:13" x14ac:dyDescent="0.2">
      <c r="A103" s="84"/>
      <c r="B103" s="77"/>
      <c r="C103" s="78"/>
      <c r="D103" s="79"/>
      <c r="E103" s="160"/>
      <c r="F103" s="92"/>
      <c r="G103" s="49"/>
      <c r="H103" s="93"/>
      <c r="I103" s="93"/>
      <c r="J103" s="86"/>
      <c r="K103" s="94"/>
      <c r="L103" s="123"/>
      <c r="M103" s="124"/>
    </row>
    <row r="104" spans="1:13" x14ac:dyDescent="0.2">
      <c r="A104" s="84"/>
      <c r="B104" s="77"/>
      <c r="C104" s="78"/>
      <c r="D104" s="79"/>
      <c r="E104" s="160"/>
      <c r="F104" s="92"/>
      <c r="G104" s="49"/>
      <c r="H104" s="93"/>
      <c r="I104" s="93"/>
      <c r="J104" s="86"/>
      <c r="K104" s="94"/>
      <c r="L104" s="123"/>
      <c r="M104" s="124"/>
    </row>
    <row r="105" spans="1:13" x14ac:dyDescent="0.2">
      <c r="A105" s="84"/>
      <c r="B105" s="77"/>
      <c r="C105" s="78"/>
      <c r="D105" s="79"/>
      <c r="E105" s="160"/>
      <c r="F105" s="92"/>
      <c r="G105" s="49"/>
      <c r="H105" s="93"/>
      <c r="I105" s="93"/>
      <c r="J105" s="86"/>
      <c r="K105" s="94"/>
      <c r="L105" s="123"/>
      <c r="M105" s="124"/>
    </row>
    <row r="106" spans="1:13" x14ac:dyDescent="0.2">
      <c r="A106" s="84"/>
      <c r="B106" s="77"/>
      <c r="C106" s="78"/>
      <c r="D106" s="79"/>
      <c r="E106" s="160"/>
      <c r="F106" s="92"/>
      <c r="G106" s="49"/>
      <c r="H106" s="93"/>
      <c r="I106" s="93"/>
      <c r="J106" s="86"/>
      <c r="K106" s="94"/>
      <c r="L106" s="123"/>
      <c r="M106" s="124"/>
    </row>
    <row r="107" spans="1:13" x14ac:dyDescent="0.2">
      <c r="A107" s="84"/>
      <c r="B107" s="77"/>
      <c r="C107" s="78"/>
      <c r="D107" s="79"/>
      <c r="E107" s="160"/>
      <c r="F107" s="92"/>
      <c r="G107" s="49"/>
      <c r="H107" s="93"/>
      <c r="I107" s="93"/>
      <c r="J107" s="86"/>
      <c r="K107" s="94"/>
      <c r="L107" s="123"/>
      <c r="M107" s="124"/>
    </row>
    <row r="108" spans="1:13" x14ac:dyDescent="0.2">
      <c r="A108" s="84"/>
      <c r="B108" s="77"/>
      <c r="C108" s="78"/>
      <c r="D108" s="79"/>
      <c r="E108" s="160"/>
      <c r="F108" s="92"/>
      <c r="G108" s="49"/>
      <c r="H108" s="93"/>
      <c r="I108" s="93"/>
      <c r="J108" s="86"/>
      <c r="K108" s="94"/>
      <c r="L108" s="123"/>
      <c r="M108" s="124"/>
    </row>
    <row r="109" spans="1:13" x14ac:dyDescent="0.2">
      <c r="A109" s="84"/>
      <c r="B109" s="77"/>
      <c r="C109" s="78"/>
      <c r="D109" s="79"/>
      <c r="E109" s="160"/>
      <c r="F109" s="92"/>
      <c r="G109" s="49"/>
      <c r="H109" s="93"/>
      <c r="I109" s="93"/>
      <c r="J109" s="86"/>
      <c r="K109" s="94"/>
      <c r="L109" s="123"/>
      <c r="M109" s="124"/>
    </row>
    <row r="110" spans="1:13" x14ac:dyDescent="0.2">
      <c r="A110" s="84"/>
      <c r="B110" s="77"/>
      <c r="C110" s="78"/>
      <c r="D110" s="79"/>
      <c r="E110" s="160"/>
      <c r="F110" s="92"/>
      <c r="G110" s="49"/>
      <c r="H110" s="93"/>
      <c r="I110" s="93"/>
      <c r="J110" s="86"/>
      <c r="K110" s="94"/>
      <c r="L110" s="123"/>
      <c r="M110" s="124"/>
    </row>
    <row r="111" spans="1:13" x14ac:dyDescent="0.2">
      <c r="A111" s="84"/>
      <c r="B111" s="77"/>
      <c r="C111" s="78"/>
      <c r="D111" s="79"/>
      <c r="E111" s="160"/>
      <c r="F111" s="92"/>
      <c r="G111" s="49"/>
      <c r="H111" s="93"/>
      <c r="I111" s="93"/>
      <c r="J111" s="86"/>
      <c r="K111" s="94"/>
      <c r="L111" s="123"/>
      <c r="M111" s="124"/>
    </row>
    <row r="112" spans="1:13" x14ac:dyDescent="0.2">
      <c r="A112" s="84"/>
      <c r="B112" s="77"/>
      <c r="C112" s="78"/>
      <c r="D112" s="79"/>
      <c r="E112" s="160"/>
      <c r="F112" s="92"/>
      <c r="G112" s="49"/>
      <c r="H112" s="93"/>
      <c r="I112" s="93"/>
      <c r="J112" s="86"/>
      <c r="K112" s="94"/>
      <c r="L112" s="123"/>
      <c r="M112" s="124"/>
    </row>
    <row r="113" spans="1:13" x14ac:dyDescent="0.2">
      <c r="A113" s="84"/>
      <c r="B113" s="77"/>
      <c r="C113" s="78"/>
      <c r="D113" s="79"/>
      <c r="E113" s="160"/>
      <c r="F113" s="92"/>
      <c r="G113" s="49"/>
      <c r="H113" s="93"/>
      <c r="I113" s="93"/>
      <c r="J113" s="86"/>
      <c r="K113" s="94"/>
      <c r="L113" s="123"/>
      <c r="M113" s="124"/>
    </row>
    <row r="114" spans="1:13" x14ac:dyDescent="0.2">
      <c r="A114" s="84"/>
      <c r="B114" s="77"/>
      <c r="C114" s="78"/>
      <c r="D114" s="79"/>
      <c r="E114" s="160"/>
      <c r="F114" s="92"/>
      <c r="G114" s="49"/>
      <c r="H114" s="93"/>
      <c r="I114" s="93"/>
      <c r="J114" s="86"/>
      <c r="K114" s="94"/>
      <c r="L114" s="123"/>
      <c r="M114" s="124"/>
    </row>
  </sheetData>
  <sortState xmlns:xlrd2="http://schemas.microsoft.com/office/spreadsheetml/2017/richdata2" ref="U2:U76">
    <sortCondition ref="U2"/>
  </sortState>
  <conditionalFormatting sqref="J1:J3 J115:J1048576">
    <cfRule type="top10" dxfId="25" priority="5" rank="1"/>
  </conditionalFormatting>
  <conditionalFormatting sqref="K115:K1048576 K1:K27">
    <cfRule type="top10" dxfId="24" priority="3" rank="1"/>
  </conditionalFormatting>
  <conditionalFormatting sqref="J4:J114">
    <cfRule type="top10" dxfId="23" priority="2" rank="1"/>
  </conditionalFormatting>
  <conditionalFormatting sqref="K28:K114">
    <cfRule type="top10" dxfId="22" priority="1" rank="1"/>
  </conditionalFormatting>
  <pageMargins left="0.7" right="0.7" top="1.2375" bottom="0.75" header="0.3" footer="0.3"/>
  <pageSetup scale="88" orientation="portrait" r:id="rId1"/>
  <headerFooter>
    <oddHeader>&amp;L&amp;G&amp;C&amp;"Arial,Bold"&amp;26Calcutta&amp;R&amp;G</oddHead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37E7-61A3-4677-85DD-DE454CB95ADB}">
  <sheetPr codeName="Sheet4"/>
  <dimension ref="A1:R651"/>
  <sheetViews>
    <sheetView topLeftCell="H1" workbookViewId="0">
      <selection activeCell="A2" sqref="A2:R76"/>
    </sheetView>
  </sheetViews>
  <sheetFormatPr defaultRowHeight="12.75" x14ac:dyDescent="0.2"/>
  <cols>
    <col min="1" max="1" width="8.7109375" style="156" customWidth="1"/>
    <col min="2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/>
    <col min="12" max="14" width="8.7109375" style="59" customWidth="1"/>
    <col min="15" max="15" width="6.28515625" customWidth="1"/>
    <col min="16" max="16" width="8.7109375" style="157" customWidth="1"/>
  </cols>
  <sheetData>
    <row r="1" spans="1:18" ht="26.25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P1" s="108" t="s">
        <v>429</v>
      </c>
      <c r="Q1" s="108" t="s">
        <v>430</v>
      </c>
      <c r="R1" s="108" t="s">
        <v>431</v>
      </c>
    </row>
    <row r="2" spans="1:18" ht="25.5" x14ac:dyDescent="0.2">
      <c r="A2" s="113">
        <v>42</v>
      </c>
      <c r="B2" s="50">
        <v>46</v>
      </c>
      <c r="C2" s="134" t="s">
        <v>439</v>
      </c>
      <c r="D2" s="92">
        <v>2</v>
      </c>
      <c r="E2" s="49">
        <v>3.62</v>
      </c>
      <c r="F2" s="49">
        <v>2</v>
      </c>
      <c r="G2" s="57">
        <v>4.0199999999999996</v>
      </c>
      <c r="H2" s="100">
        <v>2.46</v>
      </c>
      <c r="I2" s="104">
        <v>3</v>
      </c>
      <c r="J2" s="53">
        <v>5.56</v>
      </c>
      <c r="K2" s="53">
        <v>3</v>
      </c>
      <c r="L2" s="57">
        <v>6.16</v>
      </c>
      <c r="M2" s="53">
        <v>10.18</v>
      </c>
      <c r="N2" s="100">
        <v>2.2599999999999998</v>
      </c>
      <c r="O2" s="109"/>
      <c r="P2" s="148">
        <v>42</v>
      </c>
      <c r="Q2" s="148">
        <v>16</v>
      </c>
      <c r="R2" s="148">
        <f>P2 - Q2</f>
        <v>26</v>
      </c>
    </row>
    <row r="3" spans="1:18" ht="25.5" x14ac:dyDescent="0.2">
      <c r="A3" s="114">
        <v>33</v>
      </c>
      <c r="B3" s="63">
        <v>9</v>
      </c>
      <c r="C3" s="116" t="s">
        <v>379</v>
      </c>
      <c r="D3" s="70">
        <v>2</v>
      </c>
      <c r="E3" s="61">
        <v>3.87</v>
      </c>
      <c r="F3" s="61">
        <v>2</v>
      </c>
      <c r="G3" s="64">
        <v>4.2699999999999996</v>
      </c>
      <c r="H3" s="101">
        <v>1.96</v>
      </c>
      <c r="I3" s="105">
        <v>4</v>
      </c>
      <c r="J3" s="62">
        <v>6.02</v>
      </c>
      <c r="K3" s="62">
        <v>4</v>
      </c>
      <c r="L3" s="64">
        <v>6.82</v>
      </c>
      <c r="M3" s="62">
        <v>11.09</v>
      </c>
      <c r="N3" s="101">
        <v>2.31</v>
      </c>
      <c r="O3" s="110"/>
      <c r="P3" s="149">
        <v>33</v>
      </c>
      <c r="Q3" s="148">
        <v>10</v>
      </c>
      <c r="R3" s="148">
        <f>P3 - Q3</f>
        <v>23</v>
      </c>
    </row>
    <row r="4" spans="1:18" ht="25.5" x14ac:dyDescent="0.2">
      <c r="A4" s="114">
        <v>39</v>
      </c>
      <c r="B4" s="50">
        <v>5</v>
      </c>
      <c r="C4" s="116" t="s">
        <v>387</v>
      </c>
      <c r="D4" s="70">
        <v>2</v>
      </c>
      <c r="E4" s="61">
        <v>3.68</v>
      </c>
      <c r="F4" s="61">
        <v>2</v>
      </c>
      <c r="G4" s="64">
        <v>4.08</v>
      </c>
      <c r="H4" s="101">
        <v>1.96</v>
      </c>
      <c r="I4" s="105">
        <v>3</v>
      </c>
      <c r="J4" s="62">
        <v>5.47</v>
      </c>
      <c r="K4" s="62">
        <v>3</v>
      </c>
      <c r="L4" s="64">
        <v>6.07</v>
      </c>
      <c r="M4" s="62">
        <v>10.15</v>
      </c>
      <c r="N4" s="101">
        <v>2.3199999999999998</v>
      </c>
      <c r="O4" s="110"/>
      <c r="P4" s="149">
        <v>39</v>
      </c>
      <c r="Q4" s="148">
        <v>17</v>
      </c>
      <c r="R4" s="148">
        <f>P4 - Q4</f>
        <v>22</v>
      </c>
    </row>
    <row r="5" spans="1:18" ht="25.5" x14ac:dyDescent="0.2">
      <c r="A5" s="114">
        <v>59</v>
      </c>
      <c r="B5" s="63">
        <v>61</v>
      </c>
      <c r="C5" s="116" t="s">
        <v>463</v>
      </c>
      <c r="D5" s="70">
        <v>0</v>
      </c>
      <c r="E5" s="61">
        <v>0</v>
      </c>
      <c r="F5" s="61">
        <v>0</v>
      </c>
      <c r="G5" s="64">
        <v>0</v>
      </c>
      <c r="H5" s="101">
        <v>0</v>
      </c>
      <c r="I5" s="105">
        <v>4</v>
      </c>
      <c r="J5" s="62">
        <v>6.49</v>
      </c>
      <c r="K5" s="62">
        <v>4</v>
      </c>
      <c r="L5" s="64">
        <v>7.29</v>
      </c>
      <c r="M5" s="62">
        <v>7.29</v>
      </c>
      <c r="N5" s="101">
        <v>2.2999999999999998</v>
      </c>
      <c r="O5" s="110"/>
      <c r="P5" s="149">
        <v>59</v>
      </c>
      <c r="Q5" s="148">
        <v>37</v>
      </c>
      <c r="R5" s="148">
        <f>P5 - Q5</f>
        <v>22</v>
      </c>
    </row>
    <row r="6" spans="1:18" ht="25.5" x14ac:dyDescent="0.2">
      <c r="A6" s="114">
        <v>21</v>
      </c>
      <c r="B6" s="50">
        <v>4</v>
      </c>
      <c r="C6" s="116" t="s">
        <v>197</v>
      </c>
      <c r="D6" s="70">
        <v>2</v>
      </c>
      <c r="E6" s="61">
        <v>4.3</v>
      </c>
      <c r="F6" s="61">
        <v>2</v>
      </c>
      <c r="G6" s="64">
        <v>4.7</v>
      </c>
      <c r="H6" s="101">
        <v>2.2200000000000002</v>
      </c>
      <c r="I6" s="105">
        <v>7</v>
      </c>
      <c r="J6" s="62">
        <v>9.5299999999999994</v>
      </c>
      <c r="K6" s="62">
        <v>7</v>
      </c>
      <c r="L6" s="64">
        <v>10.93</v>
      </c>
      <c r="M6" s="62">
        <v>15.63</v>
      </c>
      <c r="N6" s="101">
        <v>2.72</v>
      </c>
      <c r="O6" s="110"/>
      <c r="P6" s="149">
        <v>21</v>
      </c>
      <c r="Q6" s="148">
        <v>2</v>
      </c>
      <c r="R6" s="148">
        <f>P6 - Q6</f>
        <v>19</v>
      </c>
    </row>
    <row r="7" spans="1:18" ht="25.5" x14ac:dyDescent="0.2">
      <c r="A7" s="114">
        <v>59</v>
      </c>
      <c r="B7" s="63">
        <v>20</v>
      </c>
      <c r="C7" s="116" t="s">
        <v>263</v>
      </c>
      <c r="D7" s="70">
        <v>0</v>
      </c>
      <c r="E7" s="61">
        <v>0</v>
      </c>
      <c r="F7" s="61">
        <v>0</v>
      </c>
      <c r="G7" s="64">
        <v>0</v>
      </c>
      <c r="H7" s="101">
        <v>0</v>
      </c>
      <c r="I7" s="105">
        <v>4</v>
      </c>
      <c r="J7" s="62">
        <v>6.15</v>
      </c>
      <c r="K7" s="62">
        <v>4</v>
      </c>
      <c r="L7" s="64">
        <v>6.95</v>
      </c>
      <c r="M7" s="62">
        <v>6.95</v>
      </c>
      <c r="N7" s="101">
        <v>2.39</v>
      </c>
      <c r="O7" s="110"/>
      <c r="P7" s="149">
        <v>59</v>
      </c>
      <c r="Q7" s="148">
        <v>42</v>
      </c>
      <c r="R7" s="148">
        <f>P7 - Q7</f>
        <v>17</v>
      </c>
    </row>
    <row r="8" spans="1:18" ht="25.5" x14ac:dyDescent="0.2">
      <c r="A8" s="114">
        <v>40</v>
      </c>
      <c r="B8" s="50">
        <v>56</v>
      </c>
      <c r="C8" s="116" t="s">
        <v>442</v>
      </c>
      <c r="D8" s="70">
        <v>2</v>
      </c>
      <c r="E8" s="61">
        <v>3.67</v>
      </c>
      <c r="F8" s="61">
        <v>2</v>
      </c>
      <c r="G8" s="64">
        <v>4.07</v>
      </c>
      <c r="H8" s="101">
        <v>1.89</v>
      </c>
      <c r="I8" s="105">
        <v>2</v>
      </c>
      <c r="J8" s="62">
        <v>4.5599999999999996</v>
      </c>
      <c r="K8" s="62">
        <v>2</v>
      </c>
      <c r="L8" s="64">
        <v>4.96</v>
      </c>
      <c r="M8" s="62">
        <v>9.0299999999999994</v>
      </c>
      <c r="N8" s="101">
        <v>2.4900000000000002</v>
      </c>
      <c r="O8" s="110"/>
      <c r="P8" s="149">
        <v>40</v>
      </c>
      <c r="Q8" s="148">
        <v>25</v>
      </c>
      <c r="R8" s="148">
        <f>P8 - Q8</f>
        <v>15</v>
      </c>
    </row>
    <row r="9" spans="1:18" ht="25.5" x14ac:dyDescent="0.2">
      <c r="A9" s="114">
        <v>19</v>
      </c>
      <c r="B9" s="63">
        <v>8</v>
      </c>
      <c r="C9" s="116" t="s">
        <v>258</v>
      </c>
      <c r="D9" s="70">
        <v>2</v>
      </c>
      <c r="E9" s="61">
        <v>4.3899999999999997</v>
      </c>
      <c r="F9" s="61">
        <v>2</v>
      </c>
      <c r="G9" s="64">
        <v>4.79</v>
      </c>
      <c r="H9" s="101">
        <v>2.23</v>
      </c>
      <c r="I9" s="105">
        <v>2</v>
      </c>
      <c r="J9" s="62">
        <v>6.93</v>
      </c>
      <c r="K9" s="62">
        <v>2</v>
      </c>
      <c r="L9" s="64">
        <v>7.33</v>
      </c>
      <c r="M9" s="62">
        <v>12.12</v>
      </c>
      <c r="N9" s="101">
        <v>4.5999999999999996</v>
      </c>
      <c r="O9" s="110"/>
      <c r="P9" s="149">
        <v>19</v>
      </c>
      <c r="Q9" s="148">
        <v>5</v>
      </c>
      <c r="R9" s="148">
        <f>P9 - Q9</f>
        <v>14</v>
      </c>
    </row>
    <row r="10" spans="1:18" ht="25.5" x14ac:dyDescent="0.2">
      <c r="A10" s="114">
        <v>34</v>
      </c>
      <c r="B10" s="50">
        <v>22</v>
      </c>
      <c r="C10" s="116" t="s">
        <v>393</v>
      </c>
      <c r="D10" s="70">
        <v>2</v>
      </c>
      <c r="E10" s="61">
        <v>3.8</v>
      </c>
      <c r="F10" s="61">
        <v>2</v>
      </c>
      <c r="G10" s="64">
        <v>4.2</v>
      </c>
      <c r="H10" s="101">
        <v>1.86</v>
      </c>
      <c r="I10" s="105">
        <v>3</v>
      </c>
      <c r="J10" s="62">
        <v>4.88</v>
      </c>
      <c r="K10" s="62">
        <v>3</v>
      </c>
      <c r="L10" s="64">
        <v>5.48</v>
      </c>
      <c r="M10" s="62">
        <v>9.68</v>
      </c>
      <c r="N10" s="101">
        <v>2.1</v>
      </c>
      <c r="O10" s="110"/>
      <c r="P10" s="149">
        <v>34</v>
      </c>
      <c r="Q10" s="148">
        <v>20</v>
      </c>
      <c r="R10" s="148">
        <f>P10 - Q10</f>
        <v>14</v>
      </c>
    </row>
    <row r="11" spans="1:18" ht="25.5" x14ac:dyDescent="0.2">
      <c r="A11" s="114">
        <v>17</v>
      </c>
      <c r="B11" s="63">
        <v>10</v>
      </c>
      <c r="C11" s="116" t="s">
        <v>287</v>
      </c>
      <c r="D11" s="70">
        <v>2</v>
      </c>
      <c r="E11" s="61">
        <v>4.3899999999999997</v>
      </c>
      <c r="F11" s="61">
        <v>2</v>
      </c>
      <c r="G11" s="64">
        <v>4.79</v>
      </c>
      <c r="H11" s="101">
        <v>2.2999999999999998</v>
      </c>
      <c r="I11" s="105">
        <v>5</v>
      </c>
      <c r="J11" s="62">
        <v>7.22</v>
      </c>
      <c r="K11" s="62">
        <v>5</v>
      </c>
      <c r="L11" s="64">
        <v>8.2200000000000006</v>
      </c>
      <c r="M11" s="62">
        <v>13.01</v>
      </c>
      <c r="N11" s="101">
        <v>2.46</v>
      </c>
      <c r="O11" s="110"/>
      <c r="P11" s="149">
        <v>17</v>
      </c>
      <c r="Q11" s="148">
        <v>4</v>
      </c>
      <c r="R11" s="148">
        <f>P11 - Q11</f>
        <v>13</v>
      </c>
    </row>
    <row r="12" spans="1:18" ht="25.5" x14ac:dyDescent="0.2">
      <c r="A12" s="114">
        <v>41</v>
      </c>
      <c r="B12" s="50">
        <v>24</v>
      </c>
      <c r="C12" s="116" t="s">
        <v>456</v>
      </c>
      <c r="D12" s="70">
        <v>2</v>
      </c>
      <c r="E12" s="61">
        <v>3.66</v>
      </c>
      <c r="F12" s="61">
        <v>2</v>
      </c>
      <c r="G12" s="64">
        <v>4.0599999999999996</v>
      </c>
      <c r="H12" s="101">
        <v>1.99</v>
      </c>
      <c r="I12" s="105">
        <v>2</v>
      </c>
      <c r="J12" s="62">
        <v>4.22</v>
      </c>
      <c r="K12" s="62">
        <v>2</v>
      </c>
      <c r="L12" s="64">
        <v>4.62</v>
      </c>
      <c r="M12" s="62">
        <v>8.68</v>
      </c>
      <c r="N12" s="101">
        <v>2.2599999999999998</v>
      </c>
      <c r="O12" s="110"/>
      <c r="P12" s="149">
        <v>41</v>
      </c>
      <c r="Q12" s="148">
        <v>28</v>
      </c>
      <c r="R12" s="148">
        <f>P12 - Q12</f>
        <v>13</v>
      </c>
    </row>
    <row r="13" spans="1:18" ht="25.5" x14ac:dyDescent="0.2">
      <c r="A13" s="114">
        <v>26</v>
      </c>
      <c r="B13" s="63">
        <v>42</v>
      </c>
      <c r="C13" s="116" t="s">
        <v>397</v>
      </c>
      <c r="D13" s="70">
        <v>2</v>
      </c>
      <c r="E13" s="61">
        <v>4.12</v>
      </c>
      <c r="F13" s="61">
        <v>2</v>
      </c>
      <c r="G13" s="64">
        <v>4.5199999999999996</v>
      </c>
      <c r="H13" s="101">
        <v>2.12</v>
      </c>
      <c r="I13" s="105">
        <v>3</v>
      </c>
      <c r="J13" s="62">
        <v>5.58</v>
      </c>
      <c r="K13" s="62">
        <v>3</v>
      </c>
      <c r="L13" s="64">
        <v>6.18</v>
      </c>
      <c r="M13" s="62">
        <v>10.7</v>
      </c>
      <c r="N13" s="101">
        <v>2.4500000000000002</v>
      </c>
      <c r="O13" s="110"/>
      <c r="P13" s="149">
        <v>26</v>
      </c>
      <c r="Q13" s="148">
        <v>13</v>
      </c>
      <c r="R13" s="148">
        <f>P13 - Q13</f>
        <v>13</v>
      </c>
    </row>
    <row r="14" spans="1:18" ht="25.5" x14ac:dyDescent="0.2">
      <c r="A14" s="114">
        <v>51</v>
      </c>
      <c r="B14" s="50">
        <v>62</v>
      </c>
      <c r="C14" s="116" t="s">
        <v>245</v>
      </c>
      <c r="D14" s="70">
        <v>1</v>
      </c>
      <c r="E14" s="61">
        <v>1.85</v>
      </c>
      <c r="F14" s="61">
        <v>1</v>
      </c>
      <c r="G14" s="64">
        <v>2.0499999999999998</v>
      </c>
      <c r="H14" s="101">
        <v>1.85</v>
      </c>
      <c r="I14" s="105">
        <v>2</v>
      </c>
      <c r="J14" s="62">
        <v>4.79</v>
      </c>
      <c r="K14" s="62">
        <v>2</v>
      </c>
      <c r="L14" s="64">
        <v>5.19</v>
      </c>
      <c r="M14" s="62">
        <v>7.24</v>
      </c>
      <c r="N14" s="101">
        <v>2.5299999999999998</v>
      </c>
      <c r="O14" s="110"/>
      <c r="P14" s="149">
        <v>51</v>
      </c>
      <c r="Q14" s="148">
        <v>38</v>
      </c>
      <c r="R14" s="148">
        <f>P14 - Q14</f>
        <v>13</v>
      </c>
    </row>
    <row r="15" spans="1:18" ht="25.5" x14ac:dyDescent="0.2">
      <c r="A15" s="114">
        <v>35</v>
      </c>
      <c r="B15" s="63">
        <v>19</v>
      </c>
      <c r="C15" s="116" t="s">
        <v>466</v>
      </c>
      <c r="D15" s="70">
        <v>2</v>
      </c>
      <c r="E15" s="61">
        <v>3.77</v>
      </c>
      <c r="F15" s="61">
        <v>2</v>
      </c>
      <c r="G15" s="64">
        <v>4.17</v>
      </c>
      <c r="H15" s="101">
        <v>2.0299999999999998</v>
      </c>
      <c r="I15" s="105">
        <v>3</v>
      </c>
      <c r="J15" s="62">
        <v>4.58</v>
      </c>
      <c r="K15" s="62">
        <v>3</v>
      </c>
      <c r="L15" s="64">
        <v>5.18</v>
      </c>
      <c r="M15" s="62">
        <v>9.35</v>
      </c>
      <c r="N15" s="101">
        <v>1.93</v>
      </c>
      <c r="O15" s="110"/>
      <c r="P15" s="149">
        <v>35</v>
      </c>
      <c r="Q15" s="148">
        <v>23</v>
      </c>
      <c r="R15" s="148">
        <f>P15 - Q15</f>
        <v>12</v>
      </c>
    </row>
    <row r="16" spans="1:18" ht="25.5" x14ac:dyDescent="0.2">
      <c r="A16" s="114">
        <v>44</v>
      </c>
      <c r="B16" s="50">
        <v>64</v>
      </c>
      <c r="C16" s="116" t="s">
        <v>443</v>
      </c>
      <c r="D16" s="70">
        <v>2</v>
      </c>
      <c r="E16" s="61">
        <v>3.5</v>
      </c>
      <c r="F16" s="61">
        <v>2</v>
      </c>
      <c r="G16" s="64">
        <v>3.9</v>
      </c>
      <c r="H16" s="101">
        <v>1.79</v>
      </c>
      <c r="I16" s="105">
        <v>2</v>
      </c>
      <c r="J16" s="62">
        <v>4.3</v>
      </c>
      <c r="K16" s="62">
        <v>2</v>
      </c>
      <c r="L16" s="64">
        <v>4.7</v>
      </c>
      <c r="M16" s="62">
        <v>8.6</v>
      </c>
      <c r="N16" s="101">
        <v>2.37</v>
      </c>
      <c r="O16" s="110"/>
      <c r="P16" s="149">
        <v>44</v>
      </c>
      <c r="Q16" s="148">
        <v>32</v>
      </c>
      <c r="R16" s="148">
        <f>P16 - Q16</f>
        <v>12</v>
      </c>
    </row>
    <row r="17" spans="1:18" ht="25.5" x14ac:dyDescent="0.2">
      <c r="A17" s="114">
        <v>36</v>
      </c>
      <c r="B17" s="63">
        <v>12</v>
      </c>
      <c r="C17" s="116" t="s">
        <v>225</v>
      </c>
      <c r="D17" s="70">
        <v>2</v>
      </c>
      <c r="E17" s="61">
        <v>3.77</v>
      </c>
      <c r="F17" s="61">
        <v>2</v>
      </c>
      <c r="G17" s="64">
        <v>4.17</v>
      </c>
      <c r="H17" s="101">
        <v>2.0099999999999998</v>
      </c>
      <c r="I17" s="105">
        <v>2</v>
      </c>
      <c r="J17" s="62">
        <v>4.41</v>
      </c>
      <c r="K17" s="62">
        <v>2</v>
      </c>
      <c r="L17" s="64">
        <v>4.8099999999999996</v>
      </c>
      <c r="M17" s="62">
        <v>8.98</v>
      </c>
      <c r="N17" s="101">
        <v>2.5</v>
      </c>
      <c r="O17" s="110"/>
      <c r="P17" s="149">
        <v>36</v>
      </c>
      <c r="Q17" s="148">
        <v>26</v>
      </c>
      <c r="R17" s="148">
        <f>P17 - Q17</f>
        <v>10</v>
      </c>
    </row>
    <row r="18" spans="1:18" ht="25.5" x14ac:dyDescent="0.2">
      <c r="A18" s="114">
        <v>43</v>
      </c>
      <c r="B18" s="50">
        <v>13</v>
      </c>
      <c r="C18" s="116" t="s">
        <v>246</v>
      </c>
      <c r="D18" s="70">
        <v>2</v>
      </c>
      <c r="E18" s="61">
        <v>3.58</v>
      </c>
      <c r="F18" s="61">
        <v>2</v>
      </c>
      <c r="G18" s="64">
        <v>3.98</v>
      </c>
      <c r="H18" s="101">
        <v>1.92</v>
      </c>
      <c r="I18" s="105">
        <v>2</v>
      </c>
      <c r="J18" s="62">
        <v>3.8</v>
      </c>
      <c r="K18" s="62">
        <v>2</v>
      </c>
      <c r="L18" s="64">
        <v>4.2</v>
      </c>
      <c r="M18" s="62">
        <v>8.18</v>
      </c>
      <c r="N18" s="101">
        <v>1.9</v>
      </c>
      <c r="O18" s="110"/>
      <c r="P18" s="149">
        <v>43</v>
      </c>
      <c r="Q18" s="148">
        <v>33</v>
      </c>
      <c r="R18" s="148">
        <f>P18 - Q18</f>
        <v>10</v>
      </c>
    </row>
    <row r="19" spans="1:18" ht="25.5" x14ac:dyDescent="0.2">
      <c r="A19" s="114">
        <v>59</v>
      </c>
      <c r="B19" s="63">
        <v>29</v>
      </c>
      <c r="C19" s="116" t="s">
        <v>441</v>
      </c>
      <c r="D19" s="70">
        <v>0</v>
      </c>
      <c r="E19" s="61">
        <v>0</v>
      </c>
      <c r="F19" s="61">
        <v>0</v>
      </c>
      <c r="G19" s="64">
        <v>0</v>
      </c>
      <c r="H19" s="101">
        <v>0</v>
      </c>
      <c r="I19" s="105">
        <v>2</v>
      </c>
      <c r="J19" s="62">
        <v>5.0599999999999996</v>
      </c>
      <c r="K19" s="62">
        <v>2</v>
      </c>
      <c r="L19" s="64">
        <v>5.46</v>
      </c>
      <c r="M19" s="62">
        <v>5.46</v>
      </c>
      <c r="N19" s="101">
        <v>2.67</v>
      </c>
      <c r="O19" s="110"/>
      <c r="P19" s="149">
        <v>59</v>
      </c>
      <c r="Q19" s="148">
        <v>49</v>
      </c>
      <c r="R19" s="148">
        <f>P19 - Q19</f>
        <v>10</v>
      </c>
    </row>
    <row r="20" spans="1:18" ht="25.5" x14ac:dyDescent="0.2">
      <c r="A20" s="114">
        <v>45</v>
      </c>
      <c r="B20" s="50">
        <v>40</v>
      </c>
      <c r="C20" s="116" t="s">
        <v>462</v>
      </c>
      <c r="D20" s="70">
        <v>2</v>
      </c>
      <c r="E20" s="61">
        <v>3.48</v>
      </c>
      <c r="F20" s="61">
        <v>2</v>
      </c>
      <c r="G20" s="64">
        <v>3.88</v>
      </c>
      <c r="H20" s="101">
        <v>1.89</v>
      </c>
      <c r="I20" s="105">
        <v>2</v>
      </c>
      <c r="J20" s="62">
        <v>3.58</v>
      </c>
      <c r="K20" s="62">
        <v>2</v>
      </c>
      <c r="L20" s="64">
        <v>3.98</v>
      </c>
      <c r="M20" s="62">
        <v>7.86</v>
      </c>
      <c r="N20" s="101">
        <v>1.89</v>
      </c>
      <c r="O20" s="110"/>
      <c r="P20" s="149">
        <v>45</v>
      </c>
      <c r="Q20" s="148">
        <v>35</v>
      </c>
      <c r="R20" s="148">
        <f>P20 - Q20</f>
        <v>10</v>
      </c>
    </row>
    <row r="21" spans="1:18" ht="25.5" x14ac:dyDescent="0.2">
      <c r="A21" s="114">
        <v>58</v>
      </c>
      <c r="B21" s="63">
        <v>60</v>
      </c>
      <c r="C21" s="116" t="s">
        <v>384</v>
      </c>
      <c r="D21" s="70">
        <v>1</v>
      </c>
      <c r="E21" s="61">
        <v>0.56000000000000005</v>
      </c>
      <c r="F21" s="61">
        <v>1</v>
      </c>
      <c r="G21" s="64">
        <v>0.76</v>
      </c>
      <c r="H21" s="101">
        <v>0.56000000000000005</v>
      </c>
      <c r="I21" s="105">
        <v>2</v>
      </c>
      <c r="J21" s="62">
        <v>4.41</v>
      </c>
      <c r="K21" s="62">
        <v>2</v>
      </c>
      <c r="L21" s="64">
        <v>4.8099999999999996</v>
      </c>
      <c r="M21" s="62">
        <v>5.57</v>
      </c>
      <c r="N21" s="101">
        <v>2.4300000000000002</v>
      </c>
      <c r="O21" s="110"/>
      <c r="P21" s="149">
        <v>58</v>
      </c>
      <c r="Q21" s="148">
        <v>48</v>
      </c>
      <c r="R21" s="148">
        <f>P21 - Q21</f>
        <v>10</v>
      </c>
    </row>
    <row r="22" spans="1:18" ht="25.5" x14ac:dyDescent="0.2">
      <c r="A22" s="114">
        <v>49</v>
      </c>
      <c r="B22" s="50">
        <v>26</v>
      </c>
      <c r="C22" s="116" t="s">
        <v>445</v>
      </c>
      <c r="D22" s="70">
        <v>1</v>
      </c>
      <c r="E22" s="61">
        <v>2.0099999999999998</v>
      </c>
      <c r="F22" s="61">
        <v>1</v>
      </c>
      <c r="G22" s="64">
        <v>2.21</v>
      </c>
      <c r="H22" s="101">
        <v>2.0099999999999998</v>
      </c>
      <c r="I22" s="105">
        <v>2</v>
      </c>
      <c r="J22" s="62">
        <v>4.54</v>
      </c>
      <c r="K22" s="62">
        <v>2</v>
      </c>
      <c r="L22" s="64">
        <v>4.9400000000000004</v>
      </c>
      <c r="M22" s="62">
        <v>7.15</v>
      </c>
      <c r="N22" s="101">
        <v>2.56</v>
      </c>
      <c r="O22" s="110"/>
      <c r="P22" s="149">
        <v>49</v>
      </c>
      <c r="Q22" s="148">
        <v>40</v>
      </c>
      <c r="R22" s="148">
        <f>P22 - Q22</f>
        <v>9</v>
      </c>
    </row>
    <row r="23" spans="1:18" ht="25.5" x14ac:dyDescent="0.2">
      <c r="A23" s="114">
        <v>59</v>
      </c>
      <c r="B23" s="63">
        <v>33</v>
      </c>
      <c r="C23" s="116" t="s">
        <v>234</v>
      </c>
      <c r="D23" s="70">
        <v>0</v>
      </c>
      <c r="E23" s="61">
        <v>0</v>
      </c>
      <c r="F23" s="61">
        <v>0</v>
      </c>
      <c r="G23" s="64">
        <v>0</v>
      </c>
      <c r="H23" s="101">
        <v>0</v>
      </c>
      <c r="I23" s="105">
        <v>2</v>
      </c>
      <c r="J23" s="62">
        <v>4.17</v>
      </c>
      <c r="K23" s="62">
        <v>2</v>
      </c>
      <c r="L23" s="64">
        <v>4.57</v>
      </c>
      <c r="M23" s="62">
        <v>4.57</v>
      </c>
      <c r="N23" s="101">
        <v>2.09</v>
      </c>
      <c r="O23" s="110"/>
      <c r="P23" s="149">
        <v>59</v>
      </c>
      <c r="Q23" s="148">
        <v>51</v>
      </c>
      <c r="R23" s="148">
        <f>P23 - Q23</f>
        <v>8</v>
      </c>
    </row>
    <row r="24" spans="1:18" ht="25.5" x14ac:dyDescent="0.2">
      <c r="A24" s="114">
        <v>13</v>
      </c>
      <c r="B24" s="50">
        <v>28</v>
      </c>
      <c r="C24" s="116" t="s">
        <v>352</v>
      </c>
      <c r="D24" s="70">
        <v>3</v>
      </c>
      <c r="E24" s="61">
        <v>4.49</v>
      </c>
      <c r="F24" s="61">
        <v>3</v>
      </c>
      <c r="G24" s="64">
        <v>5.09</v>
      </c>
      <c r="H24" s="101">
        <v>2.0499999999999998</v>
      </c>
      <c r="I24" s="105">
        <v>5</v>
      </c>
      <c r="J24" s="62">
        <v>5.65</v>
      </c>
      <c r="K24" s="62">
        <v>5</v>
      </c>
      <c r="L24" s="64">
        <v>6.65</v>
      </c>
      <c r="M24" s="62">
        <v>11.74</v>
      </c>
      <c r="N24" s="101">
        <v>2.11</v>
      </c>
      <c r="O24" s="110"/>
      <c r="P24" s="149">
        <v>13</v>
      </c>
      <c r="Q24" s="148">
        <v>6</v>
      </c>
      <c r="R24" s="148">
        <f>P24 - Q24</f>
        <v>7</v>
      </c>
    </row>
    <row r="25" spans="1:18" ht="25.5" x14ac:dyDescent="0.2">
      <c r="A25" s="114">
        <v>56</v>
      </c>
      <c r="B25" s="63">
        <v>31</v>
      </c>
      <c r="C25" s="115" t="s">
        <v>472</v>
      </c>
      <c r="D25" s="70">
        <v>1</v>
      </c>
      <c r="E25" s="61">
        <v>1.64</v>
      </c>
      <c r="F25" s="61">
        <v>1</v>
      </c>
      <c r="G25" s="64">
        <v>1.84</v>
      </c>
      <c r="H25" s="101">
        <v>1.64</v>
      </c>
      <c r="I25" s="105">
        <v>1</v>
      </c>
      <c r="J25" s="62">
        <v>2.71</v>
      </c>
      <c r="K25" s="62">
        <v>1</v>
      </c>
      <c r="L25" s="64">
        <v>2.91</v>
      </c>
      <c r="M25" s="62">
        <v>4.75</v>
      </c>
      <c r="N25" s="101">
        <v>2.71</v>
      </c>
      <c r="O25" s="110"/>
      <c r="P25" s="149">
        <v>56</v>
      </c>
      <c r="Q25" s="148">
        <v>50</v>
      </c>
      <c r="R25" s="148">
        <f>P25 - Q25</f>
        <v>6</v>
      </c>
    </row>
    <row r="26" spans="1:18" ht="25.5" x14ac:dyDescent="0.2">
      <c r="A26" s="114">
        <v>48</v>
      </c>
      <c r="B26" s="50">
        <v>15</v>
      </c>
      <c r="C26" s="116" t="s">
        <v>367</v>
      </c>
      <c r="D26" s="70">
        <v>1</v>
      </c>
      <c r="E26" s="61">
        <v>2.2999999999999998</v>
      </c>
      <c r="F26" s="61">
        <v>1</v>
      </c>
      <c r="G26" s="64">
        <v>2.5</v>
      </c>
      <c r="H26" s="101">
        <v>2.2999999999999998</v>
      </c>
      <c r="I26" s="105">
        <v>2</v>
      </c>
      <c r="J26" s="62">
        <v>3.86</v>
      </c>
      <c r="K26" s="62">
        <v>2</v>
      </c>
      <c r="L26" s="64">
        <v>4.26</v>
      </c>
      <c r="M26" s="62">
        <v>6.76</v>
      </c>
      <c r="N26" s="101">
        <v>1.97</v>
      </c>
      <c r="O26" s="110"/>
      <c r="P26" s="149">
        <v>48</v>
      </c>
      <c r="Q26" s="148">
        <v>43</v>
      </c>
      <c r="R26" s="148">
        <f>P26 - Q26</f>
        <v>5</v>
      </c>
    </row>
    <row r="27" spans="1:18" ht="25.5" x14ac:dyDescent="0.2">
      <c r="A27" s="114">
        <v>50</v>
      </c>
      <c r="B27" s="63">
        <v>34</v>
      </c>
      <c r="C27" s="115" t="s">
        <v>447</v>
      </c>
      <c r="D27" s="70">
        <v>1</v>
      </c>
      <c r="E27" s="61">
        <v>1.95</v>
      </c>
      <c r="F27" s="61">
        <v>1</v>
      </c>
      <c r="G27" s="64">
        <v>2.15</v>
      </c>
      <c r="H27" s="101">
        <v>1.95</v>
      </c>
      <c r="I27" s="105">
        <v>2</v>
      </c>
      <c r="J27" s="62">
        <v>4.01</v>
      </c>
      <c r="K27" s="62">
        <v>2</v>
      </c>
      <c r="L27" s="64">
        <v>4.41</v>
      </c>
      <c r="M27" s="62">
        <v>6.56</v>
      </c>
      <c r="N27" s="101">
        <v>2.14</v>
      </c>
      <c r="O27" s="110"/>
      <c r="P27" s="149">
        <v>50</v>
      </c>
      <c r="Q27" s="148">
        <v>46</v>
      </c>
      <c r="R27" s="148">
        <f>P27 - Q27</f>
        <v>4</v>
      </c>
    </row>
    <row r="28" spans="1:18" ht="25.5" x14ac:dyDescent="0.2">
      <c r="A28" s="114">
        <v>59</v>
      </c>
      <c r="B28" s="50">
        <v>57</v>
      </c>
      <c r="C28" s="116" t="s">
        <v>457</v>
      </c>
      <c r="D28" s="70">
        <v>0</v>
      </c>
      <c r="E28" s="61">
        <v>0</v>
      </c>
      <c r="F28" s="61">
        <v>0</v>
      </c>
      <c r="G28" s="64">
        <v>0</v>
      </c>
      <c r="H28" s="101">
        <v>0</v>
      </c>
      <c r="I28" s="105">
        <v>2</v>
      </c>
      <c r="J28" s="62">
        <v>3.83</v>
      </c>
      <c r="K28" s="62">
        <v>2</v>
      </c>
      <c r="L28" s="64">
        <v>4.2300000000000004</v>
      </c>
      <c r="M28" s="62">
        <v>4.2300000000000004</v>
      </c>
      <c r="N28" s="101">
        <v>1.98</v>
      </c>
      <c r="O28" s="110"/>
      <c r="P28" s="149">
        <v>59</v>
      </c>
      <c r="Q28" s="148">
        <v>55</v>
      </c>
      <c r="R28" s="148">
        <f>P28 - Q28</f>
        <v>4</v>
      </c>
    </row>
    <row r="29" spans="1:18" ht="25.5" x14ac:dyDescent="0.2">
      <c r="A29" s="70">
        <v>59</v>
      </c>
      <c r="B29" s="63">
        <v>30</v>
      </c>
      <c r="C29" s="116" t="s">
        <v>388</v>
      </c>
      <c r="D29" s="70">
        <v>0</v>
      </c>
      <c r="E29" s="61">
        <v>0</v>
      </c>
      <c r="F29" s="61">
        <v>0</v>
      </c>
      <c r="G29" s="64">
        <v>0</v>
      </c>
      <c r="H29" s="101">
        <v>0</v>
      </c>
      <c r="I29" s="105">
        <v>2</v>
      </c>
      <c r="J29" s="62">
        <v>3.8</v>
      </c>
      <c r="K29" s="62">
        <v>2</v>
      </c>
      <c r="L29" s="64">
        <v>4.2</v>
      </c>
      <c r="M29" s="62">
        <v>4.2</v>
      </c>
      <c r="N29" s="101">
        <v>1.95</v>
      </c>
      <c r="O29" s="110"/>
      <c r="P29" s="150">
        <v>59</v>
      </c>
      <c r="Q29" s="148">
        <v>56</v>
      </c>
      <c r="R29" s="148">
        <f>P29 - Q29</f>
        <v>3</v>
      </c>
    </row>
    <row r="30" spans="1:18" ht="25.5" x14ac:dyDescent="0.2">
      <c r="A30" s="114">
        <v>15</v>
      </c>
      <c r="B30" s="50">
        <v>38</v>
      </c>
      <c r="C30" s="116" t="s">
        <v>307</v>
      </c>
      <c r="D30" s="70">
        <v>2</v>
      </c>
      <c r="E30" s="61">
        <v>4.5199999999999996</v>
      </c>
      <c r="F30" s="61">
        <v>2</v>
      </c>
      <c r="G30" s="64">
        <v>4.92</v>
      </c>
      <c r="H30" s="101">
        <v>2.35</v>
      </c>
      <c r="I30" s="105">
        <v>2</v>
      </c>
      <c r="J30" s="62">
        <v>5.52</v>
      </c>
      <c r="K30" s="62">
        <v>2</v>
      </c>
      <c r="L30" s="64">
        <v>5.92</v>
      </c>
      <c r="M30" s="62">
        <v>10.84</v>
      </c>
      <c r="N30" s="101">
        <v>2.38</v>
      </c>
      <c r="O30" s="110"/>
      <c r="P30" s="149">
        <v>15</v>
      </c>
      <c r="Q30" s="148">
        <v>12</v>
      </c>
      <c r="R30" s="148">
        <f>P30 - Q30</f>
        <v>3</v>
      </c>
    </row>
    <row r="31" spans="1:18" ht="25.5" x14ac:dyDescent="0.2">
      <c r="A31" s="114">
        <v>1</v>
      </c>
      <c r="B31" s="63">
        <v>2</v>
      </c>
      <c r="C31" s="116" t="s">
        <v>440</v>
      </c>
      <c r="D31" s="70">
        <v>5</v>
      </c>
      <c r="E31" s="61">
        <v>7.25</v>
      </c>
      <c r="F31" s="61">
        <v>5</v>
      </c>
      <c r="G31" s="64">
        <v>8.25</v>
      </c>
      <c r="H31" s="101">
        <v>2.36</v>
      </c>
      <c r="I31" s="105">
        <v>5</v>
      </c>
      <c r="J31" s="62">
        <v>8.75</v>
      </c>
      <c r="K31" s="62">
        <v>5</v>
      </c>
      <c r="L31" s="64">
        <v>9.75</v>
      </c>
      <c r="M31" s="62">
        <v>18</v>
      </c>
      <c r="N31" s="101">
        <v>3.03</v>
      </c>
      <c r="O31" s="110"/>
      <c r="P31" s="149">
        <v>1</v>
      </c>
      <c r="Q31" s="148">
        <v>1</v>
      </c>
      <c r="R31" s="148">
        <f>P31 - Q31</f>
        <v>0</v>
      </c>
    </row>
    <row r="32" spans="1:18" ht="25.5" x14ac:dyDescent="0.2">
      <c r="A32" s="114">
        <v>9</v>
      </c>
      <c r="B32" s="50">
        <v>3</v>
      </c>
      <c r="C32" s="116" t="s">
        <v>363</v>
      </c>
      <c r="D32" s="70">
        <v>2</v>
      </c>
      <c r="E32" s="61">
        <v>5.16</v>
      </c>
      <c r="F32" s="61">
        <v>2</v>
      </c>
      <c r="G32" s="64">
        <v>5.56</v>
      </c>
      <c r="H32" s="101">
        <v>2.81</v>
      </c>
      <c r="I32" s="105">
        <v>3</v>
      </c>
      <c r="J32" s="62">
        <v>5.15</v>
      </c>
      <c r="K32" s="62">
        <v>3</v>
      </c>
      <c r="L32" s="64">
        <v>5.75</v>
      </c>
      <c r="M32" s="62">
        <v>11.31</v>
      </c>
      <c r="N32" s="101">
        <v>2.3199999999999998</v>
      </c>
      <c r="O32" s="110"/>
      <c r="P32" s="149">
        <v>9</v>
      </c>
      <c r="Q32" s="148">
        <v>9</v>
      </c>
      <c r="R32" s="148">
        <f>P32 - Q32</f>
        <v>0</v>
      </c>
    </row>
    <row r="33" spans="1:18" ht="25.5" x14ac:dyDescent="0.2">
      <c r="A33" s="114">
        <v>59</v>
      </c>
      <c r="B33" s="63">
        <v>36</v>
      </c>
      <c r="C33" s="116" t="s">
        <v>330</v>
      </c>
      <c r="D33" s="70">
        <v>0</v>
      </c>
      <c r="E33" s="61">
        <v>0</v>
      </c>
      <c r="F33" s="61">
        <v>0</v>
      </c>
      <c r="G33" s="64">
        <v>0</v>
      </c>
      <c r="H33" s="101">
        <v>0</v>
      </c>
      <c r="I33" s="105">
        <v>2</v>
      </c>
      <c r="J33" s="62">
        <v>3.67</v>
      </c>
      <c r="K33" s="62">
        <v>2</v>
      </c>
      <c r="L33" s="64">
        <v>4.07</v>
      </c>
      <c r="M33" s="62">
        <v>4.07</v>
      </c>
      <c r="N33" s="101">
        <v>2.67</v>
      </c>
      <c r="O33" s="110"/>
      <c r="P33" s="149">
        <v>59</v>
      </c>
      <c r="Q33" s="148">
        <v>59</v>
      </c>
      <c r="R33" s="148">
        <f>P33 - Q33</f>
        <v>0</v>
      </c>
    </row>
    <row r="34" spans="1:18" ht="25.5" x14ac:dyDescent="0.2">
      <c r="A34" s="114">
        <v>7</v>
      </c>
      <c r="B34" s="50">
        <v>7</v>
      </c>
      <c r="C34" s="116" t="s">
        <v>326</v>
      </c>
      <c r="D34" s="70">
        <v>3</v>
      </c>
      <c r="E34" s="61">
        <v>5.2</v>
      </c>
      <c r="F34" s="61">
        <v>3</v>
      </c>
      <c r="G34" s="64">
        <v>5.8</v>
      </c>
      <c r="H34" s="101">
        <v>2.27</v>
      </c>
      <c r="I34" s="105">
        <v>3</v>
      </c>
      <c r="J34" s="62">
        <v>4.92</v>
      </c>
      <c r="K34" s="62">
        <v>3</v>
      </c>
      <c r="L34" s="64">
        <v>5.52</v>
      </c>
      <c r="M34" s="62">
        <v>11.32</v>
      </c>
      <c r="N34" s="101">
        <v>2.15</v>
      </c>
      <c r="O34" s="110"/>
      <c r="P34" s="149">
        <v>7</v>
      </c>
      <c r="Q34" s="148">
        <v>8</v>
      </c>
      <c r="R34" s="148">
        <f>P34 - Q34</f>
        <v>-1</v>
      </c>
    </row>
    <row r="35" spans="1:18" ht="25.5" x14ac:dyDescent="0.2">
      <c r="A35" s="114">
        <v>2</v>
      </c>
      <c r="B35" s="63">
        <v>16</v>
      </c>
      <c r="C35" s="116" t="s">
        <v>345</v>
      </c>
      <c r="D35" s="70">
        <v>5</v>
      </c>
      <c r="E35" s="61">
        <v>5.96</v>
      </c>
      <c r="F35" s="61">
        <v>5</v>
      </c>
      <c r="G35" s="64">
        <v>6.96</v>
      </c>
      <c r="H35" s="101">
        <v>2.2000000000000002</v>
      </c>
      <c r="I35" s="105">
        <v>4</v>
      </c>
      <c r="J35" s="62">
        <v>5.48</v>
      </c>
      <c r="K35" s="62">
        <v>4</v>
      </c>
      <c r="L35" s="64">
        <v>6.28</v>
      </c>
      <c r="M35" s="62">
        <v>13.24</v>
      </c>
      <c r="N35" s="101">
        <v>1.89</v>
      </c>
      <c r="O35" s="110"/>
      <c r="P35" s="149">
        <v>2</v>
      </c>
      <c r="Q35" s="148">
        <v>3</v>
      </c>
      <c r="R35" s="148">
        <f>P35 - Q35</f>
        <v>-1</v>
      </c>
    </row>
    <row r="36" spans="1:18" ht="25.5" x14ac:dyDescent="0.2">
      <c r="A36" s="114">
        <v>28</v>
      </c>
      <c r="B36" s="50">
        <v>27</v>
      </c>
      <c r="C36" s="116" t="s">
        <v>226</v>
      </c>
      <c r="D36" s="70">
        <v>2</v>
      </c>
      <c r="E36" s="61">
        <v>4.0999999999999996</v>
      </c>
      <c r="F36" s="61">
        <v>2</v>
      </c>
      <c r="G36" s="64">
        <v>4.5</v>
      </c>
      <c r="H36" s="101">
        <v>2.29</v>
      </c>
      <c r="I36" s="105">
        <v>2</v>
      </c>
      <c r="J36" s="62">
        <v>3.77</v>
      </c>
      <c r="K36" s="62">
        <v>2</v>
      </c>
      <c r="L36" s="64">
        <v>4.17</v>
      </c>
      <c r="M36" s="62">
        <v>8.67</v>
      </c>
      <c r="N36" s="101">
        <v>2.0299999999999998</v>
      </c>
      <c r="O36" s="110"/>
      <c r="P36" s="149">
        <v>28</v>
      </c>
      <c r="Q36" s="148">
        <v>29</v>
      </c>
      <c r="R36" s="148">
        <f>P36 - Q36</f>
        <v>-1</v>
      </c>
    </row>
    <row r="37" spans="1:18" ht="25.5" x14ac:dyDescent="0.2">
      <c r="A37" s="114">
        <v>59</v>
      </c>
      <c r="B37" s="63">
        <v>39</v>
      </c>
      <c r="C37" s="116" t="s">
        <v>453</v>
      </c>
      <c r="D37" s="70">
        <v>0</v>
      </c>
      <c r="E37" s="61">
        <v>0</v>
      </c>
      <c r="F37" s="61">
        <v>0</v>
      </c>
      <c r="G37" s="64">
        <v>0</v>
      </c>
      <c r="H37" s="101">
        <v>0</v>
      </c>
      <c r="I37" s="105">
        <v>2</v>
      </c>
      <c r="J37" s="62">
        <v>3.65</v>
      </c>
      <c r="K37" s="62">
        <v>2</v>
      </c>
      <c r="L37" s="64">
        <v>4.05</v>
      </c>
      <c r="M37" s="62">
        <v>4.05</v>
      </c>
      <c r="N37" s="101">
        <v>1.93</v>
      </c>
      <c r="O37" s="110"/>
      <c r="P37" s="149">
        <v>59</v>
      </c>
      <c r="Q37" s="148">
        <v>60</v>
      </c>
      <c r="R37" s="148">
        <f>P37 - Q37</f>
        <v>-1</v>
      </c>
    </row>
    <row r="38" spans="1:18" ht="25.5" x14ac:dyDescent="0.2">
      <c r="A38" s="114">
        <v>23</v>
      </c>
      <c r="B38" s="50">
        <v>43</v>
      </c>
      <c r="C38" s="116" t="s">
        <v>444</v>
      </c>
      <c r="D38" s="70">
        <v>2</v>
      </c>
      <c r="E38" s="61">
        <v>4.24</v>
      </c>
      <c r="F38" s="61">
        <v>2</v>
      </c>
      <c r="G38" s="64">
        <v>4.6399999999999997</v>
      </c>
      <c r="H38" s="101">
        <v>2.2400000000000002</v>
      </c>
      <c r="I38" s="105">
        <v>2</v>
      </c>
      <c r="J38" s="62">
        <v>4.24</v>
      </c>
      <c r="K38" s="62">
        <v>2</v>
      </c>
      <c r="L38" s="64">
        <v>4.6399999999999997</v>
      </c>
      <c r="M38" s="62">
        <v>9.2799999999999994</v>
      </c>
      <c r="N38" s="101">
        <v>2.14</v>
      </c>
      <c r="O38" s="110"/>
      <c r="P38" s="149">
        <v>23</v>
      </c>
      <c r="Q38" s="148">
        <v>24</v>
      </c>
      <c r="R38" s="148">
        <f>P38 - Q38</f>
        <v>-1</v>
      </c>
    </row>
    <row r="39" spans="1:18" ht="25.5" x14ac:dyDescent="0.2">
      <c r="A39" s="114">
        <v>46</v>
      </c>
      <c r="B39" s="63">
        <v>58</v>
      </c>
      <c r="C39" s="116" t="s">
        <v>468</v>
      </c>
      <c r="D39" s="70">
        <v>2</v>
      </c>
      <c r="E39" s="61">
        <v>3.46</v>
      </c>
      <c r="F39" s="61">
        <v>2</v>
      </c>
      <c r="G39" s="64">
        <v>3.86</v>
      </c>
      <c r="H39" s="101">
        <v>1.8</v>
      </c>
      <c r="I39" s="105">
        <v>1</v>
      </c>
      <c r="J39" s="62">
        <v>2.25</v>
      </c>
      <c r="K39" s="62">
        <v>1</v>
      </c>
      <c r="L39" s="64">
        <v>2.4500000000000002</v>
      </c>
      <c r="M39" s="62">
        <v>6.31</v>
      </c>
      <c r="N39" s="101">
        <v>2.25</v>
      </c>
      <c r="O39" s="110"/>
      <c r="P39" s="149">
        <v>46</v>
      </c>
      <c r="Q39" s="148">
        <v>47</v>
      </c>
      <c r="R39" s="148">
        <f>P39 - Q39</f>
        <v>-1</v>
      </c>
    </row>
    <row r="40" spans="1:18" ht="25.5" x14ac:dyDescent="0.2">
      <c r="A40" s="114">
        <v>4</v>
      </c>
      <c r="B40" s="50">
        <v>6</v>
      </c>
      <c r="C40" s="116" t="s">
        <v>459</v>
      </c>
      <c r="D40" s="70">
        <v>4</v>
      </c>
      <c r="E40" s="61">
        <v>5.41</v>
      </c>
      <c r="F40" s="61">
        <v>4</v>
      </c>
      <c r="G40" s="64">
        <v>6.21</v>
      </c>
      <c r="H40" s="101">
        <v>2.11</v>
      </c>
      <c r="I40" s="105">
        <v>2</v>
      </c>
      <c r="J40" s="62">
        <v>4.92</v>
      </c>
      <c r="K40" s="62">
        <v>2</v>
      </c>
      <c r="L40" s="64">
        <v>5.32</v>
      </c>
      <c r="M40" s="62">
        <v>11.53</v>
      </c>
      <c r="N40" s="101">
        <v>2.54</v>
      </c>
      <c r="O40" s="110"/>
      <c r="P40" s="149">
        <v>4</v>
      </c>
      <c r="Q40" s="148">
        <v>7</v>
      </c>
      <c r="R40" s="148">
        <f>P40 - Q40</f>
        <v>-3</v>
      </c>
    </row>
    <row r="41" spans="1:18" ht="25.5" x14ac:dyDescent="0.2">
      <c r="A41" s="114">
        <v>10</v>
      </c>
      <c r="B41" s="63">
        <v>14</v>
      </c>
      <c r="C41" s="116" t="s">
        <v>253</v>
      </c>
      <c r="D41" s="70">
        <v>3</v>
      </c>
      <c r="E41" s="61">
        <v>4.93</v>
      </c>
      <c r="F41" s="61">
        <v>3</v>
      </c>
      <c r="G41" s="64">
        <v>5.53</v>
      </c>
      <c r="H41" s="101">
        <v>2.0499999999999998</v>
      </c>
      <c r="I41" s="105">
        <v>3</v>
      </c>
      <c r="J41" s="62">
        <v>4.4000000000000004</v>
      </c>
      <c r="K41" s="62">
        <v>3</v>
      </c>
      <c r="L41" s="64">
        <v>5</v>
      </c>
      <c r="M41" s="62">
        <v>10.53</v>
      </c>
      <c r="N41" s="101">
        <v>1.79</v>
      </c>
      <c r="O41" s="110"/>
      <c r="P41" s="149">
        <v>10</v>
      </c>
      <c r="Q41" s="148">
        <v>14</v>
      </c>
      <c r="R41" s="148">
        <f>P41 - Q41</f>
        <v>-4</v>
      </c>
    </row>
    <row r="42" spans="1:18" ht="25.5" x14ac:dyDescent="0.2">
      <c r="A42" s="114">
        <v>22</v>
      </c>
      <c r="B42" s="50">
        <v>47</v>
      </c>
      <c r="C42" s="116" t="s">
        <v>438</v>
      </c>
      <c r="D42" s="70">
        <v>2</v>
      </c>
      <c r="E42" s="61">
        <v>4.29</v>
      </c>
      <c r="F42" s="61">
        <v>2</v>
      </c>
      <c r="G42" s="64">
        <v>4.6900000000000004</v>
      </c>
      <c r="H42" s="101">
        <v>2.3199999999999998</v>
      </c>
      <c r="I42" s="105">
        <v>2</v>
      </c>
      <c r="J42" s="62">
        <v>3.6</v>
      </c>
      <c r="K42" s="62">
        <v>2</v>
      </c>
      <c r="L42" s="64">
        <v>4</v>
      </c>
      <c r="M42" s="62">
        <v>8.69</v>
      </c>
      <c r="N42" s="101">
        <v>1.81</v>
      </c>
      <c r="O42" s="110"/>
      <c r="P42" s="149">
        <v>22</v>
      </c>
      <c r="Q42" s="148">
        <v>27</v>
      </c>
      <c r="R42" s="148">
        <f>P42 - Q42</f>
        <v>-5</v>
      </c>
    </row>
    <row r="43" spans="1:18" ht="25.5" x14ac:dyDescent="0.2">
      <c r="A43" s="114">
        <v>59</v>
      </c>
      <c r="B43" s="63">
        <v>53</v>
      </c>
      <c r="C43" s="116" t="s">
        <v>454</v>
      </c>
      <c r="D43" s="70">
        <v>0</v>
      </c>
      <c r="E43" s="61">
        <v>0</v>
      </c>
      <c r="F43" s="61">
        <v>0</v>
      </c>
      <c r="G43" s="64">
        <v>0</v>
      </c>
      <c r="H43" s="101">
        <v>0</v>
      </c>
      <c r="I43" s="105">
        <v>1</v>
      </c>
      <c r="J43" s="62">
        <v>2.25</v>
      </c>
      <c r="K43" s="62">
        <v>1</v>
      </c>
      <c r="L43" s="64">
        <v>2.4500000000000002</v>
      </c>
      <c r="M43" s="62">
        <v>2.4500000000000002</v>
      </c>
      <c r="N43" s="101">
        <v>2.25</v>
      </c>
      <c r="O43" s="110"/>
      <c r="P43" s="149">
        <v>59</v>
      </c>
      <c r="Q43" s="148">
        <v>64</v>
      </c>
      <c r="R43" s="148">
        <f>P43 - Q43</f>
        <v>-5</v>
      </c>
    </row>
    <row r="44" spans="1:18" ht="25.5" x14ac:dyDescent="0.2">
      <c r="A44" s="114">
        <v>14</v>
      </c>
      <c r="B44" s="50">
        <v>1</v>
      </c>
      <c r="C44" s="116" t="s">
        <v>211</v>
      </c>
      <c r="D44" s="70">
        <v>2</v>
      </c>
      <c r="E44" s="61">
        <v>4.5599999999999996</v>
      </c>
      <c r="F44" s="61">
        <v>2</v>
      </c>
      <c r="G44" s="64">
        <v>4.96</v>
      </c>
      <c r="H44" s="101">
        <v>2.42</v>
      </c>
      <c r="I44" s="105">
        <v>2</v>
      </c>
      <c r="J44" s="62">
        <v>4.1399999999999997</v>
      </c>
      <c r="K44" s="62">
        <v>2</v>
      </c>
      <c r="L44" s="64">
        <v>4.54</v>
      </c>
      <c r="M44" s="62">
        <v>9.5</v>
      </c>
      <c r="N44" s="101">
        <v>2.33</v>
      </c>
      <c r="O44" s="110"/>
      <c r="P44" s="149">
        <v>14</v>
      </c>
      <c r="Q44" s="148">
        <v>21</v>
      </c>
      <c r="R44" s="148">
        <f>P44 - Q44</f>
        <v>-7</v>
      </c>
    </row>
    <row r="45" spans="1:18" ht="25.5" x14ac:dyDescent="0.2">
      <c r="A45" s="114">
        <v>54</v>
      </c>
      <c r="B45" s="63">
        <v>44</v>
      </c>
      <c r="C45" s="116" t="s">
        <v>370</v>
      </c>
      <c r="D45" s="70">
        <v>1</v>
      </c>
      <c r="E45" s="61">
        <v>1.71</v>
      </c>
      <c r="F45" s="61">
        <v>1</v>
      </c>
      <c r="G45" s="64">
        <v>1.91</v>
      </c>
      <c r="H45" s="101">
        <v>1.71</v>
      </c>
      <c r="I45" s="105">
        <v>1</v>
      </c>
      <c r="J45" s="62">
        <v>1.91</v>
      </c>
      <c r="K45" s="62">
        <v>1</v>
      </c>
      <c r="L45" s="64">
        <v>2.11</v>
      </c>
      <c r="M45" s="62">
        <v>4.0199999999999996</v>
      </c>
      <c r="N45" s="101">
        <v>1.91</v>
      </c>
      <c r="O45" s="110"/>
      <c r="P45" s="149">
        <v>54</v>
      </c>
      <c r="Q45" s="148">
        <v>61</v>
      </c>
      <c r="R45" s="148">
        <f>P45 - Q45</f>
        <v>-7</v>
      </c>
    </row>
    <row r="46" spans="1:18" ht="25.5" x14ac:dyDescent="0.2">
      <c r="A46" s="114">
        <v>55</v>
      </c>
      <c r="B46" s="50">
        <v>45</v>
      </c>
      <c r="C46" s="116" t="s">
        <v>410</v>
      </c>
      <c r="D46" s="70">
        <v>1</v>
      </c>
      <c r="E46" s="61">
        <v>1.66</v>
      </c>
      <c r="F46" s="61">
        <v>1</v>
      </c>
      <c r="G46" s="64">
        <v>1.86</v>
      </c>
      <c r="H46" s="101">
        <v>1.66</v>
      </c>
      <c r="I46" s="105">
        <v>1</v>
      </c>
      <c r="J46" s="62">
        <v>1.69</v>
      </c>
      <c r="K46" s="62">
        <v>1</v>
      </c>
      <c r="L46" s="64">
        <v>1.89</v>
      </c>
      <c r="M46" s="62">
        <v>3.75</v>
      </c>
      <c r="N46" s="101">
        <v>1.69</v>
      </c>
      <c r="O46" s="110"/>
      <c r="P46" s="149">
        <v>55</v>
      </c>
      <c r="Q46" s="148">
        <v>62</v>
      </c>
      <c r="R46" s="148">
        <f>P46 - Q46</f>
        <v>-7</v>
      </c>
    </row>
    <row r="47" spans="1:18" ht="25.5" x14ac:dyDescent="0.2">
      <c r="A47" s="114">
        <v>12</v>
      </c>
      <c r="B47" s="63">
        <v>51</v>
      </c>
      <c r="C47" s="116" t="s">
        <v>448</v>
      </c>
      <c r="D47" s="70">
        <v>2</v>
      </c>
      <c r="E47" s="61">
        <v>4.7</v>
      </c>
      <c r="F47" s="61">
        <v>2</v>
      </c>
      <c r="G47" s="64">
        <v>5.0999999999999996</v>
      </c>
      <c r="H47" s="101">
        <v>2.5299999999999998</v>
      </c>
      <c r="I47" s="105">
        <v>2</v>
      </c>
      <c r="J47" s="62">
        <v>4.45</v>
      </c>
      <c r="K47" s="62">
        <v>2</v>
      </c>
      <c r="L47" s="64">
        <v>4.8499999999999996</v>
      </c>
      <c r="M47" s="62">
        <v>9.9499999999999993</v>
      </c>
      <c r="N47" s="101">
        <v>2.38</v>
      </c>
      <c r="O47" s="110"/>
      <c r="P47" s="149">
        <v>12</v>
      </c>
      <c r="Q47" s="148">
        <v>19</v>
      </c>
      <c r="R47" s="148">
        <f>P47 - Q47</f>
        <v>-7</v>
      </c>
    </row>
    <row r="48" spans="1:18" ht="25.5" x14ac:dyDescent="0.2">
      <c r="A48" s="114">
        <v>3</v>
      </c>
      <c r="B48" s="50">
        <v>25</v>
      </c>
      <c r="C48" s="116" t="s">
        <v>320</v>
      </c>
      <c r="D48" s="70">
        <v>4</v>
      </c>
      <c r="E48" s="61">
        <v>5.54</v>
      </c>
      <c r="F48" s="61">
        <v>4</v>
      </c>
      <c r="G48" s="64">
        <v>6.34</v>
      </c>
      <c r="H48" s="101">
        <v>2.1800000000000002</v>
      </c>
      <c r="I48" s="105">
        <v>2</v>
      </c>
      <c r="J48" s="62">
        <v>4.28</v>
      </c>
      <c r="K48" s="62">
        <v>2</v>
      </c>
      <c r="L48" s="64">
        <v>4.68</v>
      </c>
      <c r="M48" s="62">
        <v>11.02</v>
      </c>
      <c r="N48" s="101">
        <v>2.17</v>
      </c>
      <c r="O48" s="110"/>
      <c r="P48" s="149">
        <v>3</v>
      </c>
      <c r="Q48" s="148">
        <v>11</v>
      </c>
      <c r="R48" s="148">
        <f>P48 - Q48</f>
        <v>-8</v>
      </c>
    </row>
    <row r="49" spans="1:18" ht="25.5" x14ac:dyDescent="0.2">
      <c r="A49" s="114">
        <v>59</v>
      </c>
      <c r="B49" s="63">
        <v>68</v>
      </c>
      <c r="C49" s="116" t="s">
        <v>392</v>
      </c>
      <c r="D49" s="70">
        <v>0</v>
      </c>
      <c r="E49" s="61">
        <v>0</v>
      </c>
      <c r="F49" s="61">
        <v>0</v>
      </c>
      <c r="G49" s="64">
        <v>0</v>
      </c>
      <c r="H49" s="101">
        <v>0</v>
      </c>
      <c r="I49" s="105">
        <v>0</v>
      </c>
      <c r="J49" s="62">
        <v>0</v>
      </c>
      <c r="K49" s="62">
        <v>0</v>
      </c>
      <c r="L49" s="64">
        <v>0</v>
      </c>
      <c r="M49" s="62">
        <v>0</v>
      </c>
      <c r="N49" s="101">
        <v>0</v>
      </c>
      <c r="O49" s="110"/>
      <c r="P49" s="149">
        <v>59</v>
      </c>
      <c r="Q49" s="148">
        <v>68</v>
      </c>
      <c r="R49" s="148">
        <f>P49 - Q49</f>
        <v>-9</v>
      </c>
    </row>
    <row r="50" spans="1:18" ht="25.5" x14ac:dyDescent="0.2">
      <c r="A50" s="114">
        <v>59</v>
      </c>
      <c r="B50" s="50">
        <v>69</v>
      </c>
      <c r="C50" s="115" t="s">
        <v>446</v>
      </c>
      <c r="D50" s="70">
        <v>0</v>
      </c>
      <c r="E50" s="61">
        <v>0</v>
      </c>
      <c r="F50" s="61">
        <v>0</v>
      </c>
      <c r="G50" s="64">
        <v>0</v>
      </c>
      <c r="H50" s="101">
        <v>0</v>
      </c>
      <c r="I50" s="105">
        <v>0</v>
      </c>
      <c r="J50" s="62">
        <v>0</v>
      </c>
      <c r="K50" s="62">
        <v>0</v>
      </c>
      <c r="L50" s="64">
        <v>0</v>
      </c>
      <c r="M50" s="62">
        <v>0</v>
      </c>
      <c r="N50" s="101">
        <v>0</v>
      </c>
      <c r="O50" s="110"/>
      <c r="P50" s="149">
        <v>59</v>
      </c>
      <c r="Q50" s="148">
        <v>68</v>
      </c>
      <c r="R50" s="148">
        <f>P50 - Q50</f>
        <v>-9</v>
      </c>
    </row>
    <row r="51" spans="1:18" ht="25.5" x14ac:dyDescent="0.2">
      <c r="A51" s="114">
        <v>59</v>
      </c>
      <c r="B51" s="63">
        <v>70</v>
      </c>
      <c r="C51" s="116" t="s">
        <v>449</v>
      </c>
      <c r="D51" s="70">
        <v>0</v>
      </c>
      <c r="E51" s="61">
        <v>0</v>
      </c>
      <c r="F51" s="61">
        <v>0</v>
      </c>
      <c r="G51" s="64">
        <v>0</v>
      </c>
      <c r="H51" s="101">
        <v>0</v>
      </c>
      <c r="I51" s="105">
        <v>0</v>
      </c>
      <c r="J51" s="62">
        <v>0</v>
      </c>
      <c r="K51" s="62">
        <v>0</v>
      </c>
      <c r="L51" s="64">
        <v>0</v>
      </c>
      <c r="M51" s="62">
        <v>0</v>
      </c>
      <c r="N51" s="101">
        <v>0</v>
      </c>
      <c r="O51" s="110"/>
      <c r="P51" s="149">
        <v>59</v>
      </c>
      <c r="Q51" s="148">
        <v>68</v>
      </c>
      <c r="R51" s="148">
        <f>P51 - Q51</f>
        <v>-9</v>
      </c>
    </row>
    <row r="52" spans="1:18" ht="25.5" x14ac:dyDescent="0.2">
      <c r="A52" s="114">
        <v>59</v>
      </c>
      <c r="B52" s="50">
        <v>71</v>
      </c>
      <c r="C52" s="116" t="s">
        <v>452</v>
      </c>
      <c r="D52" s="70">
        <v>0</v>
      </c>
      <c r="E52" s="61">
        <v>0</v>
      </c>
      <c r="F52" s="61">
        <v>0</v>
      </c>
      <c r="G52" s="64">
        <v>0</v>
      </c>
      <c r="H52" s="101">
        <v>0</v>
      </c>
      <c r="I52" s="105">
        <v>0</v>
      </c>
      <c r="J52" s="62">
        <v>0</v>
      </c>
      <c r="K52" s="62">
        <v>0</v>
      </c>
      <c r="L52" s="64">
        <v>0</v>
      </c>
      <c r="M52" s="62">
        <v>0</v>
      </c>
      <c r="N52" s="101">
        <v>0</v>
      </c>
      <c r="O52" s="110"/>
      <c r="P52" s="149">
        <v>59</v>
      </c>
      <c r="Q52" s="148">
        <v>68</v>
      </c>
      <c r="R52" s="148">
        <f>P52 - Q52</f>
        <v>-9</v>
      </c>
    </row>
    <row r="53" spans="1:18" ht="25.5" x14ac:dyDescent="0.2">
      <c r="A53" s="114">
        <v>59</v>
      </c>
      <c r="B53" s="63">
        <v>72</v>
      </c>
      <c r="C53" s="116" t="s">
        <v>455</v>
      </c>
      <c r="D53" s="70">
        <v>0</v>
      </c>
      <c r="E53" s="61">
        <v>0</v>
      </c>
      <c r="F53" s="61">
        <v>0</v>
      </c>
      <c r="G53" s="64">
        <v>0</v>
      </c>
      <c r="H53" s="101">
        <v>0</v>
      </c>
      <c r="I53" s="105">
        <v>0</v>
      </c>
      <c r="J53" s="62">
        <v>0</v>
      </c>
      <c r="K53" s="62">
        <v>0</v>
      </c>
      <c r="L53" s="64">
        <v>0</v>
      </c>
      <c r="M53" s="62">
        <v>0</v>
      </c>
      <c r="N53" s="101">
        <v>0</v>
      </c>
      <c r="O53" s="110"/>
      <c r="P53" s="149">
        <v>59</v>
      </c>
      <c r="Q53" s="148">
        <v>68</v>
      </c>
      <c r="R53" s="148">
        <f>P53 - Q53</f>
        <v>-9</v>
      </c>
    </row>
    <row r="54" spans="1:18" ht="25.5" x14ac:dyDescent="0.2">
      <c r="A54" s="114">
        <v>59</v>
      </c>
      <c r="B54" s="50">
        <v>73</v>
      </c>
      <c r="C54" s="115" t="s">
        <v>460</v>
      </c>
      <c r="D54" s="70">
        <v>0</v>
      </c>
      <c r="E54" s="61">
        <v>0</v>
      </c>
      <c r="F54" s="61">
        <v>0</v>
      </c>
      <c r="G54" s="64">
        <v>0</v>
      </c>
      <c r="H54" s="101">
        <v>0</v>
      </c>
      <c r="I54" s="105">
        <v>0</v>
      </c>
      <c r="J54" s="62">
        <v>0</v>
      </c>
      <c r="K54" s="62">
        <v>0</v>
      </c>
      <c r="L54" s="64">
        <v>0</v>
      </c>
      <c r="M54" s="62">
        <v>0</v>
      </c>
      <c r="N54" s="101">
        <v>0</v>
      </c>
      <c r="O54" s="110"/>
      <c r="P54" s="149">
        <v>59</v>
      </c>
      <c r="Q54" s="148">
        <v>68</v>
      </c>
      <c r="R54" s="148">
        <f>P54 - Q54</f>
        <v>-9</v>
      </c>
    </row>
    <row r="55" spans="1:18" ht="25.5" x14ac:dyDescent="0.2">
      <c r="A55" s="114">
        <v>59</v>
      </c>
      <c r="B55" s="63">
        <v>74</v>
      </c>
      <c r="C55" s="116" t="s">
        <v>469</v>
      </c>
      <c r="D55" s="70">
        <v>0</v>
      </c>
      <c r="E55" s="61">
        <v>0</v>
      </c>
      <c r="F55" s="61">
        <v>0</v>
      </c>
      <c r="G55" s="64">
        <v>0</v>
      </c>
      <c r="H55" s="101">
        <v>0</v>
      </c>
      <c r="I55" s="105">
        <v>0</v>
      </c>
      <c r="J55" s="62">
        <v>0</v>
      </c>
      <c r="K55" s="62">
        <v>0</v>
      </c>
      <c r="L55" s="64">
        <v>0</v>
      </c>
      <c r="M55" s="62">
        <v>0</v>
      </c>
      <c r="N55" s="101">
        <v>0</v>
      </c>
      <c r="O55" s="110"/>
      <c r="P55" s="149">
        <v>59</v>
      </c>
      <c r="Q55" s="148">
        <v>68</v>
      </c>
      <c r="R55" s="148">
        <f>P55 - Q55</f>
        <v>-9</v>
      </c>
    </row>
    <row r="56" spans="1:18" ht="25.5" x14ac:dyDescent="0.2">
      <c r="A56" s="114">
        <v>59</v>
      </c>
      <c r="B56" s="50">
        <v>75</v>
      </c>
      <c r="C56" s="116" t="s">
        <v>465</v>
      </c>
      <c r="D56" s="70">
        <v>0</v>
      </c>
      <c r="E56" s="61">
        <v>0</v>
      </c>
      <c r="F56" s="61">
        <v>0</v>
      </c>
      <c r="G56" s="64">
        <v>0</v>
      </c>
      <c r="H56" s="101">
        <v>0</v>
      </c>
      <c r="I56" s="105">
        <v>0</v>
      </c>
      <c r="J56" s="62">
        <v>0</v>
      </c>
      <c r="K56" s="62">
        <v>0</v>
      </c>
      <c r="L56" s="64">
        <v>0</v>
      </c>
      <c r="M56" s="62">
        <v>0</v>
      </c>
      <c r="N56" s="101">
        <v>0</v>
      </c>
      <c r="O56" s="110"/>
      <c r="P56" s="149">
        <v>59</v>
      </c>
      <c r="Q56" s="148">
        <v>68</v>
      </c>
      <c r="R56" s="148">
        <f>P56 - Q56</f>
        <v>-9</v>
      </c>
    </row>
    <row r="57" spans="1:18" ht="25.5" x14ac:dyDescent="0.2">
      <c r="A57" s="114">
        <v>5</v>
      </c>
      <c r="B57" s="63">
        <v>17</v>
      </c>
      <c r="C57" s="116" t="s">
        <v>323</v>
      </c>
      <c r="D57" s="70">
        <v>3</v>
      </c>
      <c r="E57" s="61">
        <v>5.4</v>
      </c>
      <c r="F57" s="61">
        <v>3</v>
      </c>
      <c r="G57" s="64">
        <v>6</v>
      </c>
      <c r="H57" s="101">
        <v>2.35</v>
      </c>
      <c r="I57" s="105">
        <v>2</v>
      </c>
      <c r="J57" s="62">
        <v>4.04</v>
      </c>
      <c r="K57" s="62">
        <v>2</v>
      </c>
      <c r="L57" s="64">
        <v>4.4400000000000004</v>
      </c>
      <c r="M57" s="62">
        <v>10.44</v>
      </c>
      <c r="N57" s="101">
        <v>2.11</v>
      </c>
      <c r="O57" s="110"/>
      <c r="P57" s="149">
        <v>5</v>
      </c>
      <c r="Q57" s="148">
        <v>15</v>
      </c>
      <c r="R57" s="148">
        <f>P57 - Q57</f>
        <v>-10</v>
      </c>
    </row>
    <row r="58" spans="1:18" ht="25.5" x14ac:dyDescent="0.2">
      <c r="A58" s="70">
        <v>8</v>
      </c>
      <c r="B58" s="50">
        <v>37</v>
      </c>
      <c r="C58" s="116" t="s">
        <v>238</v>
      </c>
      <c r="D58" s="70">
        <v>3</v>
      </c>
      <c r="E58" s="61">
        <v>4.99</v>
      </c>
      <c r="F58" s="61">
        <v>3</v>
      </c>
      <c r="G58" s="64">
        <v>5.59</v>
      </c>
      <c r="H58" s="101">
        <v>2.1</v>
      </c>
      <c r="I58" s="105">
        <v>2</v>
      </c>
      <c r="J58" s="62">
        <v>3.98</v>
      </c>
      <c r="K58" s="62">
        <v>2</v>
      </c>
      <c r="L58" s="64">
        <v>4.38</v>
      </c>
      <c r="M58" s="62">
        <v>9.9700000000000006</v>
      </c>
      <c r="N58" s="101">
        <v>2.0699999999999998</v>
      </c>
      <c r="O58" s="110"/>
      <c r="P58" s="150">
        <v>8</v>
      </c>
      <c r="Q58" s="148">
        <v>18</v>
      </c>
      <c r="R58" s="148">
        <f>P58 - Q58</f>
        <v>-10</v>
      </c>
    </row>
    <row r="59" spans="1:18" ht="25.5" x14ac:dyDescent="0.2">
      <c r="A59" s="70">
        <v>57</v>
      </c>
      <c r="B59" s="63">
        <v>63</v>
      </c>
      <c r="C59" s="116" t="s">
        <v>308</v>
      </c>
      <c r="D59" s="70">
        <v>1</v>
      </c>
      <c r="E59" s="61">
        <v>1.64</v>
      </c>
      <c r="F59" s="61">
        <v>1</v>
      </c>
      <c r="G59" s="64">
        <v>1.84</v>
      </c>
      <c r="H59" s="101">
        <v>1.64</v>
      </c>
      <c r="I59" s="105">
        <v>0</v>
      </c>
      <c r="J59" s="62">
        <v>0</v>
      </c>
      <c r="K59" s="62">
        <v>0</v>
      </c>
      <c r="L59" s="64">
        <v>0</v>
      </c>
      <c r="M59" s="62">
        <v>1.84</v>
      </c>
      <c r="N59" s="101">
        <v>0</v>
      </c>
      <c r="O59" s="110"/>
      <c r="P59" s="150">
        <v>57</v>
      </c>
      <c r="Q59" s="148">
        <v>67</v>
      </c>
      <c r="R59" s="148">
        <f>P59 - Q59</f>
        <v>-10</v>
      </c>
    </row>
    <row r="60" spans="1:18" ht="25.5" x14ac:dyDescent="0.2">
      <c r="A60" s="114">
        <v>11</v>
      </c>
      <c r="B60" s="50">
        <v>32</v>
      </c>
      <c r="C60" s="115" t="s">
        <v>297</v>
      </c>
      <c r="D60" s="70">
        <v>2</v>
      </c>
      <c r="E60" s="61">
        <v>4.8600000000000003</v>
      </c>
      <c r="F60" s="61">
        <v>2</v>
      </c>
      <c r="G60" s="64">
        <v>5.26</v>
      </c>
      <c r="H60" s="101">
        <v>2.67</v>
      </c>
      <c r="I60" s="105">
        <v>2</v>
      </c>
      <c r="J60" s="62">
        <v>3.72</v>
      </c>
      <c r="K60" s="62">
        <v>2</v>
      </c>
      <c r="L60" s="64">
        <v>4.12</v>
      </c>
      <c r="M60" s="62">
        <v>9.3800000000000008</v>
      </c>
      <c r="N60" s="101">
        <v>2.02</v>
      </c>
      <c r="O60" s="110"/>
      <c r="P60" s="149">
        <v>11</v>
      </c>
      <c r="Q60" s="148">
        <v>22</v>
      </c>
      <c r="R60" s="148">
        <f>P60 - Q60</f>
        <v>-11</v>
      </c>
    </row>
    <row r="61" spans="1:18" ht="25.5" x14ac:dyDescent="0.2">
      <c r="A61" s="114">
        <v>24</v>
      </c>
      <c r="B61" s="63">
        <v>48</v>
      </c>
      <c r="C61" s="116" t="s">
        <v>219</v>
      </c>
      <c r="D61" s="70">
        <v>2</v>
      </c>
      <c r="E61" s="61">
        <v>4.1900000000000004</v>
      </c>
      <c r="F61" s="61">
        <v>2</v>
      </c>
      <c r="G61" s="64">
        <v>4.59</v>
      </c>
      <c r="H61" s="101">
        <v>2.37</v>
      </c>
      <c r="I61" s="105">
        <v>2</v>
      </c>
      <c r="J61" s="62">
        <v>2.4300000000000002</v>
      </c>
      <c r="K61" s="62">
        <v>2</v>
      </c>
      <c r="L61" s="64">
        <v>2.83</v>
      </c>
      <c r="M61" s="62">
        <v>7.42</v>
      </c>
      <c r="N61" s="101">
        <v>1.92</v>
      </c>
      <c r="O61" s="110"/>
      <c r="P61" s="149">
        <v>24</v>
      </c>
      <c r="Q61" s="148">
        <v>36</v>
      </c>
      <c r="R61" s="148">
        <f>P61 - Q61</f>
        <v>-12</v>
      </c>
    </row>
    <row r="62" spans="1:18" ht="25.5" x14ac:dyDescent="0.2">
      <c r="A62" s="70">
        <v>18</v>
      </c>
      <c r="B62" s="50">
        <v>41</v>
      </c>
      <c r="C62" s="115" t="s">
        <v>210</v>
      </c>
      <c r="D62" s="70">
        <v>2</v>
      </c>
      <c r="E62" s="61">
        <v>4.3899999999999997</v>
      </c>
      <c r="F62" s="61">
        <v>2</v>
      </c>
      <c r="G62" s="64">
        <v>4.79</v>
      </c>
      <c r="H62" s="101">
        <v>2.2599999999999998</v>
      </c>
      <c r="I62" s="105">
        <v>3</v>
      </c>
      <c r="J62" s="62">
        <v>3.24</v>
      </c>
      <c r="K62" s="62">
        <v>3</v>
      </c>
      <c r="L62" s="64">
        <v>3.84</v>
      </c>
      <c r="M62" s="62">
        <v>8.6300000000000008</v>
      </c>
      <c r="N62" s="101">
        <v>2.08</v>
      </c>
      <c r="O62" s="110"/>
      <c r="P62" s="150">
        <v>18</v>
      </c>
      <c r="Q62" s="148">
        <v>31</v>
      </c>
      <c r="R62" s="148">
        <f>P62 - Q62</f>
        <v>-13</v>
      </c>
    </row>
    <row r="63" spans="1:18" ht="25.5" x14ac:dyDescent="0.2">
      <c r="A63" s="114">
        <v>52</v>
      </c>
      <c r="B63" s="63">
        <v>55</v>
      </c>
      <c r="C63" s="116" t="s">
        <v>450</v>
      </c>
      <c r="D63" s="70">
        <v>1</v>
      </c>
      <c r="E63" s="61">
        <v>1.83</v>
      </c>
      <c r="F63" s="61">
        <v>1</v>
      </c>
      <c r="G63" s="64">
        <v>2.0299999999999998</v>
      </c>
      <c r="H63" s="101">
        <v>1.83</v>
      </c>
      <c r="I63" s="105">
        <v>0</v>
      </c>
      <c r="J63" s="62">
        <v>0</v>
      </c>
      <c r="K63" s="62">
        <v>0</v>
      </c>
      <c r="L63" s="64">
        <v>0</v>
      </c>
      <c r="M63" s="62">
        <v>2.0299999999999998</v>
      </c>
      <c r="N63" s="101">
        <v>0</v>
      </c>
      <c r="O63" s="110"/>
      <c r="P63" s="149">
        <v>52</v>
      </c>
      <c r="Q63" s="148">
        <v>65</v>
      </c>
      <c r="R63" s="148">
        <f>P63 - Q63</f>
        <v>-13</v>
      </c>
    </row>
    <row r="64" spans="1:18" ht="25.5" x14ac:dyDescent="0.2">
      <c r="A64" s="114">
        <v>53</v>
      </c>
      <c r="B64" s="50">
        <v>59</v>
      </c>
      <c r="C64" s="116" t="s">
        <v>470</v>
      </c>
      <c r="D64" s="70">
        <v>1</v>
      </c>
      <c r="E64" s="61">
        <v>1.78</v>
      </c>
      <c r="F64" s="61">
        <v>1</v>
      </c>
      <c r="G64" s="64">
        <v>1.98</v>
      </c>
      <c r="H64" s="101">
        <v>1.78</v>
      </c>
      <c r="I64" s="105">
        <v>0</v>
      </c>
      <c r="J64" s="62">
        <v>0</v>
      </c>
      <c r="K64" s="62">
        <v>0</v>
      </c>
      <c r="L64" s="64">
        <v>0</v>
      </c>
      <c r="M64" s="62">
        <v>1.98</v>
      </c>
      <c r="N64" s="101">
        <v>0</v>
      </c>
      <c r="O64" s="110" t="s">
        <v>473</v>
      </c>
      <c r="P64" s="149">
        <v>53</v>
      </c>
      <c r="Q64" s="148">
        <v>66</v>
      </c>
      <c r="R64" s="148">
        <f>P64 - Q64</f>
        <v>-13</v>
      </c>
    </row>
    <row r="65" spans="1:18" ht="25.5" x14ac:dyDescent="0.2">
      <c r="A65" s="114">
        <v>25</v>
      </c>
      <c r="B65" s="63">
        <v>49</v>
      </c>
      <c r="C65" s="116" t="s">
        <v>471</v>
      </c>
      <c r="D65" s="70">
        <v>2</v>
      </c>
      <c r="E65" s="61">
        <v>4.1399999999999997</v>
      </c>
      <c r="F65" s="61">
        <v>2</v>
      </c>
      <c r="G65" s="64">
        <v>4.54</v>
      </c>
      <c r="H65" s="101">
        <v>2.2799999999999998</v>
      </c>
      <c r="I65" s="105">
        <v>1</v>
      </c>
      <c r="J65" s="62">
        <v>2.4300000000000002</v>
      </c>
      <c r="K65" s="62">
        <v>1</v>
      </c>
      <c r="L65" s="64">
        <v>2.63</v>
      </c>
      <c r="M65" s="62">
        <v>7.17</v>
      </c>
      <c r="N65" s="101">
        <v>2.4300000000000002</v>
      </c>
      <c r="O65" s="110"/>
      <c r="P65" s="149">
        <v>25</v>
      </c>
      <c r="Q65" s="148">
        <v>39</v>
      </c>
      <c r="R65" s="148">
        <f>P65 - Q65</f>
        <v>-14</v>
      </c>
    </row>
    <row r="66" spans="1:18" ht="25.5" x14ac:dyDescent="0.2">
      <c r="A66" s="114">
        <v>30</v>
      </c>
      <c r="B66" s="50">
        <v>18</v>
      </c>
      <c r="C66" s="116" t="s">
        <v>461</v>
      </c>
      <c r="D66" s="70">
        <v>2</v>
      </c>
      <c r="E66" s="61">
        <v>4.0599999999999996</v>
      </c>
      <c r="F66" s="61">
        <v>2</v>
      </c>
      <c r="G66" s="64">
        <v>4.46</v>
      </c>
      <c r="H66" s="101">
        <v>2.13</v>
      </c>
      <c r="I66" s="105">
        <v>1</v>
      </c>
      <c r="J66" s="62">
        <v>2</v>
      </c>
      <c r="K66" s="62">
        <v>1</v>
      </c>
      <c r="L66" s="64">
        <v>2.2000000000000002</v>
      </c>
      <c r="M66" s="62">
        <v>6.66</v>
      </c>
      <c r="N66" s="101">
        <v>2</v>
      </c>
      <c r="O66" s="110"/>
      <c r="P66" s="149">
        <v>30</v>
      </c>
      <c r="Q66" s="148">
        <v>45</v>
      </c>
      <c r="R66" s="148">
        <f>P66 - Q66</f>
        <v>-15</v>
      </c>
    </row>
    <row r="67" spans="1:18" ht="25.5" x14ac:dyDescent="0.2">
      <c r="A67" s="114">
        <v>29</v>
      </c>
      <c r="B67" s="63">
        <v>21</v>
      </c>
      <c r="C67" s="116" t="s">
        <v>458</v>
      </c>
      <c r="D67" s="70">
        <v>2</v>
      </c>
      <c r="E67" s="61">
        <v>4.0999999999999996</v>
      </c>
      <c r="F67" s="61">
        <v>2</v>
      </c>
      <c r="G67" s="64">
        <v>4.5</v>
      </c>
      <c r="H67" s="101">
        <v>2.1</v>
      </c>
      <c r="I67" s="105">
        <v>1</v>
      </c>
      <c r="J67" s="62">
        <v>2.04</v>
      </c>
      <c r="K67" s="62">
        <v>1</v>
      </c>
      <c r="L67" s="64">
        <v>2.2400000000000002</v>
      </c>
      <c r="M67" s="62">
        <v>6.74</v>
      </c>
      <c r="N67" s="101">
        <v>2.04</v>
      </c>
      <c r="O67" s="110"/>
      <c r="P67" s="149">
        <v>29</v>
      </c>
      <c r="Q67" s="148">
        <v>44</v>
      </c>
      <c r="R67" s="148">
        <f>P67 - Q67</f>
        <v>-15</v>
      </c>
    </row>
    <row r="68" spans="1:18" ht="25.5" x14ac:dyDescent="0.2">
      <c r="A68" s="114">
        <v>47</v>
      </c>
      <c r="B68" s="50">
        <v>52</v>
      </c>
      <c r="C68" s="116" t="s">
        <v>467</v>
      </c>
      <c r="D68" s="70">
        <v>1</v>
      </c>
      <c r="E68" s="61">
        <v>2.46</v>
      </c>
      <c r="F68" s="61">
        <v>1</v>
      </c>
      <c r="G68" s="64">
        <v>2.66</v>
      </c>
      <c r="H68" s="101">
        <v>2.46</v>
      </c>
      <c r="I68" s="105">
        <v>0</v>
      </c>
      <c r="J68" s="62">
        <v>0</v>
      </c>
      <c r="K68" s="62">
        <v>0</v>
      </c>
      <c r="L68" s="64">
        <v>0</v>
      </c>
      <c r="M68" s="62">
        <v>2.66</v>
      </c>
      <c r="N68" s="101">
        <v>0</v>
      </c>
      <c r="O68" s="110"/>
      <c r="P68" s="149">
        <v>47</v>
      </c>
      <c r="Q68" s="148">
        <v>63</v>
      </c>
      <c r="R68" s="148">
        <f>P68 - Q68</f>
        <v>-16</v>
      </c>
    </row>
    <row r="69" spans="1:18" ht="25.5" x14ac:dyDescent="0.2">
      <c r="A69" s="114">
        <v>16</v>
      </c>
      <c r="B69" s="63">
        <v>23</v>
      </c>
      <c r="C69" s="116" t="s">
        <v>310</v>
      </c>
      <c r="D69" s="70">
        <v>2</v>
      </c>
      <c r="E69" s="61">
        <v>4.45</v>
      </c>
      <c r="F69" s="61">
        <v>2</v>
      </c>
      <c r="G69" s="64">
        <v>4.8499999999999996</v>
      </c>
      <c r="H69" s="101">
        <v>2.2400000000000002</v>
      </c>
      <c r="I69" s="105">
        <v>2</v>
      </c>
      <c r="J69" s="62">
        <v>2.7</v>
      </c>
      <c r="K69" s="62">
        <v>2</v>
      </c>
      <c r="L69" s="64">
        <v>3.1</v>
      </c>
      <c r="M69" s="62">
        <v>7.95</v>
      </c>
      <c r="N69" s="101">
        <v>2.0699999999999998</v>
      </c>
      <c r="O69" s="110"/>
      <c r="P69" s="149">
        <v>16</v>
      </c>
      <c r="Q69" s="148">
        <v>34</v>
      </c>
      <c r="R69" s="148">
        <f>P69 - Q69</f>
        <v>-18</v>
      </c>
    </row>
    <row r="70" spans="1:18" ht="25.5" x14ac:dyDescent="0.2">
      <c r="A70" s="114">
        <v>38</v>
      </c>
      <c r="B70" s="50">
        <v>50</v>
      </c>
      <c r="C70" s="116" t="s">
        <v>464</v>
      </c>
      <c r="D70" s="70">
        <v>2</v>
      </c>
      <c r="E70" s="61">
        <v>3.7</v>
      </c>
      <c r="F70" s="61">
        <v>2</v>
      </c>
      <c r="G70" s="64">
        <v>4.0999999999999996</v>
      </c>
      <c r="H70" s="101">
        <v>2.04</v>
      </c>
      <c r="I70" s="105">
        <v>0</v>
      </c>
      <c r="J70" s="62">
        <v>0</v>
      </c>
      <c r="K70" s="62">
        <v>0</v>
      </c>
      <c r="L70" s="64">
        <v>0</v>
      </c>
      <c r="M70" s="62">
        <v>4.0999999999999996</v>
      </c>
      <c r="N70" s="101">
        <v>0</v>
      </c>
      <c r="O70" s="110"/>
      <c r="P70" s="149">
        <v>38</v>
      </c>
      <c r="Q70" s="148">
        <v>58</v>
      </c>
      <c r="R70" s="148">
        <f>P70 - Q70</f>
        <v>-20</v>
      </c>
    </row>
    <row r="71" spans="1:18" ht="25.5" x14ac:dyDescent="0.2">
      <c r="A71" s="114">
        <v>37</v>
      </c>
      <c r="B71" s="63">
        <v>67</v>
      </c>
      <c r="C71" s="116" t="s">
        <v>451</v>
      </c>
      <c r="D71" s="70">
        <v>2</v>
      </c>
      <c r="E71" s="61">
        <v>3.72</v>
      </c>
      <c r="F71" s="61">
        <v>2</v>
      </c>
      <c r="G71" s="64">
        <v>4.12</v>
      </c>
      <c r="H71" s="101">
        <v>2</v>
      </c>
      <c r="I71" s="105">
        <v>0</v>
      </c>
      <c r="J71" s="62">
        <v>0</v>
      </c>
      <c r="K71" s="62">
        <v>0</v>
      </c>
      <c r="L71" s="64">
        <v>0</v>
      </c>
      <c r="M71" s="62">
        <v>4.12</v>
      </c>
      <c r="N71" s="101">
        <v>0</v>
      </c>
      <c r="O71" s="110"/>
      <c r="P71" s="149">
        <v>37</v>
      </c>
      <c r="Q71" s="148">
        <v>57</v>
      </c>
      <c r="R71" s="148">
        <f>P71 - Q71</f>
        <v>-20</v>
      </c>
    </row>
    <row r="72" spans="1:18" ht="25.5" x14ac:dyDescent="0.2">
      <c r="A72" s="114">
        <v>20</v>
      </c>
      <c r="B72" s="50">
        <v>11</v>
      </c>
      <c r="C72" s="116" t="s">
        <v>284</v>
      </c>
      <c r="D72" s="70">
        <v>2</v>
      </c>
      <c r="E72" s="61">
        <v>4.3099999999999996</v>
      </c>
      <c r="F72" s="61">
        <v>2</v>
      </c>
      <c r="G72" s="64">
        <v>4.71</v>
      </c>
      <c r="H72" s="101">
        <v>2.1</v>
      </c>
      <c r="I72" s="105">
        <v>1</v>
      </c>
      <c r="J72" s="62">
        <v>2.1800000000000002</v>
      </c>
      <c r="K72" s="62">
        <v>1</v>
      </c>
      <c r="L72" s="64">
        <v>2.38</v>
      </c>
      <c r="M72" s="62">
        <v>7.09</v>
      </c>
      <c r="N72" s="101">
        <v>2.1800000000000002</v>
      </c>
      <c r="O72" s="110"/>
      <c r="P72" s="149">
        <v>20</v>
      </c>
      <c r="Q72" s="148">
        <v>41</v>
      </c>
      <c r="R72" s="148">
        <f>P72 - Q72</f>
        <v>-21</v>
      </c>
    </row>
    <row r="73" spans="1:18" ht="25.5" x14ac:dyDescent="0.2">
      <c r="A73" s="114">
        <v>31</v>
      </c>
      <c r="B73" s="63">
        <v>54</v>
      </c>
      <c r="C73" s="116" t="s">
        <v>404</v>
      </c>
      <c r="D73" s="70">
        <v>2</v>
      </c>
      <c r="E73" s="61">
        <v>4.0149999999999997</v>
      </c>
      <c r="F73" s="61">
        <v>2</v>
      </c>
      <c r="G73" s="64">
        <v>4.41</v>
      </c>
      <c r="H73" s="101">
        <v>2.2000000000000002</v>
      </c>
      <c r="I73" s="105">
        <v>0</v>
      </c>
      <c r="J73" s="62">
        <v>0</v>
      </c>
      <c r="K73" s="62">
        <v>0</v>
      </c>
      <c r="L73" s="64">
        <v>0</v>
      </c>
      <c r="M73" s="62">
        <v>4.41</v>
      </c>
      <c r="N73" s="101">
        <v>0</v>
      </c>
      <c r="O73" s="110"/>
      <c r="P73" s="149">
        <v>31</v>
      </c>
      <c r="Q73" s="148">
        <v>53</v>
      </c>
      <c r="R73" s="148">
        <f>P73 - Q73</f>
        <v>-22</v>
      </c>
    </row>
    <row r="74" spans="1:18" ht="25.5" x14ac:dyDescent="0.2">
      <c r="A74" s="114">
        <v>32</v>
      </c>
      <c r="B74" s="50">
        <v>66</v>
      </c>
      <c r="C74" s="116" t="s">
        <v>411</v>
      </c>
      <c r="D74" s="70">
        <v>2</v>
      </c>
      <c r="E74" s="61">
        <v>4.01</v>
      </c>
      <c r="F74" s="61">
        <v>2</v>
      </c>
      <c r="G74" s="64">
        <v>4.41</v>
      </c>
      <c r="H74" s="101">
        <v>2.11</v>
      </c>
      <c r="I74" s="105">
        <v>0</v>
      </c>
      <c r="J74" s="62">
        <v>0</v>
      </c>
      <c r="K74" s="62">
        <v>0</v>
      </c>
      <c r="L74" s="64">
        <v>0</v>
      </c>
      <c r="M74" s="62">
        <v>4.41</v>
      </c>
      <c r="N74" s="101">
        <v>0</v>
      </c>
      <c r="O74" s="110"/>
      <c r="P74" s="149">
        <v>32</v>
      </c>
      <c r="Q74" s="148">
        <v>54</v>
      </c>
      <c r="R74" s="148">
        <f>P74 - Q74</f>
        <v>-22</v>
      </c>
    </row>
    <row r="75" spans="1:18" ht="25.5" x14ac:dyDescent="0.2">
      <c r="A75" s="114">
        <v>6</v>
      </c>
      <c r="B75" s="63">
        <v>35</v>
      </c>
      <c r="C75" s="116" t="s">
        <v>391</v>
      </c>
      <c r="D75" s="70">
        <v>4</v>
      </c>
      <c r="E75" s="61">
        <v>5.05</v>
      </c>
      <c r="F75" s="61">
        <v>4</v>
      </c>
      <c r="G75" s="64">
        <v>5.85</v>
      </c>
      <c r="H75" s="101">
        <v>1.79</v>
      </c>
      <c r="I75" s="105">
        <v>2</v>
      </c>
      <c r="J75" s="62">
        <v>2.41</v>
      </c>
      <c r="K75" s="62">
        <v>2</v>
      </c>
      <c r="L75" s="64">
        <v>2.81</v>
      </c>
      <c r="M75" s="62">
        <v>8.66</v>
      </c>
      <c r="N75" s="101">
        <v>1.63</v>
      </c>
      <c r="O75" s="110"/>
      <c r="P75" s="149">
        <v>6</v>
      </c>
      <c r="Q75" s="148">
        <v>30</v>
      </c>
      <c r="R75" s="148">
        <f>P75 - Q75</f>
        <v>-24</v>
      </c>
    </row>
    <row r="76" spans="1:18" ht="25.5" x14ac:dyDescent="0.2">
      <c r="A76" s="114">
        <v>27</v>
      </c>
      <c r="B76" s="50">
        <v>65</v>
      </c>
      <c r="C76" s="116" t="s">
        <v>386</v>
      </c>
      <c r="D76" s="70">
        <v>2</v>
      </c>
      <c r="E76" s="61">
        <v>4.1100000000000003</v>
      </c>
      <c r="F76" s="61">
        <v>2</v>
      </c>
      <c r="G76" s="64">
        <v>4.51</v>
      </c>
      <c r="H76" s="101">
        <v>2.23</v>
      </c>
      <c r="I76" s="105">
        <v>0</v>
      </c>
      <c r="J76" s="62">
        <v>0</v>
      </c>
      <c r="K76" s="62">
        <v>0</v>
      </c>
      <c r="L76" s="64">
        <v>0</v>
      </c>
      <c r="M76" s="62">
        <v>4.51</v>
      </c>
      <c r="N76" s="101">
        <v>0</v>
      </c>
      <c r="O76" s="110"/>
      <c r="P76" s="149">
        <v>27</v>
      </c>
      <c r="Q76" s="148">
        <v>52</v>
      </c>
      <c r="R76" s="148">
        <f>P76 - Q76</f>
        <v>-25</v>
      </c>
    </row>
    <row r="77" spans="1:18" ht="13.5" thickBot="1" x14ac:dyDescent="0.25">
      <c r="A77" s="114"/>
      <c r="B77" s="63"/>
      <c r="C77" s="116"/>
      <c r="D77" s="70"/>
      <c r="E77" s="61"/>
      <c r="F77" s="61"/>
      <c r="G77" s="64"/>
      <c r="H77" s="101"/>
      <c r="I77" s="105"/>
      <c r="J77" s="62"/>
      <c r="K77" s="62"/>
      <c r="L77" s="64"/>
      <c r="M77" s="62"/>
      <c r="N77" s="101"/>
      <c r="O77" s="111"/>
      <c r="P77" s="151"/>
      <c r="Q77" s="148"/>
      <c r="R77" s="148"/>
    </row>
    <row r="78" spans="1:18" x14ac:dyDescent="0.2">
      <c r="A78" s="114"/>
      <c r="B78" s="63"/>
      <c r="C78" s="116"/>
      <c r="D78" s="70"/>
      <c r="E78" s="61"/>
      <c r="F78" s="61"/>
      <c r="G78" s="64"/>
      <c r="H78" s="101"/>
      <c r="I78" s="105"/>
      <c r="J78" s="62"/>
      <c r="K78" s="62"/>
      <c r="L78" s="64"/>
      <c r="M78" s="62"/>
      <c r="N78" s="101"/>
      <c r="O78" s="31"/>
      <c r="P78" s="175"/>
      <c r="Q78" s="148"/>
      <c r="R78" s="148"/>
    </row>
    <row r="79" spans="1:18" x14ac:dyDescent="0.2">
      <c r="A79" s="114"/>
      <c r="B79" s="63"/>
      <c r="C79" s="116"/>
      <c r="D79" s="70"/>
      <c r="E79" s="61"/>
      <c r="F79" s="61"/>
      <c r="G79" s="64"/>
      <c r="H79" s="101"/>
      <c r="I79" s="105"/>
      <c r="J79" s="62"/>
      <c r="K79" s="62"/>
      <c r="L79" s="64"/>
      <c r="M79" s="62"/>
      <c r="N79" s="101"/>
      <c r="O79" s="27"/>
      <c r="P79" s="152"/>
      <c r="Q79" s="148"/>
      <c r="R79" s="148"/>
    </row>
    <row r="80" spans="1:18" x14ac:dyDescent="0.2">
      <c r="A80" s="114"/>
      <c r="B80" s="50"/>
      <c r="C80" s="116"/>
      <c r="D80" s="70"/>
      <c r="E80" s="61"/>
      <c r="F80" s="61"/>
      <c r="G80" s="64"/>
      <c r="H80" s="101"/>
      <c r="I80" s="105"/>
      <c r="J80" s="62"/>
      <c r="K80" s="62"/>
      <c r="L80" s="64"/>
      <c r="M80" s="62"/>
      <c r="N80" s="101"/>
      <c r="O80" s="27"/>
      <c r="P80" s="152"/>
      <c r="Q80" s="148"/>
      <c r="R80" s="148"/>
    </row>
    <row r="81" spans="1:18" x14ac:dyDescent="0.2">
      <c r="A81" s="114"/>
      <c r="B81" s="50"/>
      <c r="C81" s="116"/>
      <c r="D81" s="70"/>
      <c r="E81" s="61"/>
      <c r="F81" s="61"/>
      <c r="G81" s="64"/>
      <c r="H81" s="101"/>
      <c r="I81" s="105"/>
      <c r="J81" s="62"/>
      <c r="K81" s="62"/>
      <c r="L81" s="64"/>
      <c r="M81" s="62"/>
      <c r="N81" s="101"/>
      <c r="O81" s="27"/>
      <c r="P81" s="152"/>
      <c r="Q81" s="148"/>
      <c r="R81" s="148"/>
    </row>
    <row r="82" spans="1:18" x14ac:dyDescent="0.2">
      <c r="A82" s="114"/>
      <c r="B82" s="50"/>
      <c r="C82" s="116"/>
      <c r="D82" s="70"/>
      <c r="E82" s="61"/>
      <c r="F82" s="61"/>
      <c r="G82" s="64"/>
      <c r="H82" s="101"/>
      <c r="I82" s="105"/>
      <c r="J82" s="62"/>
      <c r="K82" s="62"/>
      <c r="L82" s="64"/>
      <c r="M82" s="62"/>
      <c r="N82" s="101"/>
      <c r="O82" s="27"/>
      <c r="P82" s="152"/>
    </row>
    <row r="83" spans="1:18" x14ac:dyDescent="0.2">
      <c r="A83" s="114"/>
      <c r="B83" s="50"/>
      <c r="C83" s="116"/>
      <c r="D83" s="70"/>
      <c r="E83" s="61"/>
      <c r="F83" s="61"/>
      <c r="G83" s="64"/>
      <c r="H83" s="101"/>
      <c r="I83" s="105"/>
      <c r="J83" s="62"/>
      <c r="K83" s="62"/>
      <c r="L83" s="64"/>
      <c r="M83" s="62"/>
      <c r="N83" s="101"/>
      <c r="O83" s="27"/>
      <c r="P83" s="152"/>
    </row>
    <row r="84" spans="1:18" x14ac:dyDescent="0.2">
      <c r="A84" s="114"/>
      <c r="B84" s="50"/>
      <c r="C84" s="116"/>
      <c r="D84" s="70"/>
      <c r="E84" s="61"/>
      <c r="F84" s="61"/>
      <c r="G84" s="64"/>
      <c r="H84" s="101"/>
      <c r="I84" s="105"/>
      <c r="J84" s="62"/>
      <c r="K84" s="62"/>
      <c r="L84" s="64"/>
      <c r="M84" s="62"/>
      <c r="N84" s="101"/>
      <c r="O84" s="27"/>
      <c r="P84" s="152"/>
    </row>
    <row r="85" spans="1:18" x14ac:dyDescent="0.2">
      <c r="A85" s="114"/>
      <c r="B85" s="50"/>
      <c r="C85" s="116"/>
      <c r="D85" s="70"/>
      <c r="E85" s="61"/>
      <c r="F85" s="61"/>
      <c r="G85" s="64"/>
      <c r="H85" s="101"/>
      <c r="I85" s="105"/>
      <c r="J85" s="62"/>
      <c r="K85" s="62"/>
      <c r="L85" s="64"/>
      <c r="M85" s="62"/>
      <c r="N85" s="101"/>
      <c r="O85" s="27"/>
      <c r="P85" s="152"/>
    </row>
    <row r="86" spans="1:18" x14ac:dyDescent="0.2">
      <c r="A86" s="114"/>
      <c r="B86" s="50"/>
      <c r="C86" s="116"/>
      <c r="D86" s="70"/>
      <c r="E86" s="61"/>
      <c r="F86" s="61"/>
      <c r="G86" s="64"/>
      <c r="H86" s="101"/>
      <c r="I86" s="105"/>
      <c r="J86" s="62"/>
      <c r="K86" s="62"/>
      <c r="L86" s="64"/>
      <c r="M86" s="62"/>
      <c r="N86" s="101"/>
      <c r="O86" s="27"/>
      <c r="P86" s="152"/>
    </row>
    <row r="87" spans="1:18" x14ac:dyDescent="0.2">
      <c r="A87" s="114"/>
      <c r="B87" s="50"/>
      <c r="C87" s="116"/>
      <c r="D87" s="70"/>
      <c r="E87" s="61"/>
      <c r="F87" s="61"/>
      <c r="G87" s="64"/>
      <c r="H87" s="101"/>
      <c r="I87" s="105"/>
      <c r="J87" s="62"/>
      <c r="K87" s="62"/>
      <c r="L87" s="64"/>
      <c r="M87" s="62"/>
      <c r="N87" s="101"/>
      <c r="O87" s="27"/>
      <c r="P87" s="152"/>
    </row>
    <row r="88" spans="1:18" x14ac:dyDescent="0.2">
      <c r="A88" s="114"/>
      <c r="B88" s="50"/>
      <c r="C88" s="116"/>
      <c r="D88" s="70"/>
      <c r="E88" s="61"/>
      <c r="F88" s="61"/>
      <c r="G88" s="64"/>
      <c r="H88" s="101"/>
      <c r="I88" s="105"/>
      <c r="J88" s="62"/>
      <c r="K88" s="62"/>
      <c r="L88" s="64"/>
      <c r="M88" s="62"/>
      <c r="N88" s="101"/>
      <c r="O88" s="27"/>
      <c r="P88" s="152"/>
    </row>
    <row r="89" spans="1:18" x14ac:dyDescent="0.2">
      <c r="A89" s="114"/>
      <c r="B89" s="50"/>
      <c r="C89" s="116"/>
      <c r="D89" s="70"/>
      <c r="E89" s="61"/>
      <c r="F89" s="61"/>
      <c r="G89" s="64"/>
      <c r="H89" s="101"/>
      <c r="I89" s="105"/>
      <c r="J89" s="62"/>
      <c r="K89" s="62"/>
      <c r="L89" s="64"/>
      <c r="M89" s="62"/>
      <c r="N89" s="101"/>
      <c r="O89" s="27"/>
      <c r="P89" s="152"/>
    </row>
    <row r="90" spans="1:18" x14ac:dyDescent="0.2">
      <c r="A90" s="114"/>
      <c r="B90" s="50"/>
      <c r="C90" s="116"/>
      <c r="D90" s="70"/>
      <c r="E90" s="61"/>
      <c r="F90" s="61"/>
      <c r="G90" s="64"/>
      <c r="H90" s="101"/>
      <c r="I90" s="105"/>
      <c r="J90" s="62"/>
      <c r="K90" s="62"/>
      <c r="L90" s="64"/>
      <c r="M90" s="62"/>
      <c r="N90" s="101"/>
      <c r="O90" s="27"/>
      <c r="P90" s="152"/>
    </row>
    <row r="91" spans="1:18" x14ac:dyDescent="0.2">
      <c r="A91" s="114"/>
      <c r="B91" s="50"/>
      <c r="C91" s="116"/>
      <c r="D91" s="70"/>
      <c r="E91" s="61"/>
      <c r="F91" s="61"/>
      <c r="G91" s="64"/>
      <c r="H91" s="101"/>
      <c r="I91" s="105"/>
      <c r="J91" s="62"/>
      <c r="K91" s="62"/>
      <c r="L91" s="64"/>
      <c r="M91" s="62"/>
      <c r="N91" s="101"/>
      <c r="O91" s="27"/>
      <c r="P91" s="152"/>
    </row>
    <row r="92" spans="1:18" x14ac:dyDescent="0.2">
      <c r="A92" s="114"/>
      <c r="B92" s="50"/>
      <c r="C92" s="116"/>
      <c r="D92" s="70"/>
      <c r="E92" s="61"/>
      <c r="F92" s="61"/>
      <c r="G92" s="64"/>
      <c r="H92" s="101"/>
      <c r="I92" s="105"/>
      <c r="J92" s="62"/>
      <c r="K92" s="62"/>
      <c r="L92" s="64"/>
      <c r="M92" s="62"/>
      <c r="N92" s="101"/>
      <c r="O92" s="27"/>
      <c r="P92" s="152"/>
    </row>
    <row r="93" spans="1:18" x14ac:dyDescent="0.2">
      <c r="A93" s="114"/>
      <c r="B93" s="50"/>
      <c r="C93" s="116"/>
      <c r="D93" s="70"/>
      <c r="E93" s="61"/>
      <c r="F93" s="61"/>
      <c r="G93" s="64"/>
      <c r="H93" s="101"/>
      <c r="I93" s="105"/>
      <c r="J93" s="62"/>
      <c r="K93" s="62"/>
      <c r="L93" s="64"/>
      <c r="M93" s="62"/>
      <c r="N93" s="101"/>
      <c r="O93" s="27"/>
      <c r="P93" s="152"/>
    </row>
    <row r="94" spans="1:18" x14ac:dyDescent="0.2">
      <c r="A94" s="114"/>
      <c r="B94" s="50"/>
      <c r="C94" s="116"/>
      <c r="D94" s="70"/>
      <c r="E94" s="61"/>
      <c r="F94" s="61"/>
      <c r="G94" s="64"/>
      <c r="H94" s="101"/>
      <c r="I94" s="105"/>
      <c r="J94" s="62"/>
      <c r="K94" s="62"/>
      <c r="L94" s="64"/>
      <c r="M94" s="62"/>
      <c r="N94" s="101"/>
      <c r="O94" s="27"/>
      <c r="P94" s="152"/>
    </row>
    <row r="95" spans="1:18" x14ac:dyDescent="0.2">
      <c r="A95" s="114"/>
      <c r="B95" s="50"/>
      <c r="C95" s="116"/>
      <c r="D95" s="70"/>
      <c r="E95" s="61"/>
      <c r="F95" s="61"/>
      <c r="G95" s="64"/>
      <c r="H95" s="101"/>
      <c r="I95" s="105"/>
      <c r="J95" s="62"/>
      <c r="K95" s="62"/>
      <c r="L95" s="64"/>
      <c r="M95" s="62"/>
      <c r="N95" s="101"/>
      <c r="O95" s="27"/>
      <c r="P95" s="152"/>
    </row>
    <row r="96" spans="1:18" x14ac:dyDescent="0.2">
      <c r="A96" s="114"/>
      <c r="B96" s="50"/>
      <c r="C96" s="116"/>
      <c r="D96" s="70"/>
      <c r="E96" s="61"/>
      <c r="F96" s="61"/>
      <c r="G96" s="64"/>
      <c r="H96" s="101"/>
      <c r="I96" s="105"/>
      <c r="J96" s="62"/>
      <c r="K96" s="62"/>
      <c r="L96" s="64"/>
      <c r="M96" s="62"/>
      <c r="N96" s="101"/>
      <c r="O96" s="27"/>
      <c r="P96" s="152"/>
    </row>
    <row r="97" spans="1:16" x14ac:dyDescent="0.2">
      <c r="A97" s="114"/>
      <c r="B97" s="50"/>
      <c r="C97" s="116"/>
      <c r="D97" s="70"/>
      <c r="E97" s="61"/>
      <c r="F97" s="61"/>
      <c r="G97" s="64"/>
      <c r="H97" s="101"/>
      <c r="I97" s="105"/>
      <c r="J97" s="62"/>
      <c r="K97" s="62"/>
      <c r="L97" s="64"/>
      <c r="M97" s="62"/>
      <c r="N97" s="101"/>
      <c r="O97" s="27"/>
      <c r="P97" s="152"/>
    </row>
    <row r="98" spans="1:16" x14ac:dyDescent="0.2">
      <c r="A98" s="114"/>
      <c r="B98" s="50"/>
      <c r="C98" s="116"/>
      <c r="D98" s="70"/>
      <c r="E98" s="61"/>
      <c r="F98" s="61"/>
      <c r="G98" s="64"/>
      <c r="H98" s="101"/>
      <c r="I98" s="105"/>
      <c r="J98" s="62"/>
      <c r="K98" s="62"/>
      <c r="L98" s="64"/>
      <c r="M98" s="62"/>
      <c r="N98" s="101"/>
      <c r="O98" s="27"/>
      <c r="P98" s="152"/>
    </row>
    <row r="99" spans="1:16" x14ac:dyDescent="0.2">
      <c r="A99" s="114"/>
      <c r="B99" s="50"/>
      <c r="C99" s="116"/>
      <c r="D99" s="70"/>
      <c r="E99" s="61"/>
      <c r="F99" s="61"/>
      <c r="G99" s="64"/>
      <c r="H99" s="101"/>
      <c r="I99" s="105"/>
      <c r="J99" s="62"/>
      <c r="K99" s="62"/>
      <c r="L99" s="64"/>
      <c r="M99" s="62"/>
      <c r="N99" s="101"/>
      <c r="O99" s="27"/>
      <c r="P99" s="152"/>
    </row>
    <row r="100" spans="1:16" x14ac:dyDescent="0.2">
      <c r="A100" s="114"/>
      <c r="B100" s="50"/>
      <c r="C100" s="116"/>
      <c r="D100" s="70"/>
      <c r="E100" s="61"/>
      <c r="F100" s="61"/>
      <c r="G100" s="64"/>
      <c r="H100" s="101"/>
      <c r="I100" s="105"/>
      <c r="J100" s="62"/>
      <c r="K100" s="62"/>
      <c r="L100" s="64"/>
      <c r="M100" s="62"/>
      <c r="N100" s="101"/>
      <c r="O100" s="27"/>
      <c r="P100" s="152"/>
    </row>
    <row r="101" spans="1:16" x14ac:dyDescent="0.2">
      <c r="A101" s="114"/>
      <c r="B101" s="50"/>
      <c r="C101" s="116"/>
      <c r="D101" s="70"/>
      <c r="E101" s="61"/>
      <c r="F101" s="61"/>
      <c r="G101" s="64"/>
      <c r="H101" s="101"/>
      <c r="I101" s="105"/>
      <c r="J101" s="62"/>
      <c r="K101" s="62"/>
      <c r="L101" s="64"/>
      <c r="M101" s="62"/>
      <c r="N101" s="101"/>
      <c r="O101" s="27"/>
      <c r="P101" s="152"/>
    </row>
    <row r="102" spans="1:16" x14ac:dyDescent="0.2">
      <c r="A102" s="114"/>
      <c r="B102" s="50"/>
      <c r="C102" s="116"/>
      <c r="D102" s="70"/>
      <c r="E102" s="61"/>
      <c r="F102" s="61"/>
      <c r="G102" s="64"/>
      <c r="H102" s="101"/>
      <c r="I102" s="105"/>
      <c r="J102" s="62"/>
      <c r="K102" s="62"/>
      <c r="L102" s="64"/>
      <c r="M102" s="62"/>
      <c r="N102" s="101"/>
      <c r="O102" s="27"/>
      <c r="P102" s="152"/>
    </row>
    <row r="103" spans="1:16" x14ac:dyDescent="0.2">
      <c r="A103" s="114"/>
      <c r="B103" s="50"/>
      <c r="C103" s="116"/>
      <c r="D103" s="70"/>
      <c r="E103" s="61"/>
      <c r="F103" s="61"/>
      <c r="G103" s="64"/>
      <c r="H103" s="101"/>
      <c r="I103" s="105"/>
      <c r="J103" s="62"/>
      <c r="K103" s="62"/>
      <c r="L103" s="64"/>
      <c r="M103" s="62"/>
      <c r="N103" s="101"/>
      <c r="O103" s="27"/>
      <c r="P103" s="152"/>
    </row>
    <row r="104" spans="1:16" x14ac:dyDescent="0.2">
      <c r="A104" s="114"/>
      <c r="B104" s="50"/>
      <c r="C104" s="116"/>
      <c r="D104" s="70"/>
      <c r="E104" s="61"/>
      <c r="F104" s="61"/>
      <c r="G104" s="64"/>
      <c r="H104" s="101"/>
      <c r="I104" s="105"/>
      <c r="J104" s="62"/>
      <c r="K104" s="62"/>
      <c r="L104" s="64"/>
      <c r="M104" s="62"/>
      <c r="N104" s="101"/>
      <c r="O104" s="27"/>
      <c r="P104" s="152"/>
    </row>
    <row r="105" spans="1:16" x14ac:dyDescent="0.2">
      <c r="A105" s="114"/>
      <c r="B105" s="50"/>
      <c r="C105" s="116"/>
      <c r="D105" s="70"/>
      <c r="E105" s="61"/>
      <c r="F105" s="61"/>
      <c r="G105" s="64"/>
      <c r="H105" s="101"/>
      <c r="I105" s="105"/>
      <c r="J105" s="62"/>
      <c r="K105" s="62"/>
      <c r="L105" s="64"/>
      <c r="M105" s="62"/>
      <c r="N105" s="101"/>
      <c r="O105" s="27"/>
      <c r="P105" s="152"/>
    </row>
    <row r="106" spans="1:16" x14ac:dyDescent="0.2">
      <c r="A106" s="114"/>
      <c r="B106" s="50"/>
      <c r="C106" s="116"/>
      <c r="D106" s="70"/>
      <c r="E106" s="61"/>
      <c r="F106" s="61"/>
      <c r="G106" s="64"/>
      <c r="H106" s="101"/>
      <c r="I106" s="105"/>
      <c r="J106" s="62"/>
      <c r="K106" s="62"/>
      <c r="L106" s="64"/>
      <c r="M106" s="62"/>
      <c r="N106" s="101"/>
      <c r="O106" s="27"/>
      <c r="P106" s="152"/>
    </row>
    <row r="107" spans="1:16" x14ac:dyDescent="0.2">
      <c r="A107" s="114"/>
      <c r="B107" s="50"/>
      <c r="C107" s="116"/>
      <c r="D107" s="70"/>
      <c r="E107" s="61"/>
      <c r="F107" s="61"/>
      <c r="G107" s="64"/>
      <c r="H107" s="101"/>
      <c r="I107" s="105"/>
      <c r="J107" s="62"/>
      <c r="K107" s="62"/>
      <c r="L107" s="64"/>
      <c r="M107" s="62"/>
      <c r="N107" s="101"/>
      <c r="O107" s="27"/>
      <c r="P107" s="152"/>
    </row>
    <row r="108" spans="1:16" x14ac:dyDescent="0.2">
      <c r="A108" s="114"/>
      <c r="B108" s="50"/>
      <c r="C108" s="116"/>
      <c r="D108" s="70"/>
      <c r="E108" s="61"/>
      <c r="F108" s="61"/>
      <c r="G108" s="64"/>
      <c r="H108" s="101"/>
      <c r="I108" s="105"/>
      <c r="J108" s="62"/>
      <c r="K108" s="62"/>
      <c r="L108" s="64"/>
      <c r="M108" s="62"/>
      <c r="N108" s="101"/>
      <c r="O108" s="27"/>
      <c r="P108" s="152"/>
    </row>
    <row r="109" spans="1:16" x14ac:dyDescent="0.2">
      <c r="A109" s="114"/>
      <c r="B109" s="50"/>
      <c r="C109" s="116"/>
      <c r="D109" s="70"/>
      <c r="E109" s="61"/>
      <c r="F109" s="61"/>
      <c r="G109" s="64"/>
      <c r="H109" s="101"/>
      <c r="I109" s="105"/>
      <c r="J109" s="62"/>
      <c r="K109" s="62"/>
      <c r="L109" s="64"/>
      <c r="M109" s="62"/>
      <c r="N109" s="101"/>
      <c r="O109" s="27"/>
      <c r="P109" s="152"/>
    </row>
    <row r="110" spans="1:16" x14ac:dyDescent="0.2">
      <c r="A110" s="114"/>
      <c r="B110" s="50"/>
      <c r="C110" s="116"/>
      <c r="D110" s="70"/>
      <c r="E110" s="61"/>
      <c r="F110" s="61"/>
      <c r="G110" s="64"/>
      <c r="H110" s="101"/>
      <c r="I110" s="105"/>
      <c r="J110" s="62"/>
      <c r="K110" s="62"/>
      <c r="L110" s="64"/>
      <c r="M110" s="62"/>
      <c r="N110" s="101"/>
      <c r="O110" s="27"/>
      <c r="P110" s="152"/>
    </row>
    <row r="111" spans="1:16" x14ac:dyDescent="0.2">
      <c r="A111" s="114"/>
      <c r="B111" s="50"/>
      <c r="C111" s="116"/>
      <c r="D111" s="70"/>
      <c r="E111" s="61"/>
      <c r="F111" s="61"/>
      <c r="G111" s="64"/>
      <c r="H111" s="101"/>
      <c r="I111" s="105"/>
      <c r="J111" s="62"/>
      <c r="K111" s="62"/>
      <c r="L111" s="64"/>
      <c r="M111" s="62"/>
      <c r="N111" s="101"/>
      <c r="O111" s="27"/>
      <c r="P111" s="152"/>
    </row>
    <row r="112" spans="1:16" x14ac:dyDescent="0.2">
      <c r="A112" s="114"/>
      <c r="B112" s="50"/>
      <c r="C112" s="116"/>
      <c r="D112" s="70"/>
      <c r="E112" s="61"/>
      <c r="F112" s="61"/>
      <c r="G112" s="64"/>
      <c r="H112" s="101"/>
      <c r="I112" s="105"/>
      <c r="J112" s="62"/>
      <c r="K112" s="62"/>
      <c r="L112" s="64"/>
      <c r="M112" s="62"/>
      <c r="N112" s="101"/>
      <c r="O112" s="27"/>
      <c r="P112" s="152"/>
    </row>
    <row r="113" spans="1:16" x14ac:dyDescent="0.2">
      <c r="A113" s="114"/>
      <c r="B113" s="50"/>
      <c r="C113" s="116"/>
      <c r="D113" s="70"/>
      <c r="E113" s="61"/>
      <c r="F113" s="61"/>
      <c r="G113" s="64"/>
      <c r="H113" s="101"/>
      <c r="I113" s="105"/>
      <c r="J113" s="62"/>
      <c r="K113" s="62"/>
      <c r="L113" s="64"/>
      <c r="M113" s="62"/>
      <c r="N113" s="101"/>
      <c r="O113" s="27"/>
      <c r="P113" s="152"/>
    </row>
    <row r="114" spans="1:16" x14ac:dyDescent="0.2">
      <c r="A114" s="114"/>
      <c r="B114" s="50"/>
      <c r="C114" s="116"/>
      <c r="D114" s="70"/>
      <c r="E114" s="61"/>
      <c r="F114" s="61"/>
      <c r="G114" s="64"/>
      <c r="H114" s="101"/>
      <c r="I114" s="105"/>
      <c r="J114" s="62"/>
      <c r="K114" s="62"/>
      <c r="L114" s="64"/>
      <c r="M114" s="62"/>
      <c r="N114" s="101"/>
      <c r="O114" s="27"/>
      <c r="P114" s="152"/>
    </row>
    <row r="115" spans="1:16" x14ac:dyDescent="0.2">
      <c r="A115" s="114"/>
      <c r="B115" s="50"/>
      <c r="C115" s="116"/>
      <c r="D115" s="70"/>
      <c r="E115" s="61"/>
      <c r="F115" s="61"/>
      <c r="G115" s="64"/>
      <c r="H115" s="101"/>
      <c r="I115" s="105"/>
      <c r="J115" s="62"/>
      <c r="K115" s="62"/>
      <c r="L115" s="64"/>
      <c r="M115" s="62"/>
      <c r="N115" s="101"/>
      <c r="O115" s="27"/>
      <c r="P115" s="152"/>
    </row>
    <row r="116" spans="1:16" x14ac:dyDescent="0.2">
      <c r="A116" s="114"/>
      <c r="B116" s="50"/>
      <c r="C116" s="116"/>
      <c r="D116" s="70"/>
      <c r="E116" s="61"/>
      <c r="F116" s="61"/>
      <c r="G116" s="64"/>
      <c r="H116" s="101"/>
      <c r="I116" s="105"/>
      <c r="J116" s="62"/>
      <c r="K116" s="62"/>
      <c r="L116" s="64"/>
      <c r="M116" s="62"/>
      <c r="N116" s="101"/>
      <c r="O116" s="27"/>
      <c r="P116" s="152"/>
    </row>
    <row r="117" spans="1:16" x14ac:dyDescent="0.2">
      <c r="A117" s="114"/>
      <c r="B117" s="50"/>
      <c r="C117" s="116"/>
      <c r="D117" s="70"/>
      <c r="E117" s="61"/>
      <c r="F117" s="61"/>
      <c r="G117" s="64"/>
      <c r="H117" s="101"/>
      <c r="I117" s="105"/>
      <c r="J117" s="62"/>
      <c r="K117" s="62"/>
      <c r="L117" s="64"/>
      <c r="M117" s="62"/>
      <c r="N117" s="101"/>
      <c r="O117" s="27"/>
      <c r="P117" s="152"/>
    </row>
    <row r="118" spans="1:16" x14ac:dyDescent="0.2">
      <c r="A118" s="114"/>
      <c r="B118" s="50"/>
      <c r="C118" s="116"/>
      <c r="D118" s="70"/>
      <c r="E118" s="61"/>
      <c r="F118" s="61"/>
      <c r="G118" s="64"/>
      <c r="H118" s="101"/>
      <c r="I118" s="105"/>
      <c r="J118" s="62"/>
      <c r="K118" s="62"/>
      <c r="L118" s="64"/>
      <c r="M118" s="62"/>
      <c r="N118" s="101"/>
      <c r="O118" s="27"/>
      <c r="P118" s="152"/>
    </row>
    <row r="119" spans="1:16" x14ac:dyDescent="0.2">
      <c r="A119" s="114"/>
      <c r="B119" s="50"/>
      <c r="C119" s="116"/>
      <c r="D119" s="70"/>
      <c r="E119" s="61"/>
      <c r="F119" s="61"/>
      <c r="G119" s="64"/>
      <c r="H119" s="101"/>
      <c r="I119" s="105"/>
      <c r="J119" s="62"/>
      <c r="K119" s="62"/>
      <c r="L119" s="64"/>
      <c r="M119" s="62"/>
      <c r="N119" s="101"/>
      <c r="O119" s="27"/>
      <c r="P119" s="152"/>
    </row>
    <row r="120" spans="1:16" x14ac:dyDescent="0.2">
      <c r="A120" s="114"/>
      <c r="B120" s="50"/>
      <c r="C120" s="116"/>
      <c r="D120" s="70"/>
      <c r="E120" s="61"/>
      <c r="F120" s="61"/>
      <c r="G120" s="64"/>
      <c r="H120" s="101"/>
      <c r="I120" s="105"/>
      <c r="J120" s="62"/>
      <c r="K120" s="62"/>
      <c r="L120" s="64"/>
      <c r="M120" s="62"/>
      <c r="N120" s="101"/>
      <c r="O120" s="27"/>
      <c r="P120" s="152"/>
    </row>
    <row r="121" spans="1:16" x14ac:dyDescent="0.2">
      <c r="A121" s="114"/>
      <c r="B121" s="50"/>
      <c r="C121" s="116"/>
      <c r="D121" s="70"/>
      <c r="E121" s="61"/>
      <c r="F121" s="61"/>
      <c r="G121" s="64"/>
      <c r="H121" s="101"/>
      <c r="I121" s="105"/>
      <c r="J121" s="62"/>
      <c r="K121" s="62"/>
      <c r="L121" s="64"/>
      <c r="M121" s="62"/>
      <c r="N121" s="101"/>
      <c r="O121" s="27"/>
      <c r="P121" s="152"/>
    </row>
    <row r="122" spans="1:16" x14ac:dyDescent="0.2">
      <c r="A122" s="114"/>
      <c r="B122" s="50"/>
      <c r="C122" s="116"/>
      <c r="D122" s="70"/>
      <c r="E122" s="61"/>
      <c r="F122" s="61"/>
      <c r="G122" s="64"/>
      <c r="H122" s="101"/>
      <c r="I122" s="105"/>
      <c r="J122" s="62"/>
      <c r="K122" s="62"/>
      <c r="L122" s="64"/>
      <c r="M122" s="62"/>
      <c r="N122" s="101"/>
      <c r="O122" s="27"/>
      <c r="P122" s="152"/>
    </row>
    <row r="123" spans="1:16" x14ac:dyDescent="0.2">
      <c r="A123" s="114"/>
      <c r="B123" s="50"/>
      <c r="C123" s="116"/>
      <c r="D123" s="70"/>
      <c r="E123" s="61"/>
      <c r="F123" s="61"/>
      <c r="G123" s="64"/>
      <c r="H123" s="101"/>
      <c r="I123" s="105"/>
      <c r="J123" s="62"/>
      <c r="K123" s="62"/>
      <c r="L123" s="64"/>
      <c r="M123" s="62"/>
      <c r="N123" s="101"/>
      <c r="O123" s="27"/>
      <c r="P123" s="152"/>
    </row>
    <row r="124" spans="1:16" x14ac:dyDescent="0.2">
      <c r="A124" s="114"/>
      <c r="B124" s="50"/>
      <c r="C124" s="116"/>
      <c r="D124" s="70"/>
      <c r="E124" s="61"/>
      <c r="F124" s="61"/>
      <c r="G124" s="64"/>
      <c r="H124" s="101"/>
      <c r="I124" s="105"/>
      <c r="J124" s="62"/>
      <c r="K124" s="62"/>
      <c r="L124" s="64"/>
      <c r="M124" s="62"/>
      <c r="N124" s="101"/>
      <c r="O124" s="27"/>
      <c r="P124" s="152"/>
    </row>
    <row r="125" spans="1:16" x14ac:dyDescent="0.2">
      <c r="A125" s="114"/>
      <c r="B125" s="50"/>
      <c r="C125" s="116"/>
      <c r="D125" s="70"/>
      <c r="E125" s="61"/>
      <c r="F125" s="61"/>
      <c r="G125" s="64"/>
      <c r="H125" s="101"/>
      <c r="I125" s="105"/>
      <c r="J125" s="62"/>
      <c r="K125" s="62"/>
      <c r="L125" s="64"/>
      <c r="M125" s="62"/>
      <c r="N125" s="101"/>
      <c r="O125" s="27"/>
      <c r="P125" s="152"/>
    </row>
    <row r="126" spans="1:16" x14ac:dyDescent="0.2">
      <c r="A126" s="114"/>
      <c r="B126" s="50"/>
      <c r="C126" s="116"/>
      <c r="D126" s="70"/>
      <c r="E126" s="61"/>
      <c r="F126" s="61"/>
      <c r="G126" s="64"/>
      <c r="H126" s="101"/>
      <c r="I126" s="105"/>
      <c r="J126" s="62"/>
      <c r="K126" s="62"/>
      <c r="L126" s="64"/>
      <c r="M126" s="62"/>
      <c r="N126" s="101"/>
      <c r="O126" s="27"/>
      <c r="P126" s="152"/>
    </row>
    <row r="127" spans="1:16" x14ac:dyDescent="0.2">
      <c r="A127" s="114"/>
      <c r="B127" s="50"/>
      <c r="C127" s="116"/>
      <c r="D127" s="70"/>
      <c r="E127" s="61"/>
      <c r="F127" s="61"/>
      <c r="G127" s="64"/>
      <c r="H127" s="101"/>
      <c r="I127" s="105"/>
      <c r="J127" s="62"/>
      <c r="K127" s="62"/>
      <c r="L127" s="64"/>
      <c r="M127" s="62"/>
      <c r="N127" s="101"/>
      <c r="O127" s="27"/>
      <c r="P127" s="152"/>
    </row>
    <row r="128" spans="1:16" x14ac:dyDescent="0.2">
      <c r="A128" s="114"/>
      <c r="B128" s="50"/>
      <c r="C128" s="116"/>
      <c r="D128" s="70"/>
      <c r="E128" s="61"/>
      <c r="F128" s="61"/>
      <c r="G128" s="64"/>
      <c r="H128" s="101"/>
      <c r="I128" s="105"/>
      <c r="J128" s="62"/>
      <c r="K128" s="62"/>
      <c r="L128" s="64"/>
      <c r="M128" s="62"/>
      <c r="N128" s="101"/>
      <c r="O128" s="27"/>
      <c r="P128" s="152"/>
    </row>
    <row r="129" spans="1:16" x14ac:dyDescent="0.2">
      <c r="A129" s="114"/>
      <c r="B129" s="50"/>
      <c r="C129" s="116"/>
      <c r="D129" s="70"/>
      <c r="E129" s="61"/>
      <c r="F129" s="61"/>
      <c r="G129" s="64"/>
      <c r="H129" s="101"/>
      <c r="I129" s="105"/>
      <c r="J129" s="62"/>
      <c r="K129" s="62"/>
      <c r="L129" s="64"/>
      <c r="M129" s="62"/>
      <c r="N129" s="101"/>
      <c r="O129" s="27"/>
      <c r="P129" s="152"/>
    </row>
    <row r="130" spans="1:16" x14ac:dyDescent="0.2">
      <c r="A130" s="114"/>
      <c r="B130" s="50"/>
      <c r="C130" s="116"/>
      <c r="D130" s="70"/>
      <c r="E130" s="61"/>
      <c r="F130" s="61"/>
      <c r="G130" s="64"/>
      <c r="H130" s="101"/>
      <c r="I130" s="105"/>
      <c r="J130" s="62"/>
      <c r="K130" s="62"/>
      <c r="L130" s="64"/>
      <c r="M130" s="62"/>
      <c r="N130" s="101"/>
      <c r="O130" s="27"/>
      <c r="P130" s="152"/>
    </row>
    <row r="131" spans="1:16" x14ac:dyDescent="0.2">
      <c r="A131" s="114"/>
      <c r="B131" s="50"/>
      <c r="C131" s="116"/>
      <c r="D131" s="70"/>
      <c r="E131" s="61"/>
      <c r="F131" s="61"/>
      <c r="G131" s="64"/>
      <c r="H131" s="101"/>
      <c r="I131" s="105"/>
      <c r="J131" s="62"/>
      <c r="K131" s="62"/>
      <c r="L131" s="64"/>
      <c r="M131" s="62"/>
      <c r="N131" s="101"/>
      <c r="O131" s="27"/>
      <c r="P131" s="152"/>
    </row>
    <row r="132" spans="1:16" x14ac:dyDescent="0.2">
      <c r="A132" s="114"/>
      <c r="B132" s="50"/>
      <c r="C132" s="116"/>
      <c r="D132" s="70"/>
      <c r="E132" s="61"/>
      <c r="F132" s="61"/>
      <c r="G132" s="64"/>
      <c r="H132" s="101"/>
      <c r="I132" s="105"/>
      <c r="J132" s="62"/>
      <c r="K132" s="62"/>
      <c r="L132" s="64"/>
      <c r="M132" s="62"/>
      <c r="N132" s="101"/>
      <c r="O132" s="27"/>
      <c r="P132" s="152"/>
    </row>
    <row r="133" spans="1:16" x14ac:dyDescent="0.2">
      <c r="A133" s="114"/>
      <c r="B133" s="50"/>
      <c r="C133" s="116"/>
      <c r="D133" s="70"/>
      <c r="E133" s="61"/>
      <c r="F133" s="61"/>
      <c r="G133" s="64"/>
      <c r="H133" s="101"/>
      <c r="I133" s="105"/>
      <c r="J133" s="62"/>
      <c r="K133" s="62"/>
      <c r="L133" s="64"/>
      <c r="M133" s="62"/>
      <c r="N133" s="101"/>
      <c r="O133" s="27"/>
      <c r="P133" s="152"/>
    </row>
    <row r="134" spans="1:16" x14ac:dyDescent="0.2">
      <c r="A134" s="114"/>
      <c r="B134" s="50"/>
      <c r="C134" s="116"/>
      <c r="D134" s="70"/>
      <c r="E134" s="61"/>
      <c r="F134" s="61"/>
      <c r="G134" s="64"/>
      <c r="H134" s="101"/>
      <c r="I134" s="105"/>
      <c r="J134" s="62"/>
      <c r="K134" s="62"/>
      <c r="L134" s="64"/>
      <c r="M134" s="62"/>
      <c r="N134" s="101"/>
      <c r="O134" s="27"/>
      <c r="P134" s="152"/>
    </row>
    <row r="135" spans="1:16" x14ac:dyDescent="0.2">
      <c r="A135" s="114"/>
      <c r="B135" s="50"/>
      <c r="C135" s="116"/>
      <c r="D135" s="70"/>
      <c r="E135" s="61"/>
      <c r="F135" s="61"/>
      <c r="G135" s="64"/>
      <c r="H135" s="101"/>
      <c r="I135" s="105"/>
      <c r="J135" s="62"/>
      <c r="K135" s="62"/>
      <c r="L135" s="64"/>
      <c r="M135" s="62"/>
      <c r="N135" s="101"/>
      <c r="O135" s="27"/>
      <c r="P135" s="152"/>
    </row>
    <row r="136" spans="1:16" x14ac:dyDescent="0.2">
      <c r="A136" s="114"/>
      <c r="B136" s="50"/>
      <c r="C136" s="116"/>
      <c r="D136" s="70"/>
      <c r="E136" s="61"/>
      <c r="F136" s="61"/>
      <c r="G136" s="64"/>
      <c r="H136" s="101"/>
      <c r="I136" s="105"/>
      <c r="J136" s="62"/>
      <c r="K136" s="62"/>
      <c r="L136" s="64"/>
      <c r="M136" s="62"/>
      <c r="N136" s="101"/>
      <c r="O136" s="27"/>
      <c r="P136" s="152"/>
    </row>
    <row r="137" spans="1:16" x14ac:dyDescent="0.2">
      <c r="A137" s="114"/>
      <c r="B137" s="50"/>
      <c r="C137" s="116"/>
      <c r="D137" s="70"/>
      <c r="E137" s="61"/>
      <c r="F137" s="61"/>
      <c r="G137" s="64"/>
      <c r="H137" s="101"/>
      <c r="I137" s="105"/>
      <c r="J137" s="62"/>
      <c r="K137" s="62"/>
      <c r="L137" s="64"/>
      <c r="M137" s="62"/>
      <c r="N137" s="101"/>
      <c r="O137" s="27"/>
      <c r="P137" s="152"/>
    </row>
    <row r="138" spans="1:16" x14ac:dyDescent="0.2">
      <c r="A138" s="114"/>
      <c r="B138" s="50"/>
      <c r="C138" s="116"/>
      <c r="D138" s="70"/>
      <c r="E138" s="61"/>
      <c r="F138" s="61"/>
      <c r="G138" s="64"/>
      <c r="H138" s="101"/>
      <c r="I138" s="105"/>
      <c r="J138" s="62"/>
      <c r="K138" s="62"/>
      <c r="L138" s="64"/>
      <c r="M138" s="62"/>
      <c r="N138" s="101"/>
      <c r="O138" s="27"/>
      <c r="P138" s="152"/>
    </row>
    <row r="139" spans="1:16" x14ac:dyDescent="0.2">
      <c r="A139" s="114"/>
      <c r="B139" s="50"/>
      <c r="C139" s="116"/>
      <c r="D139" s="70"/>
      <c r="E139" s="61"/>
      <c r="F139" s="61"/>
      <c r="G139" s="64"/>
      <c r="H139" s="101"/>
      <c r="I139" s="105"/>
      <c r="J139" s="62"/>
      <c r="K139" s="62"/>
      <c r="L139" s="64"/>
      <c r="M139" s="62"/>
      <c r="N139" s="101"/>
      <c r="O139" s="27"/>
      <c r="P139" s="152"/>
    </row>
    <row r="140" spans="1:16" x14ac:dyDescent="0.2">
      <c r="A140" s="114"/>
      <c r="B140" s="50"/>
      <c r="C140" s="116"/>
      <c r="D140" s="70"/>
      <c r="E140" s="61"/>
      <c r="F140" s="61"/>
      <c r="G140" s="64"/>
      <c r="H140" s="101"/>
      <c r="I140" s="105"/>
      <c r="J140" s="62"/>
      <c r="K140" s="62"/>
      <c r="L140" s="64"/>
      <c r="M140" s="62"/>
      <c r="N140" s="101"/>
      <c r="O140" s="27"/>
      <c r="P140" s="152"/>
    </row>
    <row r="141" spans="1:16" x14ac:dyDescent="0.2">
      <c r="A141" s="114"/>
      <c r="B141" s="50"/>
      <c r="C141" s="116"/>
      <c r="D141" s="70"/>
      <c r="E141" s="61"/>
      <c r="F141" s="61"/>
      <c r="G141" s="64"/>
      <c r="H141" s="101"/>
      <c r="I141" s="105"/>
      <c r="J141" s="62"/>
      <c r="K141" s="62"/>
      <c r="L141" s="64"/>
      <c r="M141" s="62"/>
      <c r="N141" s="101"/>
      <c r="O141" s="27"/>
      <c r="P141" s="152"/>
    </row>
    <row r="142" spans="1:16" x14ac:dyDescent="0.2">
      <c r="A142" s="114"/>
      <c r="B142" s="50"/>
      <c r="C142" s="116"/>
      <c r="D142" s="70"/>
      <c r="E142" s="61"/>
      <c r="F142" s="61"/>
      <c r="G142" s="64"/>
      <c r="H142" s="101"/>
      <c r="I142" s="105"/>
      <c r="J142" s="62"/>
      <c r="K142" s="62"/>
      <c r="L142" s="64"/>
      <c r="M142" s="62"/>
      <c r="N142" s="101"/>
      <c r="O142" s="27"/>
      <c r="P142" s="152"/>
    </row>
    <row r="143" spans="1:16" x14ac:dyDescent="0.2">
      <c r="A143" s="114"/>
      <c r="B143" s="50"/>
      <c r="C143" s="116"/>
      <c r="D143" s="70"/>
      <c r="E143" s="61"/>
      <c r="F143" s="61"/>
      <c r="G143" s="64"/>
      <c r="H143" s="101"/>
      <c r="I143" s="105"/>
      <c r="J143" s="62"/>
      <c r="K143" s="62"/>
      <c r="L143" s="64"/>
      <c r="M143" s="62"/>
      <c r="N143" s="101"/>
      <c r="O143" s="27"/>
      <c r="P143" s="152"/>
    </row>
    <row r="144" spans="1:16" x14ac:dyDescent="0.2">
      <c r="A144" s="114"/>
      <c r="B144" s="50"/>
      <c r="C144" s="116"/>
      <c r="D144" s="70"/>
      <c r="E144" s="61"/>
      <c r="F144" s="61"/>
      <c r="G144" s="64"/>
      <c r="H144" s="101"/>
      <c r="I144" s="105"/>
      <c r="J144" s="62"/>
      <c r="K144" s="62"/>
      <c r="L144" s="64"/>
      <c r="M144" s="62"/>
      <c r="N144" s="101"/>
      <c r="O144" s="27"/>
      <c r="P144" s="152"/>
    </row>
    <row r="145" spans="1:16" x14ac:dyDescent="0.2">
      <c r="A145" s="70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  <c r="P145" s="117"/>
    </row>
    <row r="146" spans="1:16" x14ac:dyDescent="0.2">
      <c r="A146" s="70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  <c r="P146" s="117"/>
    </row>
    <row r="147" spans="1:16" x14ac:dyDescent="0.2">
      <c r="A147" s="70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  <c r="P147" s="117"/>
    </row>
    <row r="148" spans="1:16" x14ac:dyDescent="0.2">
      <c r="A148" s="70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  <c r="P148" s="117"/>
    </row>
    <row r="149" spans="1:16" x14ac:dyDescent="0.2">
      <c r="A149" s="70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  <c r="P149" s="117"/>
    </row>
    <row r="150" spans="1:16" x14ac:dyDescent="0.2">
      <c r="A150" s="70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  <c r="P150" s="117"/>
    </row>
    <row r="151" spans="1:16" x14ac:dyDescent="0.2">
      <c r="A151" s="70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  <c r="P151" s="117"/>
    </row>
    <row r="152" spans="1:16" x14ac:dyDescent="0.2">
      <c r="A152" s="70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  <c r="P152" s="117"/>
    </row>
    <row r="153" spans="1:16" x14ac:dyDescent="0.2">
      <c r="A153" s="70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  <c r="P153" s="117"/>
    </row>
    <row r="154" spans="1:16" x14ac:dyDescent="0.2">
      <c r="A154" s="70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  <c r="P154" s="117"/>
    </row>
    <row r="155" spans="1:16" x14ac:dyDescent="0.2">
      <c r="A155" s="70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  <c r="P155" s="117"/>
    </row>
    <row r="156" spans="1:16" x14ac:dyDescent="0.2">
      <c r="A156" s="70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  <c r="P156" s="117"/>
    </row>
    <row r="157" spans="1:16" x14ac:dyDescent="0.2">
      <c r="A157" s="70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  <c r="P157" s="117"/>
    </row>
    <row r="158" spans="1:16" x14ac:dyDescent="0.2">
      <c r="A158" s="70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  <c r="P158" s="117"/>
    </row>
    <row r="159" spans="1:16" x14ac:dyDescent="0.2">
      <c r="A159" s="70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  <c r="P159" s="117"/>
    </row>
    <row r="160" spans="1:16" x14ac:dyDescent="0.2">
      <c r="A160" s="70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  <c r="P160" s="117"/>
    </row>
    <row r="161" spans="1:16" x14ac:dyDescent="0.2">
      <c r="A161" s="70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  <c r="P161" s="117"/>
    </row>
    <row r="162" spans="1:16" x14ac:dyDescent="0.2">
      <c r="A162" s="70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  <c r="P162" s="117"/>
    </row>
    <row r="163" spans="1:16" x14ac:dyDescent="0.2">
      <c r="A163" s="70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  <c r="P163" s="117"/>
    </row>
    <row r="164" spans="1:16" x14ac:dyDescent="0.2">
      <c r="A164" s="70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  <c r="P164" s="117"/>
    </row>
    <row r="165" spans="1:16" x14ac:dyDescent="0.2">
      <c r="A165" s="70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  <c r="P165" s="117"/>
    </row>
    <row r="166" spans="1:16" x14ac:dyDescent="0.2">
      <c r="A166" s="70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  <c r="P166" s="117"/>
    </row>
    <row r="167" spans="1:16" x14ac:dyDescent="0.2">
      <c r="A167" s="70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  <c r="P167" s="117"/>
    </row>
    <row r="168" spans="1:16" x14ac:dyDescent="0.2">
      <c r="A168" s="70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  <c r="P168" s="117"/>
    </row>
    <row r="169" spans="1:16" x14ac:dyDescent="0.2">
      <c r="A169" s="70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  <c r="P169" s="117"/>
    </row>
    <row r="170" spans="1:16" x14ac:dyDescent="0.2">
      <c r="A170" s="70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  <c r="P170" s="117"/>
    </row>
    <row r="171" spans="1:16" x14ac:dyDescent="0.2">
      <c r="A171" s="70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  <c r="P171" s="117"/>
    </row>
    <row r="172" spans="1:16" x14ac:dyDescent="0.2">
      <c r="A172" s="70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  <c r="P172" s="117"/>
    </row>
    <row r="173" spans="1:16" x14ac:dyDescent="0.2">
      <c r="A173" s="70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  <c r="P173" s="117"/>
    </row>
    <row r="174" spans="1:16" x14ac:dyDescent="0.2">
      <c r="A174" s="70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  <c r="P174" s="117"/>
    </row>
    <row r="175" spans="1:16" x14ac:dyDescent="0.2">
      <c r="A175" s="70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  <c r="P175" s="117"/>
    </row>
    <row r="176" spans="1:16" x14ac:dyDescent="0.2">
      <c r="A176" s="70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  <c r="P176" s="117"/>
    </row>
    <row r="177" spans="1:16" x14ac:dyDescent="0.2">
      <c r="A177" s="70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  <c r="P177" s="117"/>
    </row>
    <row r="178" spans="1:16" x14ac:dyDescent="0.2">
      <c r="A178" s="70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  <c r="P178" s="117"/>
    </row>
    <row r="179" spans="1:16" x14ac:dyDescent="0.2">
      <c r="A179" s="70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  <c r="P179" s="117"/>
    </row>
    <row r="180" spans="1:16" x14ac:dyDescent="0.2">
      <c r="A180" s="70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  <c r="P180" s="117"/>
    </row>
    <row r="181" spans="1:16" x14ac:dyDescent="0.2">
      <c r="A181" s="70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  <c r="P181" s="117"/>
    </row>
    <row r="182" spans="1:16" x14ac:dyDescent="0.2">
      <c r="A182" s="70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  <c r="P182" s="117"/>
    </row>
    <row r="183" spans="1:16" x14ac:dyDescent="0.2">
      <c r="A183" s="70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  <c r="P183" s="117"/>
    </row>
    <row r="184" spans="1:16" x14ac:dyDescent="0.2">
      <c r="A184" s="70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  <c r="P184" s="117"/>
    </row>
    <row r="185" spans="1:16" x14ac:dyDescent="0.2">
      <c r="A185" s="70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  <c r="P185" s="117"/>
    </row>
    <row r="186" spans="1:16" x14ac:dyDescent="0.2">
      <c r="A186" s="70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  <c r="P186" s="117"/>
    </row>
    <row r="187" spans="1:16" x14ac:dyDescent="0.2">
      <c r="A187" s="70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  <c r="P187" s="117"/>
    </row>
    <row r="188" spans="1:16" x14ac:dyDescent="0.2">
      <c r="A188" s="70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  <c r="P188" s="117"/>
    </row>
    <row r="189" spans="1:16" x14ac:dyDescent="0.2">
      <c r="A189" s="70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  <c r="P189" s="117"/>
    </row>
    <row r="190" spans="1:16" x14ac:dyDescent="0.2">
      <c r="A190" s="70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  <c r="P190" s="117"/>
    </row>
    <row r="191" spans="1:16" x14ac:dyDescent="0.2">
      <c r="A191" s="70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  <c r="P191" s="117"/>
    </row>
    <row r="192" spans="1:16" x14ac:dyDescent="0.2">
      <c r="A192" s="70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  <c r="P192" s="117"/>
    </row>
    <row r="193" spans="1:16" x14ac:dyDescent="0.2">
      <c r="A193" s="70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  <c r="P193" s="117"/>
    </row>
    <row r="194" spans="1:16" x14ac:dyDescent="0.2">
      <c r="A194" s="70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  <c r="P194" s="117"/>
    </row>
    <row r="195" spans="1:16" x14ac:dyDescent="0.2">
      <c r="A195" s="70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  <c r="P195" s="117"/>
    </row>
    <row r="196" spans="1:16" x14ac:dyDescent="0.2">
      <c r="A196" s="70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  <c r="P196" s="117"/>
    </row>
    <row r="197" spans="1:16" x14ac:dyDescent="0.2">
      <c r="A197" s="70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  <c r="P197" s="117"/>
    </row>
    <row r="198" spans="1:16" x14ac:dyDescent="0.2">
      <c r="A198" s="70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  <c r="P198" s="117"/>
    </row>
    <row r="199" spans="1:16" x14ac:dyDescent="0.2">
      <c r="A199" s="70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  <c r="P199" s="117"/>
    </row>
    <row r="200" spans="1:16" x14ac:dyDescent="0.2">
      <c r="A200" s="70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  <c r="P200" s="117"/>
    </row>
    <row r="201" spans="1:16" x14ac:dyDescent="0.2">
      <c r="A201" s="70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  <c r="P201" s="117"/>
    </row>
    <row r="202" spans="1:16" x14ac:dyDescent="0.2">
      <c r="A202" s="70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  <c r="P202" s="117"/>
    </row>
    <row r="203" spans="1:16" x14ac:dyDescent="0.2">
      <c r="A203" s="70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  <c r="P203" s="117"/>
    </row>
    <row r="204" spans="1:16" x14ac:dyDescent="0.2">
      <c r="A204" s="70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  <c r="P204" s="117"/>
    </row>
    <row r="205" spans="1:16" x14ac:dyDescent="0.2">
      <c r="A205" s="70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  <c r="P205" s="117"/>
    </row>
    <row r="206" spans="1:16" x14ac:dyDescent="0.2">
      <c r="A206" s="70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  <c r="P206" s="117"/>
    </row>
    <row r="207" spans="1:16" x14ac:dyDescent="0.2">
      <c r="A207" s="70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  <c r="P207" s="117"/>
    </row>
    <row r="208" spans="1:16" x14ac:dyDescent="0.2">
      <c r="A208" s="70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  <c r="P208" s="117"/>
    </row>
    <row r="209" spans="1:16" x14ac:dyDescent="0.2">
      <c r="A209" s="70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  <c r="P209" s="117"/>
    </row>
    <row r="210" spans="1:16" x14ac:dyDescent="0.2">
      <c r="A210" s="70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  <c r="P210" s="117"/>
    </row>
    <row r="211" spans="1:16" x14ac:dyDescent="0.2">
      <c r="A211" s="70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  <c r="P211" s="117"/>
    </row>
    <row r="212" spans="1:16" x14ac:dyDescent="0.2">
      <c r="A212" s="70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  <c r="P212" s="117"/>
    </row>
    <row r="213" spans="1:16" x14ac:dyDescent="0.2">
      <c r="A213" s="70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  <c r="P213" s="117"/>
    </row>
    <row r="214" spans="1:16" x14ac:dyDescent="0.2">
      <c r="A214" s="70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  <c r="P214" s="117"/>
    </row>
    <row r="215" spans="1:16" x14ac:dyDescent="0.2">
      <c r="A215" s="70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  <c r="P215" s="117"/>
    </row>
    <row r="216" spans="1:16" x14ac:dyDescent="0.2">
      <c r="A216" s="70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  <c r="P216" s="117"/>
    </row>
    <row r="217" spans="1:16" x14ac:dyDescent="0.2">
      <c r="A217" s="70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  <c r="P217" s="117"/>
    </row>
    <row r="218" spans="1:16" x14ac:dyDescent="0.2">
      <c r="A218" s="70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  <c r="P218" s="117"/>
    </row>
    <row r="219" spans="1:16" x14ac:dyDescent="0.2">
      <c r="A219" s="70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  <c r="P219" s="117"/>
    </row>
    <row r="220" spans="1:16" x14ac:dyDescent="0.2">
      <c r="A220" s="70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  <c r="P220" s="117"/>
    </row>
    <row r="221" spans="1:16" x14ac:dyDescent="0.2">
      <c r="A221" s="70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  <c r="P221" s="117"/>
    </row>
    <row r="222" spans="1:16" x14ac:dyDescent="0.2">
      <c r="A222" s="70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  <c r="P222" s="117"/>
    </row>
    <row r="223" spans="1:16" x14ac:dyDescent="0.2">
      <c r="A223" s="70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  <c r="P223" s="117"/>
    </row>
    <row r="224" spans="1:16" x14ac:dyDescent="0.2">
      <c r="A224" s="70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  <c r="P224" s="117"/>
    </row>
    <row r="225" spans="1:16" x14ac:dyDescent="0.2">
      <c r="A225" s="70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  <c r="P225" s="117"/>
    </row>
    <row r="226" spans="1:16" x14ac:dyDescent="0.2">
      <c r="A226" s="70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  <c r="P226" s="117"/>
    </row>
    <row r="227" spans="1:16" x14ac:dyDescent="0.2">
      <c r="A227" s="70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  <c r="P227" s="117"/>
    </row>
    <row r="228" spans="1:16" x14ac:dyDescent="0.2">
      <c r="A228" s="70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  <c r="P228" s="117"/>
    </row>
    <row r="229" spans="1:16" x14ac:dyDescent="0.2">
      <c r="A229" s="70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  <c r="P229" s="117"/>
    </row>
    <row r="230" spans="1:16" x14ac:dyDescent="0.2">
      <c r="A230" s="70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  <c r="P230" s="117"/>
    </row>
    <row r="231" spans="1:16" x14ac:dyDescent="0.2">
      <c r="A231" s="70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  <c r="P231" s="117"/>
    </row>
    <row r="232" spans="1:16" x14ac:dyDescent="0.2">
      <c r="A232" s="70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  <c r="P232" s="117"/>
    </row>
    <row r="233" spans="1:16" x14ac:dyDescent="0.2">
      <c r="A233" s="70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  <c r="P233" s="117"/>
    </row>
    <row r="234" spans="1:16" x14ac:dyDescent="0.2">
      <c r="A234" s="70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  <c r="P234" s="117"/>
    </row>
    <row r="235" spans="1:16" x14ac:dyDescent="0.2">
      <c r="A235" s="70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  <c r="P235" s="117"/>
    </row>
    <row r="236" spans="1:16" x14ac:dyDescent="0.2">
      <c r="A236" s="70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  <c r="P236" s="117"/>
    </row>
    <row r="237" spans="1:16" x14ac:dyDescent="0.2">
      <c r="A237" s="70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  <c r="P237" s="117"/>
    </row>
    <row r="238" spans="1:16" x14ac:dyDescent="0.2">
      <c r="A238" s="70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  <c r="P238" s="117"/>
    </row>
    <row r="239" spans="1:16" x14ac:dyDescent="0.2">
      <c r="A239" s="70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  <c r="P239" s="117"/>
    </row>
    <row r="240" spans="1:16" x14ac:dyDescent="0.2">
      <c r="A240" s="70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  <c r="P240" s="117"/>
    </row>
    <row r="241" spans="1:16" x14ac:dyDescent="0.2">
      <c r="A241" s="70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  <c r="P241" s="117"/>
    </row>
    <row r="242" spans="1:16" x14ac:dyDescent="0.2">
      <c r="A242" s="70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  <c r="P242" s="117"/>
    </row>
    <row r="243" spans="1:16" x14ac:dyDescent="0.2">
      <c r="A243" s="70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  <c r="P243" s="117"/>
    </row>
    <row r="244" spans="1:16" x14ac:dyDescent="0.2">
      <c r="A244" s="70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  <c r="P244" s="117"/>
    </row>
    <row r="245" spans="1:16" x14ac:dyDescent="0.2">
      <c r="A245" s="70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  <c r="P245" s="117"/>
    </row>
    <row r="246" spans="1:16" x14ac:dyDescent="0.2">
      <c r="A246" s="70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  <c r="P246" s="117"/>
    </row>
    <row r="247" spans="1:16" x14ac:dyDescent="0.2">
      <c r="A247" s="70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  <c r="P247" s="117"/>
    </row>
    <row r="248" spans="1:16" x14ac:dyDescent="0.2">
      <c r="A248" s="70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  <c r="P248" s="117"/>
    </row>
    <row r="249" spans="1:16" x14ac:dyDescent="0.2">
      <c r="A249" s="70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  <c r="P249" s="117"/>
    </row>
    <row r="250" spans="1:16" x14ac:dyDescent="0.2">
      <c r="A250" s="70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  <c r="P250" s="117"/>
    </row>
    <row r="251" spans="1:16" x14ac:dyDescent="0.2">
      <c r="A251" s="70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  <c r="P251" s="117"/>
    </row>
    <row r="252" spans="1:16" x14ac:dyDescent="0.2">
      <c r="A252" s="70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  <c r="P252" s="117"/>
    </row>
    <row r="253" spans="1:16" x14ac:dyDescent="0.2">
      <c r="A253" s="70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  <c r="P253" s="117"/>
    </row>
    <row r="254" spans="1:16" x14ac:dyDescent="0.2">
      <c r="A254" s="70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  <c r="P254" s="117"/>
    </row>
    <row r="255" spans="1:16" x14ac:dyDescent="0.2">
      <c r="A255" s="70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  <c r="P255" s="117"/>
    </row>
    <row r="256" spans="1:16" x14ac:dyDescent="0.2">
      <c r="A256" s="70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  <c r="P256" s="117"/>
    </row>
    <row r="257" spans="1:16" x14ac:dyDescent="0.2">
      <c r="A257" s="70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  <c r="P257" s="117"/>
    </row>
    <row r="258" spans="1:16" x14ac:dyDescent="0.2">
      <c r="A258" s="70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  <c r="P258" s="117"/>
    </row>
    <row r="259" spans="1:16" x14ac:dyDescent="0.2">
      <c r="A259" s="70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  <c r="P259" s="117"/>
    </row>
    <row r="260" spans="1:16" x14ac:dyDescent="0.2">
      <c r="A260" s="70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  <c r="P260" s="117"/>
    </row>
    <row r="261" spans="1:16" x14ac:dyDescent="0.2">
      <c r="A261" s="70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  <c r="P261" s="117"/>
    </row>
    <row r="262" spans="1:16" x14ac:dyDescent="0.2">
      <c r="A262" s="70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  <c r="P262" s="117"/>
    </row>
    <row r="263" spans="1:16" x14ac:dyDescent="0.2">
      <c r="A263" s="70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  <c r="P263" s="117"/>
    </row>
    <row r="264" spans="1:16" x14ac:dyDescent="0.2">
      <c r="A264" s="70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  <c r="P264" s="117"/>
    </row>
    <row r="265" spans="1:16" x14ac:dyDescent="0.2">
      <c r="A265" s="70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  <c r="P265" s="117"/>
    </row>
    <row r="266" spans="1:16" x14ac:dyDescent="0.2">
      <c r="A266" s="70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  <c r="P266" s="117"/>
    </row>
    <row r="267" spans="1:16" x14ac:dyDescent="0.2">
      <c r="A267" s="70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  <c r="P267" s="117"/>
    </row>
    <row r="268" spans="1:16" x14ac:dyDescent="0.2">
      <c r="A268" s="70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  <c r="P268" s="117"/>
    </row>
    <row r="269" spans="1:16" x14ac:dyDescent="0.2">
      <c r="A269" s="70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  <c r="P269" s="117"/>
    </row>
    <row r="270" spans="1:16" x14ac:dyDescent="0.2">
      <c r="A270" s="70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  <c r="P270" s="117"/>
    </row>
    <row r="271" spans="1:16" x14ac:dyDescent="0.2">
      <c r="A271" s="70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  <c r="P271" s="117"/>
    </row>
    <row r="272" spans="1:16" x14ac:dyDescent="0.2">
      <c r="A272" s="70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  <c r="P272" s="117"/>
    </row>
    <row r="273" spans="1:16" x14ac:dyDescent="0.2">
      <c r="A273" s="70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  <c r="P273" s="117"/>
    </row>
    <row r="274" spans="1:16" x14ac:dyDescent="0.2">
      <c r="A274" s="70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  <c r="P274" s="117"/>
    </row>
    <row r="275" spans="1:16" x14ac:dyDescent="0.2">
      <c r="A275" s="70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  <c r="P275" s="117"/>
    </row>
    <row r="276" spans="1:16" x14ac:dyDescent="0.2">
      <c r="A276" s="70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  <c r="P276" s="117"/>
    </row>
    <row r="277" spans="1:16" x14ac:dyDescent="0.2">
      <c r="A277" s="70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  <c r="P277" s="117"/>
    </row>
    <row r="278" spans="1:16" x14ac:dyDescent="0.2">
      <c r="A278" s="70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  <c r="P278" s="117"/>
    </row>
    <row r="279" spans="1:16" x14ac:dyDescent="0.2">
      <c r="A279" s="70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  <c r="P279" s="117"/>
    </row>
    <row r="280" spans="1:16" x14ac:dyDescent="0.2">
      <c r="A280" s="70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  <c r="P280" s="117"/>
    </row>
    <row r="281" spans="1:16" x14ac:dyDescent="0.2">
      <c r="A281" s="70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  <c r="P281" s="117"/>
    </row>
    <row r="282" spans="1:16" x14ac:dyDescent="0.2">
      <c r="A282" s="70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  <c r="P282" s="117"/>
    </row>
    <row r="283" spans="1:16" x14ac:dyDescent="0.2">
      <c r="A283" s="70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  <c r="P283" s="117"/>
    </row>
    <row r="284" spans="1:16" x14ac:dyDescent="0.2">
      <c r="A284" s="70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  <c r="P284" s="117"/>
    </row>
    <row r="285" spans="1:16" x14ac:dyDescent="0.2">
      <c r="A285" s="70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  <c r="P285" s="117"/>
    </row>
    <row r="286" spans="1:16" x14ac:dyDescent="0.2">
      <c r="A286" s="70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  <c r="P286" s="117"/>
    </row>
    <row r="287" spans="1:16" x14ac:dyDescent="0.2">
      <c r="A287" s="70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  <c r="P287" s="117"/>
    </row>
    <row r="288" spans="1:16" x14ac:dyDescent="0.2">
      <c r="A288" s="70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  <c r="P288" s="117"/>
    </row>
    <row r="289" spans="1:16" x14ac:dyDescent="0.2">
      <c r="A289" s="70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  <c r="P289" s="117"/>
    </row>
    <row r="290" spans="1:16" x14ac:dyDescent="0.2">
      <c r="A290" s="70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  <c r="P290" s="117"/>
    </row>
    <row r="291" spans="1:16" x14ac:dyDescent="0.2">
      <c r="A291" s="70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  <c r="P291" s="117"/>
    </row>
    <row r="292" spans="1:16" x14ac:dyDescent="0.2">
      <c r="A292" s="70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  <c r="P292" s="117"/>
    </row>
    <row r="293" spans="1:16" x14ac:dyDescent="0.2">
      <c r="A293" s="70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  <c r="P293" s="117"/>
    </row>
    <row r="294" spans="1:16" x14ac:dyDescent="0.2">
      <c r="A294" s="70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  <c r="P294" s="117"/>
    </row>
    <row r="295" spans="1:16" x14ac:dyDescent="0.2">
      <c r="A295" s="70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  <c r="P295" s="117"/>
    </row>
    <row r="296" spans="1:16" x14ac:dyDescent="0.2">
      <c r="A296" s="70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  <c r="P296" s="117"/>
    </row>
    <row r="297" spans="1:16" x14ac:dyDescent="0.2">
      <c r="A297" s="70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  <c r="P297" s="117"/>
    </row>
    <row r="298" spans="1:16" x14ac:dyDescent="0.2">
      <c r="A298" s="70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  <c r="P298" s="117"/>
    </row>
    <row r="299" spans="1:16" x14ac:dyDescent="0.2">
      <c r="A299" s="70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  <c r="P299" s="117"/>
    </row>
    <row r="300" spans="1:16" x14ac:dyDescent="0.2">
      <c r="A300" s="153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  <c r="P300" s="154"/>
    </row>
    <row r="301" spans="1:16" x14ac:dyDescent="0.2">
      <c r="A301" s="92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  <c r="P301" s="155"/>
    </row>
    <row r="302" spans="1:16" x14ac:dyDescent="0.2">
      <c r="A302" s="153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  <c r="P302" s="154"/>
    </row>
    <row r="303" spans="1:16" x14ac:dyDescent="0.2">
      <c r="A303" s="92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  <c r="P303" s="155"/>
    </row>
    <row r="304" spans="1:16" x14ac:dyDescent="0.2">
      <c r="A304" s="153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  <c r="P304" s="154"/>
    </row>
    <row r="305" spans="1:16" x14ac:dyDescent="0.2">
      <c r="A305" s="92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  <c r="P305" s="155"/>
    </row>
    <row r="306" spans="1:16" x14ac:dyDescent="0.2">
      <c r="A306" s="153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  <c r="P306" s="154"/>
    </row>
    <row r="307" spans="1:16" x14ac:dyDescent="0.2">
      <c r="A307" s="92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  <c r="P307" s="155"/>
    </row>
    <row r="308" spans="1:16" x14ac:dyDescent="0.2">
      <c r="A308" s="153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  <c r="P308" s="154"/>
    </row>
    <row r="309" spans="1:16" x14ac:dyDescent="0.2">
      <c r="A309" s="92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  <c r="P309" s="155"/>
    </row>
    <row r="310" spans="1:16" x14ac:dyDescent="0.2">
      <c r="A310" s="153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  <c r="P310" s="154"/>
    </row>
    <row r="311" spans="1:16" x14ac:dyDescent="0.2">
      <c r="A311" s="92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  <c r="P311" s="155"/>
    </row>
    <row r="312" spans="1:16" x14ac:dyDescent="0.2">
      <c r="A312" s="153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  <c r="P312" s="154"/>
    </row>
    <row r="313" spans="1:16" x14ac:dyDescent="0.2">
      <c r="A313" s="92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  <c r="P313" s="155"/>
    </row>
    <row r="314" spans="1:16" x14ac:dyDescent="0.2">
      <c r="A314" s="153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  <c r="P314" s="154"/>
    </row>
    <row r="315" spans="1:16" x14ac:dyDescent="0.2">
      <c r="A315" s="92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  <c r="P315" s="155"/>
    </row>
    <row r="316" spans="1:16" x14ac:dyDescent="0.2">
      <c r="A316" s="153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  <c r="P316" s="154"/>
    </row>
    <row r="317" spans="1:16" x14ac:dyDescent="0.2">
      <c r="A317" s="92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  <c r="P317" s="155"/>
    </row>
    <row r="318" spans="1:16" x14ac:dyDescent="0.2">
      <c r="A318" s="153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  <c r="P318" s="154"/>
    </row>
    <row r="319" spans="1:16" x14ac:dyDescent="0.2">
      <c r="A319" s="92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  <c r="P319" s="155"/>
    </row>
    <row r="320" spans="1:16" x14ac:dyDescent="0.2">
      <c r="A320" s="153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  <c r="P320" s="154"/>
    </row>
    <row r="321" spans="1:16" x14ac:dyDescent="0.2">
      <c r="A321" s="92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  <c r="P321" s="155"/>
    </row>
    <row r="322" spans="1:16" x14ac:dyDescent="0.2">
      <c r="A322" s="153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  <c r="P322" s="154"/>
    </row>
    <row r="323" spans="1:16" x14ac:dyDescent="0.2">
      <c r="A323" s="92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  <c r="P323" s="155"/>
    </row>
    <row r="324" spans="1:16" x14ac:dyDescent="0.2">
      <c r="A324" s="153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  <c r="P324" s="154"/>
    </row>
    <row r="325" spans="1:16" x14ac:dyDescent="0.2">
      <c r="A325" s="92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  <c r="P325" s="155"/>
    </row>
    <row r="326" spans="1:16" x14ac:dyDescent="0.2">
      <c r="A326" s="153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  <c r="P326" s="154"/>
    </row>
    <row r="327" spans="1:16" x14ac:dyDescent="0.2">
      <c r="A327" s="92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  <c r="P327" s="155"/>
    </row>
    <row r="328" spans="1:16" x14ac:dyDescent="0.2">
      <c r="A328" s="153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  <c r="P328" s="154"/>
    </row>
    <row r="329" spans="1:16" x14ac:dyDescent="0.2">
      <c r="A329" s="92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  <c r="P329" s="155"/>
    </row>
    <row r="330" spans="1:16" x14ac:dyDescent="0.2">
      <c r="A330" s="153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  <c r="P330" s="154"/>
    </row>
    <row r="331" spans="1:16" x14ac:dyDescent="0.2">
      <c r="A331" s="92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  <c r="P331" s="155"/>
    </row>
    <row r="332" spans="1:16" x14ac:dyDescent="0.2">
      <c r="A332" s="153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  <c r="P332" s="154"/>
    </row>
    <row r="333" spans="1:16" x14ac:dyDescent="0.2">
      <c r="A333" s="92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  <c r="P333" s="155"/>
    </row>
    <row r="334" spans="1:16" x14ac:dyDescent="0.2">
      <c r="A334" s="153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  <c r="P334" s="154"/>
    </row>
    <row r="335" spans="1:16" x14ac:dyDescent="0.2">
      <c r="A335" s="92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  <c r="P335" s="155"/>
    </row>
    <row r="336" spans="1:16" x14ac:dyDescent="0.2">
      <c r="A336" s="153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  <c r="P336" s="154"/>
    </row>
    <row r="337" spans="1:16" x14ac:dyDescent="0.2">
      <c r="A337" s="92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  <c r="P337" s="155"/>
    </row>
    <row r="338" spans="1:16" x14ac:dyDescent="0.2">
      <c r="A338" s="153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  <c r="P338" s="154"/>
    </row>
    <row r="339" spans="1:16" x14ac:dyDescent="0.2">
      <c r="A339" s="92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  <c r="P339" s="155"/>
    </row>
    <row r="340" spans="1:16" x14ac:dyDescent="0.2">
      <c r="A340" s="153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  <c r="P340" s="154"/>
    </row>
    <row r="341" spans="1:16" x14ac:dyDescent="0.2">
      <c r="A341" s="92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  <c r="P341" s="155"/>
    </row>
    <row r="342" spans="1:16" x14ac:dyDescent="0.2">
      <c r="A342" s="153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  <c r="P342" s="154"/>
    </row>
    <row r="343" spans="1:16" x14ac:dyDescent="0.2">
      <c r="A343" s="92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  <c r="P343" s="155"/>
    </row>
    <row r="344" spans="1:16" x14ac:dyDescent="0.2">
      <c r="A344" s="153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  <c r="P344" s="154"/>
    </row>
    <row r="345" spans="1:16" x14ac:dyDescent="0.2">
      <c r="A345" s="92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  <c r="P345" s="155"/>
    </row>
    <row r="346" spans="1:16" x14ac:dyDescent="0.2">
      <c r="A346" s="153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  <c r="P346" s="154"/>
    </row>
    <row r="347" spans="1:16" x14ac:dyDescent="0.2">
      <c r="A347" s="92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  <c r="P347" s="155"/>
    </row>
    <row r="348" spans="1:16" x14ac:dyDescent="0.2">
      <c r="A348" s="153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  <c r="P348" s="154"/>
    </row>
    <row r="349" spans="1:16" x14ac:dyDescent="0.2">
      <c r="A349" s="92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  <c r="P349" s="155"/>
    </row>
    <row r="350" spans="1:16" x14ac:dyDescent="0.2">
      <c r="A350" s="153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  <c r="P350" s="154"/>
    </row>
    <row r="351" spans="1:16" x14ac:dyDescent="0.2">
      <c r="A351" s="92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  <c r="P351" s="155"/>
    </row>
    <row r="352" spans="1:16" x14ac:dyDescent="0.2">
      <c r="A352" s="153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  <c r="P352" s="154"/>
    </row>
    <row r="353" spans="1:16" x14ac:dyDescent="0.2">
      <c r="A353" s="92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  <c r="P353" s="155"/>
    </row>
    <row r="354" spans="1:16" x14ac:dyDescent="0.2">
      <c r="A354" s="153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  <c r="P354" s="154"/>
    </row>
    <row r="355" spans="1:16" x14ac:dyDescent="0.2">
      <c r="A355" s="92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  <c r="P355" s="155"/>
    </row>
    <row r="356" spans="1:16" x14ac:dyDescent="0.2">
      <c r="A356" s="153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  <c r="P356" s="154"/>
    </row>
    <row r="357" spans="1:16" x14ac:dyDescent="0.2">
      <c r="A357" s="92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  <c r="P357" s="155"/>
    </row>
    <row r="358" spans="1:16" x14ac:dyDescent="0.2">
      <c r="A358" s="153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  <c r="P358" s="154"/>
    </row>
    <row r="359" spans="1:16" x14ac:dyDescent="0.2">
      <c r="A359" s="92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  <c r="P359" s="155"/>
    </row>
    <row r="360" spans="1:16" x14ac:dyDescent="0.2">
      <c r="A360" s="153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  <c r="P360" s="154"/>
    </row>
    <row r="361" spans="1:16" x14ac:dyDescent="0.2">
      <c r="A361" s="92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  <c r="P361" s="155"/>
    </row>
    <row r="362" spans="1:16" x14ac:dyDescent="0.2">
      <c r="A362" s="153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  <c r="P362" s="154"/>
    </row>
    <row r="363" spans="1:16" x14ac:dyDescent="0.2">
      <c r="A363" s="92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  <c r="P363" s="155"/>
    </row>
    <row r="364" spans="1:16" x14ac:dyDescent="0.2">
      <c r="A364" s="153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  <c r="P364" s="154"/>
    </row>
    <row r="365" spans="1:16" x14ac:dyDescent="0.2">
      <c r="A365" s="92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  <c r="P365" s="155"/>
    </row>
    <row r="366" spans="1:16" x14ac:dyDescent="0.2">
      <c r="A366" s="153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  <c r="P366" s="154"/>
    </row>
    <row r="367" spans="1:16" x14ac:dyDescent="0.2">
      <c r="A367" s="92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  <c r="P367" s="155"/>
    </row>
    <row r="368" spans="1:16" x14ac:dyDescent="0.2">
      <c r="A368" s="153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  <c r="P368" s="154"/>
    </row>
    <row r="369" spans="1:16" x14ac:dyDescent="0.2">
      <c r="A369" s="92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  <c r="P369" s="155"/>
    </row>
    <row r="370" spans="1:16" x14ac:dyDescent="0.2">
      <c r="A370" s="153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  <c r="P370" s="154"/>
    </row>
    <row r="371" spans="1:16" x14ac:dyDescent="0.2">
      <c r="A371" s="92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  <c r="P371" s="155"/>
    </row>
    <row r="372" spans="1:16" x14ac:dyDescent="0.2">
      <c r="A372" s="153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  <c r="P372" s="154"/>
    </row>
    <row r="373" spans="1:16" x14ac:dyDescent="0.2">
      <c r="A373" s="92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  <c r="P373" s="155"/>
    </row>
    <row r="374" spans="1:16" x14ac:dyDescent="0.2">
      <c r="A374" s="153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  <c r="P374" s="154"/>
    </row>
    <row r="375" spans="1:16" x14ac:dyDescent="0.2">
      <c r="A375" s="92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  <c r="P375" s="155"/>
    </row>
    <row r="376" spans="1:16" x14ac:dyDescent="0.2">
      <c r="A376" s="153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  <c r="P376" s="154"/>
    </row>
    <row r="377" spans="1:16" x14ac:dyDescent="0.2">
      <c r="A377" s="92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  <c r="P377" s="155"/>
    </row>
    <row r="378" spans="1:16" x14ac:dyDescent="0.2">
      <c r="A378" s="153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  <c r="P378" s="154"/>
    </row>
    <row r="379" spans="1:16" x14ac:dyDescent="0.2">
      <c r="A379" s="92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  <c r="P379" s="155"/>
    </row>
    <row r="380" spans="1:16" x14ac:dyDescent="0.2">
      <c r="A380" s="153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  <c r="P380" s="154"/>
    </row>
    <row r="381" spans="1:16" x14ac:dyDescent="0.2">
      <c r="A381" s="92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  <c r="P381" s="155"/>
    </row>
    <row r="382" spans="1:16" x14ac:dyDescent="0.2">
      <c r="A382" s="153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  <c r="P382" s="154"/>
    </row>
    <row r="383" spans="1:16" x14ac:dyDescent="0.2">
      <c r="A383" s="92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  <c r="P383" s="155"/>
    </row>
    <row r="384" spans="1:16" x14ac:dyDescent="0.2">
      <c r="A384" s="153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  <c r="P384" s="154"/>
    </row>
    <row r="385" spans="1:16" x14ac:dyDescent="0.2">
      <c r="A385" s="92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  <c r="P385" s="155"/>
    </row>
    <row r="386" spans="1:16" x14ac:dyDescent="0.2">
      <c r="A386" s="153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  <c r="P386" s="154"/>
    </row>
    <row r="387" spans="1:16" x14ac:dyDescent="0.2">
      <c r="A387" s="92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  <c r="P387" s="155"/>
    </row>
    <row r="388" spans="1:16" x14ac:dyDescent="0.2">
      <c r="A388" s="153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  <c r="P388" s="154"/>
    </row>
    <row r="389" spans="1:16" x14ac:dyDescent="0.2">
      <c r="A389" s="92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  <c r="P389" s="155"/>
    </row>
    <row r="390" spans="1:16" x14ac:dyDescent="0.2">
      <c r="A390" s="153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  <c r="P390" s="154"/>
    </row>
    <row r="391" spans="1:16" x14ac:dyDescent="0.2">
      <c r="A391" s="92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  <c r="P391" s="155"/>
    </row>
    <row r="392" spans="1:16" x14ac:dyDescent="0.2">
      <c r="A392" s="153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  <c r="P392" s="154"/>
    </row>
    <row r="393" spans="1:16" x14ac:dyDescent="0.2">
      <c r="A393" s="92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  <c r="P393" s="155"/>
    </row>
    <row r="394" spans="1:16" x14ac:dyDescent="0.2">
      <c r="A394" s="153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  <c r="P394" s="154"/>
    </row>
    <row r="395" spans="1:16" x14ac:dyDescent="0.2">
      <c r="A395" s="92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  <c r="P395" s="155"/>
    </row>
    <row r="396" spans="1:16" x14ac:dyDescent="0.2">
      <c r="A396" s="153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  <c r="P396" s="154"/>
    </row>
    <row r="397" spans="1:16" x14ac:dyDescent="0.2">
      <c r="A397" s="92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  <c r="P397" s="155"/>
    </row>
    <row r="398" spans="1:16" x14ac:dyDescent="0.2">
      <c r="A398" s="153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  <c r="P398" s="154"/>
    </row>
    <row r="399" spans="1:16" x14ac:dyDescent="0.2">
      <c r="A399" s="92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  <c r="P399" s="155"/>
    </row>
    <row r="400" spans="1:16" x14ac:dyDescent="0.2">
      <c r="A400" s="153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  <c r="P400" s="154"/>
    </row>
    <row r="401" spans="1:16" x14ac:dyDescent="0.2">
      <c r="A401" s="92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  <c r="P401" s="155"/>
    </row>
    <row r="402" spans="1:16" x14ac:dyDescent="0.2">
      <c r="A402" s="153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  <c r="P402" s="154"/>
    </row>
    <row r="403" spans="1:16" x14ac:dyDescent="0.2">
      <c r="A403" s="92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  <c r="P403" s="155"/>
    </row>
    <row r="404" spans="1:16" x14ac:dyDescent="0.2">
      <c r="A404" s="153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  <c r="P404" s="154"/>
    </row>
    <row r="405" spans="1:16" x14ac:dyDescent="0.2">
      <c r="A405" s="92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  <c r="P405" s="155"/>
    </row>
    <row r="406" spans="1:16" x14ac:dyDescent="0.2">
      <c r="A406" s="153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  <c r="P406" s="154"/>
    </row>
    <row r="407" spans="1:16" x14ac:dyDescent="0.2">
      <c r="A407" s="92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  <c r="P407" s="155"/>
    </row>
    <row r="408" spans="1:16" x14ac:dyDescent="0.2">
      <c r="A408" s="153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  <c r="P408" s="154"/>
    </row>
    <row r="409" spans="1:16" x14ac:dyDescent="0.2">
      <c r="A409" s="92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  <c r="P409" s="155"/>
    </row>
    <row r="410" spans="1:16" x14ac:dyDescent="0.2">
      <c r="A410" s="153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  <c r="P410" s="154"/>
    </row>
    <row r="411" spans="1:16" x14ac:dyDescent="0.2">
      <c r="A411" s="92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  <c r="P411" s="155"/>
    </row>
    <row r="412" spans="1:16" x14ac:dyDescent="0.2">
      <c r="A412" s="153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  <c r="P412" s="154"/>
    </row>
    <row r="413" spans="1:16" x14ac:dyDescent="0.2">
      <c r="A413" s="92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  <c r="P413" s="155"/>
    </row>
    <row r="414" spans="1:16" x14ac:dyDescent="0.2">
      <c r="A414" s="153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  <c r="P414" s="154"/>
    </row>
    <row r="415" spans="1:16" x14ac:dyDescent="0.2">
      <c r="A415" s="92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  <c r="P415" s="155"/>
    </row>
    <row r="416" spans="1:16" x14ac:dyDescent="0.2">
      <c r="A416" s="153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  <c r="P416" s="154"/>
    </row>
    <row r="417" spans="1:16" x14ac:dyDescent="0.2">
      <c r="A417" s="92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  <c r="P417" s="155"/>
    </row>
    <row r="418" spans="1:16" x14ac:dyDescent="0.2">
      <c r="A418" s="153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  <c r="P418" s="154"/>
    </row>
    <row r="419" spans="1:16" x14ac:dyDescent="0.2">
      <c r="A419" s="92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  <c r="P419" s="155"/>
    </row>
    <row r="420" spans="1:16" x14ac:dyDescent="0.2">
      <c r="A420" s="153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  <c r="P420" s="154"/>
    </row>
    <row r="421" spans="1:16" x14ac:dyDescent="0.2">
      <c r="A421" s="92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  <c r="P421" s="155"/>
    </row>
    <row r="422" spans="1:16" x14ac:dyDescent="0.2">
      <c r="A422" s="153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  <c r="P422" s="154"/>
    </row>
    <row r="423" spans="1:16" x14ac:dyDescent="0.2">
      <c r="A423" s="92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  <c r="P423" s="155"/>
    </row>
    <row r="424" spans="1:16" x14ac:dyDescent="0.2">
      <c r="A424" s="153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  <c r="P424" s="154"/>
    </row>
    <row r="425" spans="1:16" x14ac:dyDescent="0.2">
      <c r="A425" s="92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  <c r="P425" s="155"/>
    </row>
    <row r="426" spans="1:16" x14ac:dyDescent="0.2">
      <c r="A426" s="153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  <c r="P426" s="154"/>
    </row>
    <row r="427" spans="1:16" x14ac:dyDescent="0.2">
      <c r="A427" s="92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  <c r="P427" s="155"/>
    </row>
    <row r="428" spans="1:16" x14ac:dyDescent="0.2">
      <c r="A428" s="153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  <c r="P428" s="154"/>
    </row>
    <row r="429" spans="1:16" x14ac:dyDescent="0.2">
      <c r="A429" s="92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  <c r="P429" s="155"/>
    </row>
    <row r="430" spans="1:16" x14ac:dyDescent="0.2">
      <c r="A430" s="153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  <c r="P430" s="154"/>
    </row>
    <row r="431" spans="1:16" x14ac:dyDescent="0.2">
      <c r="A431" s="92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  <c r="P431" s="155"/>
    </row>
    <row r="432" spans="1:16" x14ac:dyDescent="0.2">
      <c r="A432" s="153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  <c r="P432" s="154"/>
    </row>
    <row r="433" spans="1:16" x14ac:dyDescent="0.2">
      <c r="A433" s="92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  <c r="P433" s="155"/>
    </row>
    <row r="434" spans="1:16" x14ac:dyDescent="0.2">
      <c r="A434" s="153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  <c r="P434" s="154"/>
    </row>
    <row r="435" spans="1:16" x14ac:dyDescent="0.2">
      <c r="A435" s="92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  <c r="P435" s="155"/>
    </row>
    <row r="436" spans="1:16" x14ac:dyDescent="0.2">
      <c r="A436" s="153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  <c r="P436" s="154"/>
    </row>
    <row r="437" spans="1:16" x14ac:dyDescent="0.2">
      <c r="A437" s="92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  <c r="P437" s="155"/>
    </row>
    <row r="438" spans="1:16" x14ac:dyDescent="0.2">
      <c r="A438" s="153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  <c r="P438" s="154"/>
    </row>
    <row r="439" spans="1:16" x14ac:dyDescent="0.2">
      <c r="A439" s="92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  <c r="P439" s="155"/>
    </row>
    <row r="440" spans="1:16" x14ac:dyDescent="0.2">
      <c r="A440" s="153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  <c r="P440" s="154"/>
    </row>
    <row r="441" spans="1:16" x14ac:dyDescent="0.2">
      <c r="A441" s="92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  <c r="P441" s="155"/>
    </row>
    <row r="442" spans="1:16" x14ac:dyDescent="0.2">
      <c r="A442" s="153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  <c r="P442" s="154"/>
    </row>
    <row r="443" spans="1:16" x14ac:dyDescent="0.2">
      <c r="A443" s="92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  <c r="P443" s="155"/>
    </row>
    <row r="444" spans="1:16" x14ac:dyDescent="0.2">
      <c r="A444" s="153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  <c r="P444" s="154"/>
    </row>
    <row r="445" spans="1:16" x14ac:dyDescent="0.2">
      <c r="A445" s="92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  <c r="P445" s="155"/>
    </row>
    <row r="446" spans="1:16" x14ac:dyDescent="0.2">
      <c r="A446" s="153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  <c r="P446" s="154"/>
    </row>
    <row r="447" spans="1:16" x14ac:dyDescent="0.2">
      <c r="A447" s="92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  <c r="P447" s="155"/>
    </row>
    <row r="448" spans="1:16" x14ac:dyDescent="0.2">
      <c r="A448" s="153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  <c r="P448" s="154"/>
    </row>
    <row r="449" spans="1:16" x14ac:dyDescent="0.2">
      <c r="A449" s="92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  <c r="P449" s="155"/>
    </row>
    <row r="450" spans="1:16" x14ac:dyDescent="0.2">
      <c r="A450" s="153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  <c r="P450" s="154"/>
    </row>
    <row r="451" spans="1:16" x14ac:dyDescent="0.2">
      <c r="A451" s="92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  <c r="P451" s="155"/>
    </row>
    <row r="452" spans="1:16" x14ac:dyDescent="0.2">
      <c r="A452" s="153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  <c r="P452" s="154"/>
    </row>
    <row r="453" spans="1:16" x14ac:dyDescent="0.2">
      <c r="A453" s="92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  <c r="P453" s="155"/>
    </row>
    <row r="454" spans="1:16" x14ac:dyDescent="0.2">
      <c r="A454" s="153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  <c r="P454" s="154"/>
    </row>
    <row r="455" spans="1:16" x14ac:dyDescent="0.2">
      <c r="A455" s="92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  <c r="P455" s="155"/>
    </row>
    <row r="456" spans="1:16" x14ac:dyDescent="0.2">
      <c r="A456" s="153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  <c r="P456" s="154"/>
    </row>
    <row r="457" spans="1:16" x14ac:dyDescent="0.2">
      <c r="A457" s="92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  <c r="P457" s="155"/>
    </row>
    <row r="458" spans="1:16" x14ac:dyDescent="0.2">
      <c r="A458" s="153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  <c r="P458" s="154"/>
    </row>
    <row r="459" spans="1:16" x14ac:dyDescent="0.2">
      <c r="A459" s="92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  <c r="P459" s="155"/>
    </row>
    <row r="460" spans="1:16" x14ac:dyDescent="0.2">
      <c r="A460" s="153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  <c r="P460" s="154"/>
    </row>
    <row r="461" spans="1:16" x14ac:dyDescent="0.2">
      <c r="A461" s="92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  <c r="P461" s="155"/>
    </row>
    <row r="462" spans="1:16" x14ac:dyDescent="0.2">
      <c r="A462" s="153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  <c r="P462" s="154"/>
    </row>
    <row r="463" spans="1:16" x14ac:dyDescent="0.2">
      <c r="A463" s="92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  <c r="P463" s="155"/>
    </row>
    <row r="464" spans="1:16" x14ac:dyDescent="0.2">
      <c r="A464" s="153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  <c r="P464" s="154"/>
    </row>
    <row r="465" spans="1:16" x14ac:dyDescent="0.2">
      <c r="A465" s="92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  <c r="P465" s="155"/>
    </row>
    <row r="466" spans="1:16" x14ac:dyDescent="0.2">
      <c r="A466" s="153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  <c r="P466" s="154"/>
    </row>
    <row r="467" spans="1:16" x14ac:dyDescent="0.2">
      <c r="A467" s="92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  <c r="P467" s="155"/>
    </row>
    <row r="468" spans="1:16" x14ac:dyDescent="0.2">
      <c r="A468" s="153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  <c r="P468" s="154"/>
    </row>
    <row r="469" spans="1:16" x14ac:dyDescent="0.2">
      <c r="A469" s="92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  <c r="P469" s="155"/>
    </row>
    <row r="470" spans="1:16" x14ac:dyDescent="0.2">
      <c r="A470" s="153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  <c r="P470" s="154"/>
    </row>
    <row r="471" spans="1:16" x14ac:dyDescent="0.2">
      <c r="A471" s="92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  <c r="P471" s="155"/>
    </row>
    <row r="472" spans="1:16" x14ac:dyDescent="0.2">
      <c r="A472" s="153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  <c r="P472" s="154"/>
    </row>
    <row r="473" spans="1:16" x14ac:dyDescent="0.2">
      <c r="A473" s="92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  <c r="P473" s="155"/>
    </row>
    <row r="474" spans="1:16" x14ac:dyDescent="0.2">
      <c r="A474" s="153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  <c r="P474" s="154"/>
    </row>
    <row r="475" spans="1:16" x14ac:dyDescent="0.2">
      <c r="A475" s="92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  <c r="P475" s="155"/>
    </row>
    <row r="476" spans="1:16" x14ac:dyDescent="0.2">
      <c r="A476" s="153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  <c r="P476" s="154"/>
    </row>
    <row r="477" spans="1:16" x14ac:dyDescent="0.2">
      <c r="A477" s="92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  <c r="P477" s="155"/>
    </row>
    <row r="478" spans="1:16" x14ac:dyDescent="0.2">
      <c r="A478" s="153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  <c r="P478" s="154"/>
    </row>
    <row r="479" spans="1:16" x14ac:dyDescent="0.2">
      <c r="A479" s="92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  <c r="P479" s="155"/>
    </row>
    <row r="480" spans="1:16" x14ac:dyDescent="0.2">
      <c r="A480" s="153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  <c r="P480" s="154"/>
    </row>
    <row r="481" spans="1:16" x14ac:dyDescent="0.2">
      <c r="A481" s="92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  <c r="P481" s="155"/>
    </row>
    <row r="482" spans="1:16" x14ac:dyDescent="0.2">
      <c r="A482" s="153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  <c r="P482" s="154"/>
    </row>
    <row r="483" spans="1:16" x14ac:dyDescent="0.2">
      <c r="A483" s="92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  <c r="P483" s="155"/>
    </row>
    <row r="484" spans="1:16" x14ac:dyDescent="0.2">
      <c r="A484" s="153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  <c r="P484" s="154"/>
    </row>
    <row r="485" spans="1:16" x14ac:dyDescent="0.2">
      <c r="A485" s="92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  <c r="P485" s="155"/>
    </row>
    <row r="486" spans="1:16" x14ac:dyDescent="0.2">
      <c r="A486" s="153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  <c r="P486" s="154"/>
    </row>
    <row r="487" spans="1:16" x14ac:dyDescent="0.2">
      <c r="A487" s="92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  <c r="P487" s="155"/>
    </row>
    <row r="488" spans="1:16" x14ac:dyDescent="0.2">
      <c r="A488" s="153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  <c r="P488" s="154"/>
    </row>
    <row r="489" spans="1:16" x14ac:dyDescent="0.2">
      <c r="A489" s="92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  <c r="P489" s="155"/>
    </row>
    <row r="490" spans="1:16" x14ac:dyDescent="0.2">
      <c r="A490" s="153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  <c r="P490" s="154"/>
    </row>
    <row r="491" spans="1:16" x14ac:dyDescent="0.2">
      <c r="A491" s="92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  <c r="P491" s="155"/>
    </row>
    <row r="492" spans="1:16" x14ac:dyDescent="0.2">
      <c r="A492" s="153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  <c r="P492" s="154"/>
    </row>
    <row r="493" spans="1:16" x14ac:dyDescent="0.2">
      <c r="A493" s="92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  <c r="P493" s="155"/>
    </row>
    <row r="494" spans="1:16" x14ac:dyDescent="0.2">
      <c r="A494" s="153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  <c r="P494" s="154"/>
    </row>
    <row r="495" spans="1:16" x14ac:dyDescent="0.2">
      <c r="A495" s="92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  <c r="P495" s="155"/>
    </row>
    <row r="496" spans="1:16" x14ac:dyDescent="0.2">
      <c r="A496" s="153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  <c r="P496" s="154"/>
    </row>
    <row r="497" spans="1:16" x14ac:dyDescent="0.2">
      <c r="A497" s="92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  <c r="P497" s="155"/>
    </row>
    <row r="498" spans="1:16" x14ac:dyDescent="0.2">
      <c r="A498" s="153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  <c r="P498" s="154"/>
    </row>
    <row r="499" spans="1:16" x14ac:dyDescent="0.2">
      <c r="A499" s="92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  <c r="P499" s="155"/>
    </row>
    <row r="500" spans="1:16" x14ac:dyDescent="0.2">
      <c r="A500" s="153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  <c r="P500" s="154"/>
    </row>
    <row r="501" spans="1:16" x14ac:dyDescent="0.2">
      <c r="A501" s="92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  <c r="P501" s="155"/>
    </row>
    <row r="502" spans="1:16" x14ac:dyDescent="0.2">
      <c r="A502" s="153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  <c r="P502" s="154"/>
    </row>
    <row r="503" spans="1:16" x14ac:dyDescent="0.2">
      <c r="A503" s="92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  <c r="P503" s="155"/>
    </row>
    <row r="504" spans="1:16" x14ac:dyDescent="0.2">
      <c r="A504" s="153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  <c r="P504" s="154"/>
    </row>
    <row r="505" spans="1:16" x14ac:dyDescent="0.2">
      <c r="A505" s="92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  <c r="P505" s="155"/>
    </row>
    <row r="506" spans="1:16" x14ac:dyDescent="0.2">
      <c r="A506" s="153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  <c r="P506" s="154"/>
    </row>
    <row r="507" spans="1:16" x14ac:dyDescent="0.2">
      <c r="A507" s="92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  <c r="P507" s="155"/>
    </row>
    <row r="508" spans="1:16" x14ac:dyDescent="0.2">
      <c r="A508" s="153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  <c r="P508" s="154"/>
    </row>
    <row r="509" spans="1:16" x14ac:dyDescent="0.2">
      <c r="A509" s="92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  <c r="P509" s="155"/>
    </row>
    <row r="510" spans="1:16" x14ac:dyDescent="0.2">
      <c r="A510" s="153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  <c r="P510" s="154"/>
    </row>
    <row r="511" spans="1:16" x14ac:dyDescent="0.2">
      <c r="A511" s="92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  <c r="P511" s="155"/>
    </row>
    <row r="512" spans="1:16" x14ac:dyDescent="0.2">
      <c r="A512" s="153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  <c r="P512" s="154"/>
    </row>
    <row r="513" spans="1:16" x14ac:dyDescent="0.2">
      <c r="A513" s="92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  <c r="P513" s="155"/>
    </row>
    <row r="514" spans="1:16" x14ac:dyDescent="0.2">
      <c r="A514" s="153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  <c r="P514" s="154"/>
    </row>
    <row r="515" spans="1:16" x14ac:dyDescent="0.2">
      <c r="A515" s="92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  <c r="P515" s="155"/>
    </row>
    <row r="516" spans="1:16" x14ac:dyDescent="0.2">
      <c r="A516" s="153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  <c r="P516" s="154"/>
    </row>
    <row r="517" spans="1:16" x14ac:dyDescent="0.2">
      <c r="A517" s="92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  <c r="P517" s="155"/>
    </row>
    <row r="518" spans="1:16" x14ac:dyDescent="0.2">
      <c r="A518" s="153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  <c r="P518" s="154"/>
    </row>
    <row r="519" spans="1:16" x14ac:dyDescent="0.2">
      <c r="A519" s="92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  <c r="P519" s="155"/>
    </row>
    <row r="520" spans="1:16" x14ac:dyDescent="0.2">
      <c r="A520" s="153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  <c r="P520" s="154"/>
    </row>
    <row r="521" spans="1:16" x14ac:dyDescent="0.2">
      <c r="A521" s="92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  <c r="P521" s="155"/>
    </row>
    <row r="522" spans="1:16" x14ac:dyDescent="0.2">
      <c r="A522" s="153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  <c r="P522" s="154"/>
    </row>
    <row r="523" spans="1:16" x14ac:dyDescent="0.2">
      <c r="A523" s="92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  <c r="P523" s="155"/>
    </row>
    <row r="524" spans="1:16" x14ac:dyDescent="0.2">
      <c r="A524" s="153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  <c r="P524" s="154"/>
    </row>
    <row r="525" spans="1:16" x14ac:dyDescent="0.2">
      <c r="A525" s="92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  <c r="P525" s="155"/>
    </row>
    <row r="526" spans="1:16" x14ac:dyDescent="0.2">
      <c r="A526" s="153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  <c r="P526" s="154"/>
    </row>
    <row r="527" spans="1:16" x14ac:dyDescent="0.2">
      <c r="A527" s="92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  <c r="P527" s="155"/>
    </row>
    <row r="528" spans="1:16" x14ac:dyDescent="0.2">
      <c r="A528" s="153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  <c r="P528" s="154"/>
    </row>
    <row r="529" spans="1:16" x14ac:dyDescent="0.2">
      <c r="A529" s="92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  <c r="P529" s="155"/>
    </row>
    <row r="530" spans="1:16" x14ac:dyDescent="0.2">
      <c r="A530" s="153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  <c r="P530" s="154"/>
    </row>
    <row r="531" spans="1:16" x14ac:dyDescent="0.2">
      <c r="A531" s="92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  <c r="P531" s="155"/>
    </row>
    <row r="532" spans="1:16" x14ac:dyDescent="0.2">
      <c r="A532" s="153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  <c r="P532" s="154"/>
    </row>
    <row r="533" spans="1:16" x14ac:dyDescent="0.2">
      <c r="A533" s="92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  <c r="P533" s="155"/>
    </row>
    <row r="534" spans="1:16" x14ac:dyDescent="0.2">
      <c r="A534" s="153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  <c r="P534" s="154"/>
    </row>
    <row r="535" spans="1:16" x14ac:dyDescent="0.2">
      <c r="A535" s="92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  <c r="P535" s="155"/>
    </row>
    <row r="536" spans="1:16" x14ac:dyDescent="0.2">
      <c r="A536" s="153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  <c r="P536" s="154"/>
    </row>
    <row r="537" spans="1:16" x14ac:dyDescent="0.2">
      <c r="A537" s="92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  <c r="P537" s="155"/>
    </row>
    <row r="538" spans="1:16" x14ac:dyDescent="0.2">
      <c r="A538" s="153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  <c r="P538" s="154"/>
    </row>
    <row r="539" spans="1:16" x14ac:dyDescent="0.2">
      <c r="A539" s="92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  <c r="P539" s="155"/>
    </row>
    <row r="540" spans="1:16" x14ac:dyDescent="0.2">
      <c r="A540" s="153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  <c r="P540" s="154"/>
    </row>
    <row r="541" spans="1:16" x14ac:dyDescent="0.2">
      <c r="A541" s="92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  <c r="P541" s="155"/>
    </row>
    <row r="542" spans="1:16" x14ac:dyDescent="0.2">
      <c r="A542" s="153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  <c r="P542" s="154"/>
    </row>
    <row r="543" spans="1:16" x14ac:dyDescent="0.2">
      <c r="A543" s="92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  <c r="P543" s="155"/>
    </row>
    <row r="544" spans="1:16" x14ac:dyDescent="0.2">
      <c r="A544" s="153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  <c r="P544" s="154"/>
    </row>
    <row r="545" spans="1:16" x14ac:dyDescent="0.2">
      <c r="A545" s="92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  <c r="P545" s="155"/>
    </row>
    <row r="546" spans="1:16" x14ac:dyDescent="0.2">
      <c r="A546" s="153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  <c r="P546" s="154"/>
    </row>
    <row r="547" spans="1:16" x14ac:dyDescent="0.2">
      <c r="A547" s="92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  <c r="P547" s="155"/>
    </row>
    <row r="548" spans="1:16" x14ac:dyDescent="0.2">
      <c r="A548" s="153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  <c r="P548" s="154"/>
    </row>
    <row r="549" spans="1:16" x14ac:dyDescent="0.2">
      <c r="A549" s="92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  <c r="P549" s="155"/>
    </row>
    <row r="550" spans="1:16" x14ac:dyDescent="0.2">
      <c r="A550" s="153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  <c r="P550" s="154"/>
    </row>
    <row r="551" spans="1:16" x14ac:dyDescent="0.2">
      <c r="A551" s="92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  <c r="P551" s="155"/>
    </row>
    <row r="552" spans="1:16" x14ac:dyDescent="0.2">
      <c r="A552" s="153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  <c r="P552" s="154"/>
    </row>
    <row r="553" spans="1:16" x14ac:dyDescent="0.2">
      <c r="A553" s="92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  <c r="P553" s="155"/>
    </row>
    <row r="554" spans="1:16" x14ac:dyDescent="0.2">
      <c r="A554" s="153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  <c r="P554" s="154"/>
    </row>
    <row r="555" spans="1:16" x14ac:dyDescent="0.2">
      <c r="A555" s="92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  <c r="P555" s="155"/>
    </row>
    <row r="556" spans="1:16" x14ac:dyDescent="0.2">
      <c r="A556" s="153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  <c r="P556" s="154"/>
    </row>
    <row r="557" spans="1:16" x14ac:dyDescent="0.2">
      <c r="A557" s="92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  <c r="P557" s="155"/>
    </row>
    <row r="558" spans="1:16" x14ac:dyDescent="0.2">
      <c r="A558" s="153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  <c r="P558" s="154"/>
    </row>
    <row r="559" spans="1:16" x14ac:dyDescent="0.2">
      <c r="A559" s="92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  <c r="P559" s="155"/>
    </row>
    <row r="560" spans="1:16" x14ac:dyDescent="0.2">
      <c r="A560" s="153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  <c r="P560" s="154"/>
    </row>
    <row r="561" spans="1:16" x14ac:dyDescent="0.2">
      <c r="A561" s="92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  <c r="P561" s="155"/>
    </row>
    <row r="562" spans="1:16" x14ac:dyDescent="0.2">
      <c r="A562" s="153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  <c r="P562" s="154"/>
    </row>
    <row r="563" spans="1:16" x14ac:dyDescent="0.2">
      <c r="A563" s="92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  <c r="P563" s="155"/>
    </row>
    <row r="564" spans="1:16" x14ac:dyDescent="0.2">
      <c r="A564" s="153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  <c r="P564" s="154"/>
    </row>
    <row r="565" spans="1:16" x14ac:dyDescent="0.2">
      <c r="A565" s="92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  <c r="P565" s="155"/>
    </row>
    <row r="566" spans="1:16" x14ac:dyDescent="0.2">
      <c r="A566" s="153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  <c r="P566" s="154"/>
    </row>
    <row r="567" spans="1:16" x14ac:dyDescent="0.2">
      <c r="A567" s="92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  <c r="P567" s="155"/>
    </row>
    <row r="568" spans="1:16" x14ac:dyDescent="0.2">
      <c r="A568" s="153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  <c r="P568" s="154"/>
    </row>
    <row r="569" spans="1:16" x14ac:dyDescent="0.2">
      <c r="A569" s="92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  <c r="P569" s="155"/>
    </row>
    <row r="570" spans="1:16" x14ac:dyDescent="0.2">
      <c r="A570" s="153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  <c r="P570" s="154"/>
    </row>
    <row r="571" spans="1:16" x14ac:dyDescent="0.2">
      <c r="A571" s="92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  <c r="P571" s="155"/>
    </row>
    <row r="572" spans="1:16" x14ac:dyDescent="0.2">
      <c r="A572" s="153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  <c r="P572" s="154"/>
    </row>
    <row r="573" spans="1:16" x14ac:dyDescent="0.2">
      <c r="A573" s="92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  <c r="P573" s="155"/>
    </row>
    <row r="574" spans="1:16" x14ac:dyDescent="0.2">
      <c r="A574" s="153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  <c r="P574" s="154"/>
    </row>
    <row r="575" spans="1:16" x14ac:dyDescent="0.2">
      <c r="A575" s="92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  <c r="P575" s="155"/>
    </row>
    <row r="576" spans="1:16" x14ac:dyDescent="0.2">
      <c r="A576" s="153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  <c r="P576" s="154"/>
    </row>
    <row r="577" spans="1:16" x14ac:dyDescent="0.2">
      <c r="A577" s="92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  <c r="P577" s="155"/>
    </row>
    <row r="578" spans="1:16" x14ac:dyDescent="0.2">
      <c r="A578" s="153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  <c r="P578" s="154"/>
    </row>
    <row r="579" spans="1:16" x14ac:dyDescent="0.2">
      <c r="A579" s="92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  <c r="P579" s="155"/>
    </row>
    <row r="580" spans="1:16" x14ac:dyDescent="0.2">
      <c r="A580" s="153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  <c r="P580" s="154"/>
    </row>
    <row r="581" spans="1:16" x14ac:dyDescent="0.2">
      <c r="A581" s="92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  <c r="P581" s="155"/>
    </row>
    <row r="582" spans="1:16" x14ac:dyDescent="0.2">
      <c r="A582" s="153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  <c r="P582" s="154"/>
    </row>
    <row r="583" spans="1:16" x14ac:dyDescent="0.2">
      <c r="A583" s="92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  <c r="P583" s="155"/>
    </row>
    <row r="584" spans="1:16" x14ac:dyDescent="0.2">
      <c r="A584" s="153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  <c r="P584" s="154"/>
    </row>
    <row r="585" spans="1:16" x14ac:dyDescent="0.2">
      <c r="A585" s="92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  <c r="P585" s="155"/>
    </row>
    <row r="586" spans="1:16" x14ac:dyDescent="0.2">
      <c r="A586" s="153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  <c r="P586" s="154"/>
    </row>
    <row r="587" spans="1:16" x14ac:dyDescent="0.2">
      <c r="A587" s="92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  <c r="P587" s="155"/>
    </row>
    <row r="588" spans="1:16" x14ac:dyDescent="0.2">
      <c r="A588" s="153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  <c r="P588" s="154"/>
    </row>
    <row r="589" spans="1:16" x14ac:dyDescent="0.2">
      <c r="A589" s="92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  <c r="P589" s="155"/>
    </row>
    <row r="590" spans="1:16" x14ac:dyDescent="0.2">
      <c r="A590" s="153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  <c r="P590" s="154"/>
    </row>
    <row r="591" spans="1:16" x14ac:dyDescent="0.2">
      <c r="A591" s="92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  <c r="P591" s="155"/>
    </row>
    <row r="592" spans="1:16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xmlns:xlrd2="http://schemas.microsoft.com/office/spreadsheetml/2017/richdata2" ref="A2:R76">
    <sortCondition descending="1" ref="R1:R7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C000"/>
  </sheetPr>
  <dimension ref="B1:G53"/>
  <sheetViews>
    <sheetView zoomScale="90" zoomScaleNormal="90" workbookViewId="0">
      <selection activeCell="I30" sqref="I30"/>
    </sheetView>
  </sheetViews>
  <sheetFormatPr defaultColWidth="9.140625" defaultRowHeight="12.75" x14ac:dyDescent="0.2"/>
  <cols>
    <col min="2" max="2" width="22.28515625" bestFit="1" customWidth="1"/>
    <col min="5" max="5" width="22.28515625" bestFit="1" customWidth="1"/>
    <col min="7" max="7" width="9.140625" customWidth="1"/>
    <col min="8" max="8" width="9.85546875" customWidth="1"/>
  </cols>
  <sheetData>
    <row r="1" spans="2:7" x14ac:dyDescent="0.2">
      <c r="B1" s="36"/>
      <c r="C1" s="37"/>
      <c r="D1" s="37"/>
      <c r="E1" s="37"/>
      <c r="F1" s="37"/>
      <c r="G1" s="38"/>
    </row>
    <row r="2" spans="2:7" x14ac:dyDescent="0.2">
      <c r="B2" s="39"/>
      <c r="E2" s="7" t="s">
        <v>148</v>
      </c>
      <c r="G2" s="40"/>
    </row>
    <row r="3" spans="2:7" x14ac:dyDescent="0.2">
      <c r="B3" s="39"/>
      <c r="E3" s="34" t="s">
        <v>149</v>
      </c>
      <c r="F3" s="172"/>
      <c r="G3" s="173"/>
    </row>
    <row r="4" spans="2:7" x14ac:dyDescent="0.2">
      <c r="B4" s="39"/>
      <c r="E4" s="170" t="s">
        <v>150</v>
      </c>
      <c r="F4" s="169"/>
      <c r="G4" s="169"/>
    </row>
    <row r="5" spans="2:7" x14ac:dyDescent="0.2">
      <c r="B5" s="39"/>
      <c r="E5" s="171"/>
      <c r="F5" s="169"/>
      <c r="G5" s="169"/>
    </row>
    <row r="6" spans="2:7" x14ac:dyDescent="0.2">
      <c r="B6" s="39"/>
      <c r="G6" s="40"/>
    </row>
    <row r="7" spans="2:7" x14ac:dyDescent="0.2">
      <c r="B7" s="39"/>
      <c r="E7" s="26" t="s">
        <v>158</v>
      </c>
      <c r="F7" s="169"/>
      <c r="G7" s="169"/>
    </row>
    <row r="8" spans="2:7" x14ac:dyDescent="0.2">
      <c r="B8" s="39"/>
      <c r="E8" s="26" t="s">
        <v>159</v>
      </c>
      <c r="F8" s="169"/>
      <c r="G8" s="169"/>
    </row>
    <row r="9" spans="2:7" x14ac:dyDescent="0.2">
      <c r="B9" s="39"/>
      <c r="G9" s="40"/>
    </row>
    <row r="10" spans="2:7" x14ac:dyDescent="0.2">
      <c r="B10" s="39"/>
      <c r="G10" s="40"/>
    </row>
    <row r="11" spans="2:7" x14ac:dyDescent="0.2">
      <c r="B11" s="41" t="s">
        <v>155</v>
      </c>
      <c r="C11" s="42"/>
      <c r="E11" s="43" t="s">
        <v>156</v>
      </c>
      <c r="F11" s="42"/>
      <c r="G11" s="40"/>
    </row>
    <row r="12" spans="2:7" x14ac:dyDescent="0.2">
      <c r="B12" s="39"/>
      <c r="G12" s="40"/>
    </row>
    <row r="13" spans="2:7" x14ac:dyDescent="0.2">
      <c r="B13" s="26" t="s">
        <v>151</v>
      </c>
      <c r="C13" s="27"/>
      <c r="E13" s="26" t="s">
        <v>162</v>
      </c>
      <c r="F13" s="27"/>
      <c r="G13" s="40"/>
    </row>
    <row r="14" spans="2:7" x14ac:dyDescent="0.2">
      <c r="B14" s="26" t="s">
        <v>152</v>
      </c>
      <c r="C14" s="27"/>
      <c r="E14" s="26" t="s">
        <v>163</v>
      </c>
      <c r="F14" s="27"/>
      <c r="G14" s="40"/>
    </row>
    <row r="15" spans="2:7" x14ac:dyDescent="0.2">
      <c r="B15" s="26" t="s">
        <v>153</v>
      </c>
      <c r="C15" s="27"/>
      <c r="E15" s="26" t="s">
        <v>153</v>
      </c>
      <c r="F15" s="27"/>
      <c r="G15" s="40"/>
    </row>
    <row r="16" spans="2:7" x14ac:dyDescent="0.2">
      <c r="B16" s="28" t="s">
        <v>154</v>
      </c>
      <c r="C16" s="29"/>
      <c r="E16" s="28" t="s">
        <v>154</v>
      </c>
      <c r="F16" s="29"/>
      <c r="G16" s="40"/>
    </row>
    <row r="17" spans="2:7" x14ac:dyDescent="0.2">
      <c r="B17" s="32"/>
      <c r="C17" s="33"/>
      <c r="E17" s="35"/>
      <c r="F17" s="33"/>
      <c r="G17" s="40"/>
    </row>
    <row r="18" spans="2:7" x14ac:dyDescent="0.2">
      <c r="B18" s="30" t="s">
        <v>157</v>
      </c>
      <c r="C18" s="31"/>
      <c r="E18" s="30" t="s">
        <v>157</v>
      </c>
      <c r="F18" s="31"/>
      <c r="G18" s="40"/>
    </row>
    <row r="19" spans="2:7" x14ac:dyDescent="0.2">
      <c r="B19" s="44"/>
      <c r="G19" s="40"/>
    </row>
    <row r="20" spans="2:7" x14ac:dyDescent="0.2">
      <c r="B20" s="39"/>
      <c r="G20" s="40"/>
    </row>
    <row r="21" spans="2:7" x14ac:dyDescent="0.2">
      <c r="B21" s="44" t="s">
        <v>160</v>
      </c>
      <c r="C21" s="22"/>
      <c r="D21" s="22"/>
      <c r="E21" s="22"/>
      <c r="F21" s="22"/>
      <c r="G21" s="40"/>
    </row>
    <row r="22" spans="2:7" x14ac:dyDescent="0.2">
      <c r="B22" s="39"/>
      <c r="G22" s="40"/>
    </row>
    <row r="23" spans="2:7" x14ac:dyDescent="0.2">
      <c r="B23" s="44" t="s">
        <v>161</v>
      </c>
      <c r="C23" s="22"/>
      <c r="D23" s="22"/>
      <c r="E23" s="22"/>
      <c r="F23" s="22"/>
      <c r="G23" s="40"/>
    </row>
    <row r="24" spans="2:7" x14ac:dyDescent="0.2">
      <c r="B24" s="39"/>
      <c r="G24" s="40"/>
    </row>
    <row r="25" spans="2:7" x14ac:dyDescent="0.2">
      <c r="B25" s="45"/>
      <c r="C25" s="22"/>
      <c r="D25" s="22"/>
      <c r="E25" s="22"/>
      <c r="F25" s="22"/>
      <c r="G25" s="46"/>
    </row>
    <row r="27" spans="2:7" ht="13.5" thickBot="1" x14ac:dyDescent="0.25">
      <c r="B27" s="23"/>
      <c r="C27" s="23"/>
      <c r="D27" s="23"/>
      <c r="E27" s="23"/>
      <c r="F27" s="23"/>
      <c r="G27" s="23"/>
    </row>
    <row r="29" spans="2:7" x14ac:dyDescent="0.2">
      <c r="B29" s="36"/>
      <c r="C29" s="37"/>
      <c r="D29" s="37"/>
      <c r="E29" s="37"/>
      <c r="F29" s="37"/>
      <c r="G29" s="38"/>
    </row>
    <row r="30" spans="2:7" x14ac:dyDescent="0.2">
      <c r="B30" s="39"/>
      <c r="E30" s="7" t="s">
        <v>148</v>
      </c>
      <c r="G30" s="40"/>
    </row>
    <row r="31" spans="2:7" x14ac:dyDescent="0.2">
      <c r="B31" s="39"/>
      <c r="E31" s="34" t="s">
        <v>149</v>
      </c>
      <c r="F31" s="172"/>
      <c r="G31" s="173"/>
    </row>
    <row r="32" spans="2:7" x14ac:dyDescent="0.2">
      <c r="B32" s="39"/>
      <c r="E32" s="170" t="s">
        <v>150</v>
      </c>
      <c r="F32" s="169"/>
      <c r="G32" s="169"/>
    </row>
    <row r="33" spans="2:7" x14ac:dyDescent="0.2">
      <c r="B33" s="39"/>
      <c r="E33" s="171"/>
      <c r="F33" s="169"/>
      <c r="G33" s="169"/>
    </row>
    <row r="34" spans="2:7" x14ac:dyDescent="0.2">
      <c r="B34" s="39"/>
      <c r="G34" s="40"/>
    </row>
    <row r="35" spans="2:7" x14ac:dyDescent="0.2">
      <c r="B35" s="39"/>
      <c r="E35" s="26" t="s">
        <v>158</v>
      </c>
      <c r="F35" s="169"/>
      <c r="G35" s="169"/>
    </row>
    <row r="36" spans="2:7" x14ac:dyDescent="0.2">
      <c r="B36" s="39"/>
      <c r="E36" s="26" t="s">
        <v>159</v>
      </c>
      <c r="F36" s="169"/>
      <c r="G36" s="169"/>
    </row>
    <row r="37" spans="2:7" x14ac:dyDescent="0.2">
      <c r="B37" s="39"/>
      <c r="G37" s="40"/>
    </row>
    <row r="38" spans="2:7" x14ac:dyDescent="0.2">
      <c r="B38" s="39"/>
      <c r="G38" s="40"/>
    </row>
    <row r="39" spans="2:7" x14ac:dyDescent="0.2">
      <c r="B39" s="41" t="s">
        <v>155</v>
      </c>
      <c r="C39" s="42"/>
      <c r="E39" s="43" t="s">
        <v>156</v>
      </c>
      <c r="F39" s="42"/>
      <c r="G39" s="40"/>
    </row>
    <row r="40" spans="2:7" x14ac:dyDescent="0.2">
      <c r="B40" s="39"/>
      <c r="G40" s="40"/>
    </row>
    <row r="41" spans="2:7" x14ac:dyDescent="0.2">
      <c r="B41" s="26" t="s">
        <v>162</v>
      </c>
      <c r="C41" s="27"/>
      <c r="E41" s="26" t="s">
        <v>162</v>
      </c>
      <c r="F41" s="27"/>
      <c r="G41" s="40"/>
    </row>
    <row r="42" spans="2:7" x14ac:dyDescent="0.2">
      <c r="B42" s="26" t="s">
        <v>163</v>
      </c>
      <c r="C42" s="27"/>
      <c r="E42" s="26" t="s">
        <v>163</v>
      </c>
      <c r="F42" s="27"/>
      <c r="G42" s="40"/>
    </row>
    <row r="43" spans="2:7" x14ac:dyDescent="0.2">
      <c r="B43" s="26" t="s">
        <v>153</v>
      </c>
      <c r="C43" s="27"/>
      <c r="E43" s="26" t="s">
        <v>153</v>
      </c>
      <c r="F43" s="27"/>
      <c r="G43" s="40"/>
    </row>
    <row r="44" spans="2:7" x14ac:dyDescent="0.2">
      <c r="B44" s="28" t="s">
        <v>154</v>
      </c>
      <c r="C44" s="29"/>
      <c r="E44" s="28" t="s">
        <v>154</v>
      </c>
      <c r="F44" s="29"/>
      <c r="G44" s="40"/>
    </row>
    <row r="45" spans="2:7" x14ac:dyDescent="0.2">
      <c r="B45" s="32"/>
      <c r="C45" s="33"/>
      <c r="E45" s="35"/>
      <c r="F45" s="33"/>
      <c r="G45" s="40"/>
    </row>
    <row r="46" spans="2:7" x14ac:dyDescent="0.2">
      <c r="B46" s="30" t="s">
        <v>157</v>
      </c>
      <c r="C46" s="31"/>
      <c r="E46" s="30" t="s">
        <v>157</v>
      </c>
      <c r="F46" s="31"/>
      <c r="G46" s="40"/>
    </row>
    <row r="47" spans="2:7" x14ac:dyDescent="0.2">
      <c r="B47" s="44"/>
      <c r="G47" s="40"/>
    </row>
    <row r="48" spans="2:7" x14ac:dyDescent="0.2">
      <c r="B48" s="39"/>
      <c r="G48" s="40"/>
    </row>
    <row r="49" spans="2:7" x14ac:dyDescent="0.2">
      <c r="B49" s="44" t="s">
        <v>160</v>
      </c>
      <c r="C49" s="22"/>
      <c r="D49" s="22"/>
      <c r="E49" s="22"/>
      <c r="F49" s="22"/>
      <c r="G49" s="40"/>
    </row>
    <row r="50" spans="2:7" x14ac:dyDescent="0.2">
      <c r="B50" s="39"/>
      <c r="G50" s="40"/>
    </row>
    <row r="51" spans="2:7" x14ac:dyDescent="0.2">
      <c r="B51" s="44" t="s">
        <v>161</v>
      </c>
      <c r="C51" s="22"/>
      <c r="D51" s="22"/>
      <c r="E51" s="22"/>
      <c r="F51" s="22"/>
      <c r="G51" s="40"/>
    </row>
    <row r="52" spans="2:7" x14ac:dyDescent="0.2">
      <c r="B52" s="39"/>
      <c r="G52" s="40"/>
    </row>
    <row r="53" spans="2:7" x14ac:dyDescent="0.2">
      <c r="B53" s="45"/>
      <c r="C53" s="22"/>
      <c r="D53" s="22"/>
      <c r="E53" s="22"/>
      <c r="F53" s="22"/>
      <c r="G53" s="46"/>
    </row>
  </sheetData>
  <mergeCells count="12">
    <mergeCell ref="F36:G36"/>
    <mergeCell ref="F4:G4"/>
    <mergeCell ref="F5:G5"/>
    <mergeCell ref="E4:E5"/>
    <mergeCell ref="F3:G3"/>
    <mergeCell ref="F7:G7"/>
    <mergeCell ref="F8:G8"/>
    <mergeCell ref="F31:G31"/>
    <mergeCell ref="E32:E33"/>
    <mergeCell ref="F32:G32"/>
    <mergeCell ref="F33:G33"/>
    <mergeCell ref="F35:G35"/>
  </mergeCells>
  <pageMargins left="0.25" right="0.25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tabColor rgb="FF00B0F0"/>
  </sheetPr>
  <dimension ref="A1:AG48"/>
  <sheetViews>
    <sheetView topLeftCell="A7" workbookViewId="0">
      <selection activeCell="AD3" sqref="AD3"/>
    </sheetView>
  </sheetViews>
  <sheetFormatPr defaultRowHeight="12.75" x14ac:dyDescent="0.2"/>
  <cols>
    <col min="1" max="1" width="15" customWidth="1"/>
    <col min="2" max="2" width="14.140625" bestFit="1" customWidth="1"/>
    <col min="3" max="3" width="15.28515625" customWidth="1"/>
    <col min="4" max="4" width="15" customWidth="1"/>
    <col min="5" max="5" width="11.7109375" customWidth="1"/>
    <col min="6" max="6" width="13.42578125" customWidth="1"/>
    <col min="7" max="7" width="15" customWidth="1"/>
    <col min="8" max="8" width="12.28515625" customWidth="1"/>
    <col min="9" max="9" width="14" customWidth="1"/>
    <col min="10" max="10" width="15" customWidth="1"/>
    <col min="11" max="11" width="13.42578125" customWidth="1"/>
    <col min="14" max="14" width="17.7109375" bestFit="1" customWidth="1"/>
    <col min="15" max="15" width="9.5703125" bestFit="1" customWidth="1"/>
    <col min="16" max="17" width="9.28515625" bestFit="1" customWidth="1"/>
  </cols>
  <sheetData>
    <row r="1" spans="1:33" ht="13.5" thickBot="1" x14ac:dyDescent="0.25">
      <c r="A1" s="174">
        <v>2015</v>
      </c>
      <c r="B1" s="174"/>
      <c r="D1" s="174">
        <v>2016</v>
      </c>
      <c r="E1" s="174"/>
      <c r="G1" s="174">
        <v>2017</v>
      </c>
      <c r="H1" s="174"/>
      <c r="J1" s="174">
        <v>2018</v>
      </c>
      <c r="K1" s="174"/>
      <c r="N1" s="3" t="s">
        <v>177</v>
      </c>
      <c r="O1" s="3" t="s">
        <v>179</v>
      </c>
      <c r="P1" s="3" t="s">
        <v>180</v>
      </c>
      <c r="Q1" s="3" t="s">
        <v>181</v>
      </c>
      <c r="R1" s="3" t="s">
        <v>182</v>
      </c>
      <c r="S1" s="3" t="s">
        <v>183</v>
      </c>
      <c r="T1" s="3" t="s">
        <v>184</v>
      </c>
      <c r="U1" s="3" t="s">
        <v>185</v>
      </c>
      <c r="V1" s="3" t="s">
        <v>186</v>
      </c>
      <c r="W1" s="3" t="s">
        <v>187</v>
      </c>
      <c r="X1" s="3" t="s">
        <v>188</v>
      </c>
      <c r="Y1" s="3" t="s">
        <v>189</v>
      </c>
      <c r="Z1" s="3" t="s">
        <v>190</v>
      </c>
      <c r="AA1" s="3" t="s">
        <v>191</v>
      </c>
      <c r="AB1" s="3" t="s">
        <v>192</v>
      </c>
      <c r="AC1" s="3" t="s">
        <v>193</v>
      </c>
      <c r="AD1" s="3" t="s">
        <v>432</v>
      </c>
      <c r="AE1" s="3" t="s">
        <v>433</v>
      </c>
      <c r="AF1" s="3" t="s">
        <v>434</v>
      </c>
      <c r="AG1" s="3" t="s">
        <v>435</v>
      </c>
    </row>
    <row r="2" spans="1:33" ht="13.5" thickBot="1" x14ac:dyDescent="0.25">
      <c r="A2" s="72" t="s">
        <v>170</v>
      </c>
      <c r="B2" s="73" t="str">
        <f ca="1">IFERROR(AVERAGE(INDIRECT("'"&amp;A1&amp;"'!"&amp;"$E$2:$E$77")),"-")</f>
        <v>-</v>
      </c>
      <c r="D2" s="72" t="s">
        <v>170</v>
      </c>
      <c r="E2" s="73">
        <f ca="1">IFERROR(AVERAGE(INDIRECT("'"&amp;D1&amp;"'!"&amp;"$E$2:$E$77")),"-")</f>
        <v>8.2906250000000021</v>
      </c>
      <c r="G2" s="72" t="s">
        <v>170</v>
      </c>
      <c r="H2" s="73">
        <f ca="1">IFERROR(AVERAGE(INDIRECT("'"&amp;G1&amp;"'!"&amp;"$E$2:$E$77")),"-")</f>
        <v>5.7963636363636377</v>
      </c>
      <c r="J2" s="72" t="s">
        <v>170</v>
      </c>
      <c r="K2" s="73">
        <f ca="1">IFERROR(AVERAGE(INDIRECT("'"&amp;J1&amp;"'!"&amp;"$E$2:$E$77")),"-")</f>
        <v>3.8776315789473697</v>
      </c>
      <c r="N2" s="3" t="s">
        <v>170</v>
      </c>
      <c r="O2" s="131">
        <f t="shared" ref="O2" ca="1" si="0">IFERROR(AVERAGE(INDIRECT("'"&amp;O1&amp;"'!"&amp;"$E$2:$E$77")),"-")</f>
        <v>8.2906250000000021</v>
      </c>
      <c r="P2" s="131">
        <f t="shared" ref="P2" ca="1" si="1">IFERROR(AVERAGE(INDIRECT("'"&amp;P1&amp;"'!"&amp;"$E$2:$E$77")),"-")</f>
        <v>5.7963636363636377</v>
      </c>
      <c r="Q2" s="131">
        <f t="shared" ref="Q2" ca="1" si="2">IFERROR(AVERAGE(INDIRECT("'"&amp;Q1&amp;"'!"&amp;"$E$2:$E$77")),"-")</f>
        <v>3.8776315789473697</v>
      </c>
      <c r="R2" s="131">
        <f ca="1">IFERROR(AVERAGE(INDIRECT("'"&amp;R1&amp;"'!"&amp;"$E$2:$E$77")),"-")</f>
        <v>2.7257894736842099</v>
      </c>
      <c r="S2" s="131">
        <f t="shared" ref="S2" ca="1" si="3">IFERROR(AVERAGE(INDIRECT("'"&amp;S1&amp;"'!"&amp;"$E$2:$E$77")),"-")</f>
        <v>4.291052631578947</v>
      </c>
      <c r="T2" s="131">
        <f t="shared" ref="T2" ca="1" si="4">IFERROR(AVERAGE(INDIRECT("'"&amp;T1&amp;"'!"&amp;"$E$2:$E$77")),"-")</f>
        <v>3.4418421052631585</v>
      </c>
      <c r="U2" s="131">
        <f t="shared" ref="U2" ca="1" si="5">IFERROR(AVERAGE(INDIRECT("'"&amp;U1&amp;"'!"&amp;"$E$2:$E$77")),"-")</f>
        <v>2.9249342105263154</v>
      </c>
      <c r="V2" s="131" t="str">
        <f t="shared" ref="V2" ca="1" si="6">IFERROR(AVERAGE(INDIRECT("'"&amp;V1&amp;"'!"&amp;"$E$2:$E$77")),"-")</f>
        <v>-</v>
      </c>
      <c r="W2" s="131" t="str">
        <f t="shared" ref="W2" ca="1" si="7">IFERROR(AVERAGE(INDIRECT("'"&amp;W1&amp;"'!"&amp;"$E$2:$E$77")),"-")</f>
        <v>-</v>
      </c>
      <c r="X2" s="131" t="str">
        <f t="shared" ref="X2" ca="1" si="8">IFERROR(AVERAGE(INDIRECT("'"&amp;X1&amp;"'!"&amp;"$E$2:$E$77")),"-")</f>
        <v>-</v>
      </c>
      <c r="Y2" s="131" t="str">
        <f t="shared" ref="Y2" ca="1" si="9">IFERROR(AVERAGE(INDIRECT("'"&amp;Y1&amp;"'!"&amp;"$E$2:$E$77")),"-")</f>
        <v>-</v>
      </c>
      <c r="Z2" s="131" t="str">
        <f t="shared" ref="Z2" ca="1" si="10">IFERROR(AVERAGE(INDIRECT("'"&amp;Z1&amp;"'!"&amp;"$E$2:$E$77")),"-")</f>
        <v>-</v>
      </c>
      <c r="AA2" s="131" t="str">
        <f t="shared" ref="AA2" ca="1" si="11">IFERROR(AVERAGE(INDIRECT("'"&amp;AA1&amp;"'!"&amp;"$E$2:$E$77")),"-")</f>
        <v>-</v>
      </c>
      <c r="AB2" s="131" t="str">
        <f t="shared" ref="AB2" ca="1" si="12">IFERROR(AVERAGE(INDIRECT("'"&amp;AB1&amp;"'!"&amp;"$E$2:$E$77")),"-")</f>
        <v>-</v>
      </c>
      <c r="AC2" s="131" t="str">
        <f t="shared" ref="AC2:AG2" ca="1" si="13">IFERROR(AVERAGE(INDIRECT("'"&amp;AC1&amp;"'!"&amp;"$E$2:$E$77")),"-")</f>
        <v>-</v>
      </c>
      <c r="AD2" s="131" t="str">
        <f ca="1">IFERROR(AVERAGE(INDIRECT("'"&amp;AD1&amp;"'!"&amp;"$E$2:$E$77")),"-")</f>
        <v>-</v>
      </c>
      <c r="AE2" s="131" t="str">
        <f t="shared" ca="1" si="13"/>
        <v>-</v>
      </c>
      <c r="AF2" s="131" t="str">
        <f t="shared" ca="1" si="13"/>
        <v>-</v>
      </c>
      <c r="AG2" s="131" t="str">
        <f t="shared" ca="1" si="13"/>
        <v>-</v>
      </c>
    </row>
    <row r="3" spans="1:33" ht="13.5" thickBot="1" x14ac:dyDescent="0.25">
      <c r="A3" s="72" t="s">
        <v>171</v>
      </c>
      <c r="B3" s="73" t="str">
        <f ca="1">IFERROR(AVERAGE(INDIRECT("'"&amp;A1&amp;"'!"&amp;"$J$2:$J$77")),"-")</f>
        <v>-</v>
      </c>
      <c r="C3" s="6"/>
      <c r="D3" s="72" t="s">
        <v>171</v>
      </c>
      <c r="E3" s="73">
        <f ca="1">IFERROR(AVERAGE(INDIRECT("'"&amp;D1&amp;"'!"&amp;"$J$2:$J$77")),"-")</f>
        <v>8.5215625000000035</v>
      </c>
      <c r="G3" s="72" t="s">
        <v>171</v>
      </c>
      <c r="H3" s="73">
        <f ca="1">IFERROR(AVERAGE(INDIRECT("'"&amp;G1&amp;"'!"&amp;"$J$2:$J$77")),"-")</f>
        <v>7.5932307692307699</v>
      </c>
      <c r="J3" s="72" t="s">
        <v>171</v>
      </c>
      <c r="K3" s="73">
        <f ca="1">IFERROR(AVERAGE(INDIRECT("'"&amp;J1&amp;"'!"&amp;"$J$2:$J$77")),"-")</f>
        <v>4.9836842105263166</v>
      </c>
      <c r="N3" s="3" t="s">
        <v>194</v>
      </c>
      <c r="O3" s="131">
        <f t="shared" ref="O3:Q3" ca="1" si="14">IFERROR(_xlfn.STDEV.P(((INDIRECT("'"&amp;O1&amp;"'!"&amp;"$E$2:$E$77")))),"-")</f>
        <v>1.6258419693730839</v>
      </c>
      <c r="P3" s="131">
        <f t="shared" ca="1" si="14"/>
        <v>3.2090646406341796</v>
      </c>
      <c r="Q3" s="131">
        <f t="shared" ca="1" si="14"/>
        <v>2.2695303643688547</v>
      </c>
      <c r="R3" s="131">
        <f ca="1">IFERROR(_xlfn.STDEV.P(((INDIRECT("'"&amp;R1&amp;"'!"&amp;"$E$2:$E$77")))),"-")</f>
        <v>2.0415211454348503</v>
      </c>
      <c r="S3" s="131">
        <f t="shared" ref="S3:AC3" ca="1" si="15">IFERROR(_xlfn.STDEV.P(((INDIRECT("'"&amp;S1&amp;"'!"&amp;"$E$2:$E$77")))),"-")</f>
        <v>2.1812511975248516</v>
      </c>
      <c r="T3" s="131">
        <f t="shared" ca="1" si="15"/>
        <v>1.9689422156969099</v>
      </c>
      <c r="U3" s="131">
        <f t="shared" ca="1" si="15"/>
        <v>1.9632558037441032</v>
      </c>
      <c r="V3" s="131" t="str">
        <f t="shared" ca="1" si="15"/>
        <v>-</v>
      </c>
      <c r="W3" s="131" t="str">
        <f t="shared" ca="1" si="15"/>
        <v>-</v>
      </c>
      <c r="X3" s="131" t="str">
        <f t="shared" ca="1" si="15"/>
        <v>-</v>
      </c>
      <c r="Y3" s="131" t="str">
        <f t="shared" ca="1" si="15"/>
        <v>-</v>
      </c>
      <c r="Z3" s="131" t="str">
        <f t="shared" ca="1" si="15"/>
        <v>-</v>
      </c>
      <c r="AA3" s="131" t="str">
        <f t="shared" ca="1" si="15"/>
        <v>-</v>
      </c>
      <c r="AB3" s="131" t="str">
        <f t="shared" ca="1" si="15"/>
        <v>-</v>
      </c>
      <c r="AC3" s="131" t="str">
        <f t="shared" ca="1" si="15"/>
        <v>-</v>
      </c>
      <c r="AD3" s="131" t="str">
        <f t="shared" ref="AD3:AG3" ca="1" si="16">IFERROR(_xlfn.STDEV.P(((INDIRECT("'"&amp;AD1&amp;"'!"&amp;"$E$2:$E$77")))),"-")</f>
        <v>-</v>
      </c>
      <c r="AE3" s="131" t="str">
        <f t="shared" ca="1" si="16"/>
        <v>-</v>
      </c>
      <c r="AF3" s="131" t="str">
        <f t="shared" ca="1" si="16"/>
        <v>-</v>
      </c>
      <c r="AG3" s="131" t="str">
        <f t="shared" ca="1" si="16"/>
        <v>-</v>
      </c>
    </row>
    <row r="4" spans="1:33" ht="13.5" thickBot="1" x14ac:dyDescent="0.25">
      <c r="A4" s="72" t="s">
        <v>172</v>
      </c>
      <c r="B4" s="73" t="str">
        <f ca="1">IFERROR(MAX(INDIRECT("'"&amp;A1&amp;"'!"&amp;"$H$2:$H$77")),"-")</f>
        <v>-</v>
      </c>
      <c r="D4" s="72" t="s">
        <v>172</v>
      </c>
      <c r="E4" s="73">
        <f ca="1">IFERROR(MAX(INDIRECT("'"&amp;D1&amp;"'!"&amp;"$H$2:$H$77")),"-")</f>
        <v>3.82</v>
      </c>
      <c r="G4" s="72" t="s">
        <v>172</v>
      </c>
      <c r="H4" s="73">
        <f ca="1">IFERROR(MAX(INDIRECT("'"&amp;G1&amp;"'!"&amp;"$H$2:$H$77")),"-")</f>
        <v>3.34</v>
      </c>
      <c r="J4" s="72" t="s">
        <v>172</v>
      </c>
      <c r="K4" s="73">
        <f ca="1">IFERROR(MAX(INDIRECT("'"&amp;J1&amp;"'!"&amp;"$H$2:$H$77")),"-")</f>
        <v>3.82</v>
      </c>
      <c r="N4" s="3" t="s">
        <v>171</v>
      </c>
      <c r="O4" s="131">
        <f t="shared" ref="O4:Q4" ca="1" si="17">IFERROR(AVERAGE(INDIRECT("'"&amp;O1&amp;"'!"&amp;"$J$2:$J$77")),"-")</f>
        <v>8.5215625000000035</v>
      </c>
      <c r="P4" s="131">
        <f t="shared" ca="1" si="17"/>
        <v>7.5932307692307699</v>
      </c>
      <c r="Q4" s="131">
        <f t="shared" ca="1" si="17"/>
        <v>4.9836842105263166</v>
      </c>
      <c r="R4" s="131">
        <f ca="1">IFERROR(AVERAGE(INDIRECT("'"&amp;R1&amp;"'!"&amp;"$J$2:$J$77")),"-")</f>
        <v>2.9898666666666673</v>
      </c>
      <c r="S4" s="131">
        <f t="shared" ref="S4:AC4" ca="1" si="18">IFERROR(AVERAGE(INDIRECT("'"&amp;S1&amp;"'!"&amp;"$J$2:$J$77")),"-")</f>
        <v>3.7194736842105272</v>
      </c>
      <c r="T4" s="131">
        <f t="shared" ca="1" si="18"/>
        <v>3.0610526315789475</v>
      </c>
      <c r="U4" s="131">
        <f t="shared" ca="1" si="18"/>
        <v>3.2936842105263167</v>
      </c>
      <c r="V4" s="131" t="str">
        <f t="shared" ca="1" si="18"/>
        <v>-</v>
      </c>
      <c r="W4" s="131" t="str">
        <f t="shared" ca="1" si="18"/>
        <v>-</v>
      </c>
      <c r="X4" s="131" t="str">
        <f t="shared" ca="1" si="18"/>
        <v>-</v>
      </c>
      <c r="Y4" s="131" t="str">
        <f t="shared" ca="1" si="18"/>
        <v>-</v>
      </c>
      <c r="Z4" s="131" t="str">
        <f t="shared" ca="1" si="18"/>
        <v>-</v>
      </c>
      <c r="AA4" s="131" t="str">
        <f t="shared" ca="1" si="18"/>
        <v>-</v>
      </c>
      <c r="AB4" s="131" t="str">
        <f t="shared" ca="1" si="18"/>
        <v>-</v>
      </c>
      <c r="AC4" s="131" t="str">
        <f t="shared" ca="1" si="18"/>
        <v>-</v>
      </c>
      <c r="AD4" s="131" t="str">
        <f t="shared" ref="AD4:AG4" ca="1" si="19">IFERROR(AVERAGE(INDIRECT("'"&amp;AD1&amp;"'!"&amp;"$J$2:$J$77")),"-")</f>
        <v>-</v>
      </c>
      <c r="AE4" s="131" t="str">
        <f t="shared" ca="1" si="19"/>
        <v>-</v>
      </c>
      <c r="AF4" s="131" t="str">
        <f t="shared" ca="1" si="19"/>
        <v>-</v>
      </c>
      <c r="AG4" s="131" t="str">
        <f t="shared" ca="1" si="19"/>
        <v>-</v>
      </c>
    </row>
    <row r="5" spans="1:33" ht="13.5" thickBot="1" x14ac:dyDescent="0.25">
      <c r="A5" s="72" t="s">
        <v>173</v>
      </c>
      <c r="B5" s="73" t="str">
        <f ca="1">IFERROR(MAX(INDIRECT("'"&amp;A1&amp;"'!"&amp;"$N$2:$N$77")),"-")</f>
        <v>-</v>
      </c>
      <c r="D5" s="72" t="s">
        <v>173</v>
      </c>
      <c r="E5" s="73">
        <f ca="1">IFERROR(MAX(INDIRECT("'"&amp;D1&amp;"'!"&amp;"$N$2:$N$77")),"-")</f>
        <v>5.12</v>
      </c>
      <c r="G5" s="72" t="s">
        <v>173</v>
      </c>
      <c r="H5" s="73">
        <f ca="1">IFERROR(MAX(INDIRECT("'"&amp;G1&amp;"'!"&amp;"$N$2:$N$77")),"-")</f>
        <v>4.7</v>
      </c>
      <c r="J5" s="72" t="s">
        <v>173</v>
      </c>
      <c r="K5" s="73">
        <f ca="1">IFERROR(MAX(INDIRECT("'"&amp;J1&amp;"'!"&amp;"$N$2:$N$77")),"-")</f>
        <v>3.5</v>
      </c>
      <c r="N5" s="3" t="s">
        <v>195</v>
      </c>
      <c r="O5" s="131">
        <f t="shared" ref="O5:Q5" ca="1" si="20">IFERROR(_xlfn.STDEV.P(INDIRECT("'"&amp;O1&amp;"'!"&amp;"$J$2:$J$77")),"-")</f>
        <v>1.7769964289760543</v>
      </c>
      <c r="P5" s="131">
        <f t="shared" ca="1" si="20"/>
        <v>2.268975443262919</v>
      </c>
      <c r="Q5" s="131">
        <f t="shared" ca="1" si="20"/>
        <v>2.4639222273404395</v>
      </c>
      <c r="R5" s="131">
        <f ca="1">IFERROR(_xlfn.STDEV.P(INDIRECT("'"&amp;R1&amp;"'!"&amp;"$J$2:$J$77")),"-")</f>
        <v>2.4686933079847893</v>
      </c>
      <c r="S5" s="131">
        <f t="shared" ref="S5:AC5" ca="1" si="21">IFERROR(_xlfn.STDEV.P(INDIRECT("'"&amp;S1&amp;"'!"&amp;"$J$2:$J$77")),"-")</f>
        <v>2.0290624583372945</v>
      </c>
      <c r="T5" s="131">
        <f t="shared" ca="1" si="21"/>
        <v>2.1436065151904073</v>
      </c>
      <c r="U5" s="131">
        <f t="shared" ca="1" si="21"/>
        <v>2.2887078876549198</v>
      </c>
      <c r="V5" s="131" t="str">
        <f t="shared" ca="1" si="21"/>
        <v>-</v>
      </c>
      <c r="W5" s="131" t="str">
        <f t="shared" ca="1" si="21"/>
        <v>-</v>
      </c>
      <c r="X5" s="131" t="str">
        <f t="shared" ca="1" si="21"/>
        <v>-</v>
      </c>
      <c r="Y5" s="131" t="str">
        <f t="shared" ca="1" si="21"/>
        <v>-</v>
      </c>
      <c r="Z5" s="131" t="str">
        <f t="shared" ca="1" si="21"/>
        <v>-</v>
      </c>
      <c r="AA5" s="131" t="str">
        <f t="shared" ca="1" si="21"/>
        <v>-</v>
      </c>
      <c r="AB5" s="131" t="str">
        <f t="shared" ca="1" si="21"/>
        <v>-</v>
      </c>
      <c r="AC5" s="131" t="str">
        <f t="shared" ca="1" si="21"/>
        <v>-</v>
      </c>
      <c r="AD5" s="131" t="str">
        <f t="shared" ref="AD5:AG5" ca="1" si="22">IFERROR(_xlfn.STDEV.P(INDIRECT("'"&amp;AD1&amp;"'!"&amp;"$J$2:$J$77")),"-")</f>
        <v>-</v>
      </c>
      <c r="AE5" s="131" t="str">
        <f t="shared" ca="1" si="22"/>
        <v>-</v>
      </c>
      <c r="AF5" s="131" t="str">
        <f t="shared" ca="1" si="22"/>
        <v>-</v>
      </c>
      <c r="AG5" s="131" t="str">
        <f t="shared" ca="1" si="22"/>
        <v>-</v>
      </c>
    </row>
    <row r="6" spans="1:33" ht="13.5" thickBot="1" x14ac:dyDescent="0.25">
      <c r="A6" s="72" t="s">
        <v>174</v>
      </c>
      <c r="B6" s="73" t="str">
        <f ca="1">IFERROR(AVERAGE(INDIRECT("'"&amp;A1&amp;"'!"&amp;"$H$2:$H$77"),INDIRECT("'"&amp;A1&amp;"'!"&amp;"$N$2:$N$77")),"-")</f>
        <v>-</v>
      </c>
      <c r="D6" s="72" t="s">
        <v>174</v>
      </c>
      <c r="E6" s="73">
        <f ca="1">IFERROR(AVERAGE(INDIRECT("'"&amp;D1&amp;"'!"&amp;"$H$2:$H$77"),INDIRECT("'"&amp;D1&amp;"'!"&amp;"$N$2:$N$77")),"-")</f>
        <v>2.7424719101123589</v>
      </c>
      <c r="G6" s="72" t="s">
        <v>174</v>
      </c>
      <c r="H6" s="73">
        <f ca="1">IFERROR(AVERAGE(INDIRECT("'"&amp;G1&amp;"'!"&amp;"$H$2:$H$77"),INDIRECT("'"&amp;G1&amp;"'!"&amp;"$N$2:$N$77")),"-")</f>
        <v>2.2743999999999995</v>
      </c>
      <c r="J6" s="72" t="s">
        <v>174</v>
      </c>
      <c r="K6" s="73">
        <f ca="1">IFERROR(AVERAGE(INDIRECT("'"&amp;J1&amp;"'!"&amp;"$H$2:$H$77"),INDIRECT("'"&amp;J1&amp;"'!"&amp;"$N$2:$N$77")),"-")</f>
        <v>1.6825000000000006</v>
      </c>
      <c r="N6" s="3" t="s">
        <v>178</v>
      </c>
      <c r="O6" s="131">
        <f t="shared" ref="O6:Q6" ca="1" si="23">IFERROR(AVERAGE(INDIRECT("'"&amp;O1&amp;"'!"&amp;"$H$2:$H$77"),INDIRECT("'"&amp;O1&amp;"'!"&amp;"$N$2:$N$77")),"-")</f>
        <v>2.7424719101123589</v>
      </c>
      <c r="P6" s="131">
        <f t="shared" ca="1" si="23"/>
        <v>2.2743999999999995</v>
      </c>
      <c r="Q6" s="131">
        <f t="shared" ca="1" si="23"/>
        <v>1.6825000000000006</v>
      </c>
      <c r="R6" s="131">
        <f ca="1">IFERROR(AVERAGE(INDIRECT("'"&amp;R1&amp;"'!"&amp;"$H$2:$H$77"),INDIRECT("'"&amp;R1&amp;"'!"&amp;"$N$2:$N$77")),"-")</f>
        <v>0.80092105263157887</v>
      </c>
      <c r="S6" s="131">
        <f t="shared" ref="S6:AC6" ca="1" si="24">IFERROR(AVERAGE(INDIRECT("'"&amp;S1&amp;"'!"&amp;"$H$2:$H$77"),INDIRECT("'"&amp;S1&amp;"'!"&amp;"$N$2:$N$77")),"-")</f>
        <v>1.969736842105263</v>
      </c>
      <c r="T6" s="131">
        <f t="shared" ca="1" si="24"/>
        <v>1.687236842105263</v>
      </c>
      <c r="U6" s="131">
        <f t="shared" ca="1" si="24"/>
        <v>1.6550657894736835</v>
      </c>
      <c r="V6" s="131" t="str">
        <f t="shared" ca="1" si="24"/>
        <v>-</v>
      </c>
      <c r="W6" s="131" t="str">
        <f t="shared" ca="1" si="24"/>
        <v>-</v>
      </c>
      <c r="X6" s="131" t="str">
        <f t="shared" ca="1" si="24"/>
        <v>-</v>
      </c>
      <c r="Y6" s="131" t="str">
        <f t="shared" ca="1" si="24"/>
        <v>-</v>
      </c>
      <c r="Z6" s="131" t="str">
        <f t="shared" ca="1" si="24"/>
        <v>-</v>
      </c>
      <c r="AA6" s="131" t="str">
        <f t="shared" ca="1" si="24"/>
        <v>-</v>
      </c>
      <c r="AB6" s="131" t="str">
        <f t="shared" ca="1" si="24"/>
        <v>-</v>
      </c>
      <c r="AC6" s="131" t="str">
        <f t="shared" ca="1" si="24"/>
        <v>-</v>
      </c>
      <c r="AD6" s="131" t="str">
        <f t="shared" ref="AD6:AG6" ca="1" si="25">IFERROR(AVERAGE(INDIRECT("'"&amp;AD1&amp;"'!"&amp;"$H$2:$H$77"),INDIRECT("'"&amp;AD1&amp;"'!"&amp;"$N$2:$N$77")),"-")</f>
        <v>-</v>
      </c>
      <c r="AE6" s="131" t="str">
        <f t="shared" ca="1" si="25"/>
        <v>-</v>
      </c>
      <c r="AF6" s="131" t="str">
        <f t="shared" ca="1" si="25"/>
        <v>-</v>
      </c>
      <c r="AG6" s="131" t="str">
        <f t="shared" ca="1" si="25"/>
        <v>-</v>
      </c>
    </row>
    <row r="7" spans="1:33" ht="13.5" thickBot="1" x14ac:dyDescent="0.25">
      <c r="A7" s="72" t="s">
        <v>175</v>
      </c>
      <c r="B7" s="74" t="str">
        <f ca="1">IFERROR(SUM(INDIRECT("'"&amp;A1&amp;"'!"&amp;"$D$2:$D$77"),(INDIRECT("'"&amp;A1&amp;"'!"&amp;"$I$2:$I$77"))),"-")</f>
        <v>-</v>
      </c>
      <c r="D7" s="72" t="s">
        <v>175</v>
      </c>
      <c r="E7" s="74">
        <f ca="1">IFERROR(SUM(INDIRECT("'"&amp;D1&amp;"'!"&amp;"$D$2:$D$77"),(INDIRECT("'"&amp;D1&amp;"'!"&amp;"$I$2:$I$77"))),"-")</f>
        <v>858</v>
      </c>
      <c r="G7" s="72" t="s">
        <v>175</v>
      </c>
      <c r="H7" s="74">
        <f ca="1">IFERROR(SUM(INDIRECT("'"&amp;G1&amp;"'!"&amp;"$D$2:$D$77"),(INDIRECT("'"&amp;G1&amp;"'!"&amp;"$I$2:$I$77"))),"-")</f>
        <v>741</v>
      </c>
      <c r="J7" s="72" t="s">
        <v>175</v>
      </c>
      <c r="K7" s="74">
        <f ca="1">IFERROR(SUM(INDIRECT("'"&amp;J1&amp;"'!"&amp;"$D$2:$D$77"),(INDIRECT("'"&amp;J1&amp;"'!"&amp;"$I$2:$I$77"))),"-")</f>
        <v>521</v>
      </c>
      <c r="N7" s="3" t="s">
        <v>196</v>
      </c>
      <c r="O7" s="131">
        <f t="shared" ref="O7:Q7" ca="1" si="26">IFERROR(_xlfn.STDEV.P(INDIRECT("'"&amp;O1&amp;"'!"&amp;"$H$2:$H$77"),INDIRECT("'"&amp;O1&amp;"'!"&amp;"$N$2:$N$77")),"-")</f>
        <v>0.64857195056035222</v>
      </c>
      <c r="P7" s="131">
        <f t="shared" ca="1" si="26"/>
        <v>0.56164814608436331</v>
      </c>
      <c r="Q7" s="131">
        <f t="shared" ca="1" si="26"/>
        <v>0.89807487819340803</v>
      </c>
      <c r="R7" s="131">
        <f ca="1">IFERROR(_xlfn.STDEV.P(INDIRECT("'"&amp;R1&amp;"'!"&amp;"$H$2:$H$77"),INDIRECT("'"&amp;R1&amp;"'!"&amp;"$N$2:$N$77")),"-")</f>
        <v>1.0438027359908812</v>
      </c>
      <c r="S7" s="131">
        <f t="shared" ref="S7:AC7" ca="1" si="27">IFERROR(_xlfn.STDEV.P(INDIRECT("'"&amp;S1&amp;"'!"&amp;"$H$2:$H$77"),INDIRECT("'"&amp;S1&amp;"'!"&amp;"$N$2:$N$77")),"-")</f>
        <v>0.80017427983930167</v>
      </c>
      <c r="T7" s="131">
        <f t="shared" ca="1" si="27"/>
        <v>0.94464710576602906</v>
      </c>
      <c r="U7" s="131">
        <f t="shared" ca="1" si="27"/>
        <v>0.98035975989921276</v>
      </c>
      <c r="V7" s="131" t="str">
        <f t="shared" ca="1" si="27"/>
        <v>-</v>
      </c>
      <c r="W7" s="131" t="str">
        <f t="shared" ca="1" si="27"/>
        <v>-</v>
      </c>
      <c r="X7" s="131" t="str">
        <f t="shared" ca="1" si="27"/>
        <v>-</v>
      </c>
      <c r="Y7" s="131" t="str">
        <f t="shared" ca="1" si="27"/>
        <v>-</v>
      </c>
      <c r="Z7" s="131" t="str">
        <f t="shared" ca="1" si="27"/>
        <v>-</v>
      </c>
      <c r="AA7" s="131" t="str">
        <f t="shared" ca="1" si="27"/>
        <v>-</v>
      </c>
      <c r="AB7" s="131" t="str">
        <f t="shared" ca="1" si="27"/>
        <v>-</v>
      </c>
      <c r="AC7" s="131" t="str">
        <f t="shared" ca="1" si="27"/>
        <v>-</v>
      </c>
      <c r="AD7" s="131" t="str">
        <f t="shared" ref="AD7:AG7" ca="1" si="28">IFERROR(_xlfn.STDEV.P(INDIRECT("'"&amp;AD1&amp;"'!"&amp;"$H$2:$H$77"),INDIRECT("'"&amp;AD1&amp;"'!"&amp;"$N$2:$N$77")),"-")</f>
        <v>-</v>
      </c>
      <c r="AE7" s="131" t="str">
        <f t="shared" ca="1" si="28"/>
        <v>-</v>
      </c>
      <c r="AF7" s="131" t="str">
        <f t="shared" ca="1" si="28"/>
        <v>-</v>
      </c>
      <c r="AG7" s="131" t="str">
        <f t="shared" ca="1" si="28"/>
        <v>-</v>
      </c>
    </row>
    <row r="8" spans="1:33" ht="13.5" thickBot="1" x14ac:dyDescent="0.25">
      <c r="A8" s="72" t="s">
        <v>176</v>
      </c>
      <c r="B8" s="74" t="str">
        <f ca="1">IFERROR(SUM(INDIRECT("'"&amp;A1&amp;"'!"&amp;"$F$2:$F$77"),(INDIRECT("'"&amp;A1&amp;"'!"&amp;"$K$2:$K$77"))),"-")</f>
        <v>-</v>
      </c>
      <c r="D8" s="72" t="s">
        <v>176</v>
      </c>
      <c r="E8" s="74">
        <f ca="1">IFERROR(SUM(INDIRECT("'"&amp;D1&amp;"'!"&amp;"$F$2:$F$77"),(INDIRECT("'"&amp;D1&amp;"'!"&amp;"$K$2:$K$77"))),"-")</f>
        <v>822</v>
      </c>
      <c r="G8" s="72" t="s">
        <v>176</v>
      </c>
      <c r="H8" s="74">
        <f ca="1">IFERROR(SUM(INDIRECT("'"&amp;G1&amp;"'!"&amp;"$F$2:$F$77"),(INDIRECT("'"&amp;G1&amp;"'!"&amp;"$K$2:$K$77"))),"-")</f>
        <v>712</v>
      </c>
      <c r="J8" s="72" t="s">
        <v>176</v>
      </c>
      <c r="K8" s="74">
        <f ca="1">IFERROR(SUM(INDIRECT("'"&amp;J1&amp;"'!"&amp;"$F$2:$F$77"),(INDIRECT("'"&amp;J1&amp;"'!"&amp;"$K$2:$K$77"))),"-")</f>
        <v>508</v>
      </c>
      <c r="N8" s="3" t="s">
        <v>175</v>
      </c>
      <c r="O8" s="132">
        <f t="shared" ref="O8:Q8" ca="1" si="29">IFERROR(SUM(INDIRECT("'"&amp;O1&amp;"'!"&amp;"$D$2:$D$77"),(INDIRECT("'"&amp;O1&amp;"'!"&amp;"$I$2:$I$77"))),"-")</f>
        <v>858</v>
      </c>
      <c r="P8" s="132">
        <f t="shared" ca="1" si="29"/>
        <v>741</v>
      </c>
      <c r="Q8" s="132">
        <f t="shared" ca="1" si="29"/>
        <v>521</v>
      </c>
      <c r="R8" s="132">
        <f ca="1">IFERROR(SUM(INDIRECT("'"&amp;R1&amp;"'!"&amp;"$D$2:$D$77"),(INDIRECT("'"&amp;R1&amp;"'!"&amp;"$I$2:$I$77"))),"-")</f>
        <v>256</v>
      </c>
      <c r="S8" s="132">
        <f t="shared" ref="S8:AC8" ca="1" si="30">IFERROR(SUM(INDIRECT("'"&amp;S1&amp;"'!"&amp;"$D$2:$D$77"),(INDIRECT("'"&amp;S1&amp;"'!"&amp;"$I$2:$I$77"))),"-")</f>
        <v>355</v>
      </c>
      <c r="T8" s="132">
        <f t="shared" ca="1" si="30"/>
        <v>296</v>
      </c>
      <c r="U8" s="132">
        <f t="shared" ca="1" si="30"/>
        <v>259</v>
      </c>
      <c r="V8" s="132" t="str">
        <f t="shared" ca="1" si="30"/>
        <v>-</v>
      </c>
      <c r="W8" s="132" t="str">
        <f t="shared" ca="1" si="30"/>
        <v>-</v>
      </c>
      <c r="X8" s="132" t="str">
        <f t="shared" ca="1" si="30"/>
        <v>-</v>
      </c>
      <c r="Y8" s="132" t="str">
        <f t="shared" ca="1" si="30"/>
        <v>-</v>
      </c>
      <c r="Z8" s="132" t="str">
        <f t="shared" ca="1" si="30"/>
        <v>-</v>
      </c>
      <c r="AA8" s="132" t="str">
        <f t="shared" ca="1" si="30"/>
        <v>-</v>
      </c>
      <c r="AB8" s="132" t="str">
        <f t="shared" ca="1" si="30"/>
        <v>-</v>
      </c>
      <c r="AC8" s="132" t="str">
        <f t="shared" ca="1" si="30"/>
        <v>-</v>
      </c>
      <c r="AD8" s="132" t="str">
        <f t="shared" ref="AD8:AG8" ca="1" si="31">IFERROR(SUM(INDIRECT("'"&amp;AD1&amp;"'!"&amp;"$D$2:$D$77"),(INDIRECT("'"&amp;AD1&amp;"'!"&amp;"$I$2:$I$77"))),"-")</f>
        <v>-</v>
      </c>
      <c r="AE8" s="132" t="str">
        <f t="shared" ca="1" si="31"/>
        <v>-</v>
      </c>
      <c r="AF8" s="132" t="str">
        <f t="shared" ca="1" si="31"/>
        <v>-</v>
      </c>
      <c r="AG8" s="132" t="str">
        <f t="shared" ca="1" si="31"/>
        <v>-</v>
      </c>
    </row>
    <row r="9" spans="1:33" x14ac:dyDescent="0.2">
      <c r="N9" s="3" t="s">
        <v>176</v>
      </c>
      <c r="O9" s="132">
        <f t="shared" ref="O9:Q9" ca="1" si="32">IFERROR(SUM(INDIRECT("'"&amp;O1&amp;"'!"&amp;"$F$2:$F$77"),(INDIRECT("'"&amp;O1&amp;"'!"&amp;"$K$2:$K$77"))),"-")</f>
        <v>822</v>
      </c>
      <c r="P9" s="132">
        <f t="shared" ca="1" si="32"/>
        <v>712</v>
      </c>
      <c r="Q9" s="132">
        <f t="shared" ca="1" si="32"/>
        <v>508</v>
      </c>
      <c r="R9" s="132">
        <f ca="1">IFERROR(SUM(INDIRECT("'"&amp;R1&amp;"'!"&amp;"$F$2:$F$77"),(INDIRECT("'"&amp;R1&amp;"'!"&amp;"$K$2:$K$77"))),"-")</f>
        <v>255</v>
      </c>
      <c r="S9" s="132">
        <f t="shared" ref="S9:AC9" ca="1" si="33">IFERROR(SUM(INDIRECT("'"&amp;S1&amp;"'!"&amp;"$F$2:$F$77"),(INDIRECT("'"&amp;S1&amp;"'!"&amp;"$K$2:$K$77"))),"-")</f>
        <v>354</v>
      </c>
      <c r="T9" s="132">
        <f t="shared" ca="1" si="33"/>
        <v>292</v>
      </c>
      <c r="U9" s="132">
        <f t="shared" ca="1" si="33"/>
        <v>259</v>
      </c>
      <c r="V9" s="132" t="str">
        <f t="shared" ca="1" si="33"/>
        <v>-</v>
      </c>
      <c r="W9" s="132" t="str">
        <f t="shared" ca="1" si="33"/>
        <v>-</v>
      </c>
      <c r="X9" s="132" t="str">
        <f t="shared" ca="1" si="33"/>
        <v>-</v>
      </c>
      <c r="Y9" s="132" t="str">
        <f t="shared" ca="1" si="33"/>
        <v>-</v>
      </c>
      <c r="Z9" s="132" t="str">
        <f t="shared" ca="1" si="33"/>
        <v>-</v>
      </c>
      <c r="AA9" s="132" t="str">
        <f t="shared" ca="1" si="33"/>
        <v>-</v>
      </c>
      <c r="AB9" s="132" t="str">
        <f t="shared" ca="1" si="33"/>
        <v>-</v>
      </c>
      <c r="AC9" s="132" t="str">
        <f t="shared" ca="1" si="33"/>
        <v>-</v>
      </c>
      <c r="AD9" s="132" t="str">
        <f t="shared" ref="AD9:AG9" ca="1" si="34">IFERROR(SUM(INDIRECT("'"&amp;AD1&amp;"'!"&amp;"$F$2:$F$77"),(INDIRECT("'"&amp;AD1&amp;"'!"&amp;"$K$2:$K$77"))),"-")</f>
        <v>-</v>
      </c>
      <c r="AE9" s="132" t="str">
        <f t="shared" ca="1" si="34"/>
        <v>-</v>
      </c>
      <c r="AF9" s="132" t="str">
        <f t="shared" ca="1" si="34"/>
        <v>-</v>
      </c>
      <c r="AG9" s="132" t="str">
        <f t="shared" ca="1" si="34"/>
        <v>-</v>
      </c>
    </row>
    <row r="11" spans="1:33" ht="13.5" thickBot="1" x14ac:dyDescent="0.25">
      <c r="A11" s="174">
        <v>2019</v>
      </c>
      <c r="B11" s="174"/>
      <c r="D11" s="174">
        <v>2020</v>
      </c>
      <c r="E11" s="174"/>
      <c r="G11" s="174">
        <v>2021</v>
      </c>
      <c r="H11" s="174"/>
      <c r="J11" s="174">
        <v>2022</v>
      </c>
      <c r="K11" s="174"/>
    </row>
    <row r="12" spans="1:33" ht="13.5" thickBot="1" x14ac:dyDescent="0.25">
      <c r="A12" s="72" t="s">
        <v>170</v>
      </c>
      <c r="B12" s="73">
        <f ca="1">IFERROR(AVERAGE(INDIRECT("'"&amp;A11&amp;"'!"&amp;"$E$2:$E$77")),"-")</f>
        <v>2.7257894736842099</v>
      </c>
      <c r="D12" s="72" t="s">
        <v>170</v>
      </c>
      <c r="E12" s="73">
        <f ca="1">IFERROR(AVERAGE(INDIRECT("'"&amp;D11&amp;"'!"&amp;"$E$2:$E$77")),"-")</f>
        <v>4.291052631578947</v>
      </c>
      <c r="G12" s="72" t="s">
        <v>170</v>
      </c>
      <c r="H12" s="73">
        <f ca="1">IFERROR(AVERAGE(INDIRECT("'"&amp;G11&amp;"'!"&amp;"$E$2:$E$77")),"-")</f>
        <v>3.4418421052631585</v>
      </c>
      <c r="J12" s="72" t="s">
        <v>170</v>
      </c>
      <c r="K12" s="73">
        <f ca="1">IFERROR(AVERAGE(INDIRECT("'"&amp;J11&amp;"'!"&amp;"$E$2:$E$77")),"-")</f>
        <v>2.9249342105263154</v>
      </c>
    </row>
    <row r="13" spans="1:33" ht="13.5" thickBot="1" x14ac:dyDescent="0.25">
      <c r="A13" s="72" t="s">
        <v>171</v>
      </c>
      <c r="B13" s="73">
        <f ca="1">IFERROR(AVERAGE(INDIRECT("'"&amp;A11&amp;"'!"&amp;"$J$2:$J$77")),"-")</f>
        <v>2.9898666666666673</v>
      </c>
      <c r="C13" s="6"/>
      <c r="D13" s="72" t="s">
        <v>171</v>
      </c>
      <c r="E13" s="73">
        <f ca="1">IFERROR(AVERAGE(INDIRECT("'"&amp;D11&amp;"'!"&amp;"$J$2:$J$77")),"-")</f>
        <v>3.7194736842105272</v>
      </c>
      <c r="G13" s="72" t="s">
        <v>171</v>
      </c>
      <c r="H13" s="73">
        <f ca="1">IFERROR(AVERAGE(INDIRECT("'"&amp;G11&amp;"'!"&amp;"$J$2:$J$77")),"-")</f>
        <v>3.0610526315789475</v>
      </c>
      <c r="J13" s="72" t="s">
        <v>171</v>
      </c>
      <c r="K13" s="73">
        <f ca="1">IFERROR(AVERAGE(INDIRECT("'"&amp;J11&amp;"'!"&amp;"$J$2:$J$77")),"-")</f>
        <v>3.2936842105263167</v>
      </c>
    </row>
    <row r="14" spans="1:33" ht="13.5" thickBot="1" x14ac:dyDescent="0.25">
      <c r="A14" s="72" t="s">
        <v>172</v>
      </c>
      <c r="B14" s="73">
        <f ca="1">IFERROR(MAX(INDIRECT("'"&amp;A11&amp;"'!"&amp;"$H$2:$H$77")),"-")</f>
        <v>2.98</v>
      </c>
      <c r="D14" s="72" t="s">
        <v>172</v>
      </c>
      <c r="E14" s="73">
        <f ca="1">IFERROR(MAX(INDIRECT("'"&amp;D11&amp;"'!"&amp;"$H$2:$H$77")),"-")</f>
        <v>5.66</v>
      </c>
      <c r="G14" s="72" t="s">
        <v>172</v>
      </c>
      <c r="H14" s="73">
        <f ca="1">IFERROR(MAX(INDIRECT("'"&amp;G11&amp;"'!"&amp;"$H$2:$H$77")),"-")</f>
        <v>6.64</v>
      </c>
      <c r="J14" s="72" t="s">
        <v>172</v>
      </c>
      <c r="K14" s="73">
        <f ca="1">IFERROR(MAX(INDIRECT("'"&amp;J11&amp;"'!"&amp;"$H$2:$H$77")),"-")</f>
        <v>2.81</v>
      </c>
    </row>
    <row r="15" spans="1:33" ht="13.5" thickBot="1" x14ac:dyDescent="0.25">
      <c r="A15" s="72" t="s">
        <v>173</v>
      </c>
      <c r="B15" s="73">
        <f ca="1">IFERROR(MAX(INDIRECT("'"&amp;A11&amp;"'!"&amp;"$N$2:$N$77")),"-")</f>
        <v>2</v>
      </c>
      <c r="D15" s="72" t="s">
        <v>173</v>
      </c>
      <c r="E15" s="73">
        <f ca="1">IFERROR(MAX(INDIRECT("'"&amp;D11&amp;"'!"&amp;"$N$2:$N$77")),"-")</f>
        <v>3.26</v>
      </c>
      <c r="G15" s="72" t="s">
        <v>173</v>
      </c>
      <c r="H15" s="73">
        <f ca="1">IFERROR(MAX(INDIRECT("'"&amp;G11&amp;"'!"&amp;"$N$2:$N$77")),"-")</f>
        <v>3.04</v>
      </c>
      <c r="J15" s="72" t="s">
        <v>173</v>
      </c>
      <c r="K15" s="73">
        <f ca="1">IFERROR(MAX(INDIRECT("'"&amp;J11&amp;"'!"&amp;"$N$2:$N$77")),"-")</f>
        <v>4.5999999999999996</v>
      </c>
    </row>
    <row r="16" spans="1:33" ht="13.5" thickBot="1" x14ac:dyDescent="0.25">
      <c r="A16" s="72" t="s">
        <v>174</v>
      </c>
      <c r="B16" s="73">
        <f ca="1">IFERROR(AVERAGE(INDIRECT("'"&amp;A11&amp;"'!"&amp;"$H$2:$H$77"),INDIRECT("'"&amp;A11&amp;"'!"&amp;"$N$2:$N$77")),"-")</f>
        <v>0.80092105263157887</v>
      </c>
      <c r="D16" s="72" t="s">
        <v>174</v>
      </c>
      <c r="E16" s="73">
        <f ca="1">IFERROR(AVERAGE(INDIRECT("'"&amp;D11&amp;"'!"&amp;"$H$2:$H$77"),INDIRECT("'"&amp;D11&amp;"'!"&amp;"$N$2:$N$77")),"-")</f>
        <v>1.969736842105263</v>
      </c>
      <c r="G16" s="72" t="s">
        <v>174</v>
      </c>
      <c r="H16" s="73">
        <f ca="1">IFERROR(AVERAGE(INDIRECT("'"&amp;G11&amp;"'!"&amp;"$H$2:$H$77"),INDIRECT("'"&amp;G11&amp;"'!"&amp;"$N$2:$N$77")),"-")</f>
        <v>1.687236842105263</v>
      </c>
      <c r="J16" s="72" t="s">
        <v>174</v>
      </c>
      <c r="K16" s="73">
        <f ca="1">IFERROR(AVERAGE(INDIRECT("'"&amp;J11&amp;"'!"&amp;"$H$2:$H$77"),INDIRECT("'"&amp;J11&amp;"'!"&amp;"$N$2:$N$77")),"-")</f>
        <v>1.6550657894736835</v>
      </c>
    </row>
    <row r="17" spans="1:11" ht="13.5" thickBot="1" x14ac:dyDescent="0.25">
      <c r="A17" s="72" t="s">
        <v>175</v>
      </c>
      <c r="B17" s="74">
        <f ca="1">IFERROR(SUM(INDIRECT("'"&amp;A11&amp;"'!"&amp;"$D$2:$D$77"),(INDIRECT("'"&amp;A11&amp;"'!"&amp;"$I$2:$I$77"))),"-")</f>
        <v>256</v>
      </c>
      <c r="D17" s="72" t="s">
        <v>175</v>
      </c>
      <c r="E17" s="74">
        <f ca="1">IFERROR(SUM(INDIRECT("'"&amp;D11&amp;"'!"&amp;"$D$2:$D$77"),(INDIRECT("'"&amp;D11&amp;"'!"&amp;"$I$2:$I$77"))),"-")</f>
        <v>355</v>
      </c>
      <c r="G17" s="72" t="s">
        <v>175</v>
      </c>
      <c r="H17" s="74">
        <f ca="1">IFERROR(SUM(INDIRECT("'"&amp;G11&amp;"'!"&amp;"$D$2:$D$77"),(INDIRECT("'"&amp;G11&amp;"'!"&amp;"$I$2:$I$77"))),"-")</f>
        <v>296</v>
      </c>
      <c r="J17" s="72" t="s">
        <v>175</v>
      </c>
      <c r="K17" s="74">
        <f ca="1">IFERROR(SUM(INDIRECT("'"&amp;J11&amp;"'!"&amp;"$D$2:$D$77"),(INDIRECT("'"&amp;J11&amp;"'!"&amp;"$I$2:$I$77"))),"-")</f>
        <v>259</v>
      </c>
    </row>
    <row r="18" spans="1:11" ht="13.5" thickBot="1" x14ac:dyDescent="0.25">
      <c r="A18" s="72" t="s">
        <v>176</v>
      </c>
      <c r="B18" s="74">
        <f ca="1">IFERROR(SUM(INDIRECT("'"&amp;A11&amp;"'!"&amp;"$F$2:$F$77"),(INDIRECT("'"&amp;A11&amp;"'!"&amp;"$K$2:$K$77"))),"-")</f>
        <v>255</v>
      </c>
      <c r="D18" s="72" t="s">
        <v>176</v>
      </c>
      <c r="E18" s="74">
        <f ca="1">IFERROR(SUM(INDIRECT("'"&amp;D11&amp;"'!"&amp;"$F$2:$F$77"),(INDIRECT("'"&amp;D11&amp;"'!"&amp;"$K$2:$K$77"))),"-")</f>
        <v>354</v>
      </c>
      <c r="G18" s="72" t="s">
        <v>176</v>
      </c>
      <c r="H18" s="74">
        <f ca="1">IFERROR(SUM(INDIRECT("'"&amp;G11&amp;"'!"&amp;"$F$2:$F$77"),(INDIRECT("'"&amp;G11&amp;"'!"&amp;"$K$2:$K$77"))),"-")</f>
        <v>292</v>
      </c>
      <c r="J18" s="72" t="s">
        <v>176</v>
      </c>
      <c r="K18" s="74">
        <f ca="1">IFERROR(SUM(INDIRECT("'"&amp;J11&amp;"'!"&amp;"$F$2:$F$77"),(INDIRECT("'"&amp;J11&amp;"'!"&amp;"$K$2:$K$77"))),"-")</f>
        <v>259</v>
      </c>
    </row>
    <row r="21" spans="1:11" ht="13.5" thickBot="1" x14ac:dyDescent="0.25">
      <c r="A21" s="174">
        <v>2023</v>
      </c>
      <c r="B21" s="174"/>
      <c r="D21" s="174">
        <v>2024</v>
      </c>
      <c r="E21" s="174"/>
      <c r="G21" s="174">
        <v>2025</v>
      </c>
      <c r="H21" s="174"/>
      <c r="J21" s="174">
        <v>2026</v>
      </c>
      <c r="K21" s="174"/>
    </row>
    <row r="22" spans="1:11" ht="13.5" thickBot="1" x14ac:dyDescent="0.25">
      <c r="A22" s="72" t="s">
        <v>170</v>
      </c>
      <c r="B22" s="73" t="str">
        <f ca="1">IFERROR(AVERAGE(INDIRECT("'"&amp;A21&amp;"'!"&amp;"$E$2:$E$77")),"-")</f>
        <v>-</v>
      </c>
      <c r="D22" s="72" t="s">
        <v>170</v>
      </c>
      <c r="E22" s="73" t="str">
        <f ca="1">IFERROR(AVERAGE(INDIRECT("'"&amp;D21&amp;"'!"&amp;"$E$2:$E$77")),"-")</f>
        <v>-</v>
      </c>
      <c r="G22" s="72" t="s">
        <v>170</v>
      </c>
      <c r="H22" s="73" t="str">
        <f ca="1">IFERROR(AVERAGE(INDIRECT("'"&amp;G21&amp;"'!"&amp;"$E$2:$E$77")),"-")</f>
        <v>-</v>
      </c>
      <c r="J22" s="72" t="s">
        <v>170</v>
      </c>
      <c r="K22" s="73" t="str">
        <f ca="1">IFERROR(AVERAGE(INDIRECT("'"&amp;J21&amp;"'!"&amp;"$E$2:$E$77")),"-")</f>
        <v>-</v>
      </c>
    </row>
    <row r="23" spans="1:11" ht="13.5" thickBot="1" x14ac:dyDescent="0.25">
      <c r="A23" s="72" t="s">
        <v>171</v>
      </c>
      <c r="B23" s="73" t="str">
        <f ca="1">IFERROR(AVERAGE(INDIRECT("'"&amp;A21&amp;"'!"&amp;"$J$2:$J$77")),"-")</f>
        <v>-</v>
      </c>
      <c r="C23" s="6"/>
      <c r="D23" s="72" t="s">
        <v>171</v>
      </c>
      <c r="E23" s="73" t="str">
        <f ca="1">IFERROR(AVERAGE(INDIRECT("'"&amp;D21&amp;"'!"&amp;"$J$2:$J$77")),"-")</f>
        <v>-</v>
      </c>
      <c r="G23" s="72" t="s">
        <v>171</v>
      </c>
      <c r="H23" s="73" t="str">
        <f ca="1">IFERROR(AVERAGE(INDIRECT("'"&amp;G21&amp;"'!"&amp;"$J$2:$J$77")),"-")</f>
        <v>-</v>
      </c>
      <c r="J23" s="72" t="s">
        <v>171</v>
      </c>
      <c r="K23" s="73" t="str">
        <f ca="1">IFERROR(AVERAGE(INDIRECT("'"&amp;J21&amp;"'!"&amp;"$J$2:$J$77")),"-")</f>
        <v>-</v>
      </c>
    </row>
    <row r="24" spans="1:11" ht="13.5" thickBot="1" x14ac:dyDescent="0.25">
      <c r="A24" s="72" t="s">
        <v>172</v>
      </c>
      <c r="B24" s="73" t="str">
        <f ca="1">IFERROR(MAX(INDIRECT("'"&amp;A21&amp;"'!"&amp;"$H$2:$H$77")),"-")</f>
        <v>-</v>
      </c>
      <c r="D24" s="72" t="s">
        <v>172</v>
      </c>
      <c r="E24" s="73" t="str">
        <f ca="1">IFERROR(MAX(INDIRECT("'"&amp;D21&amp;"'!"&amp;"$H$2:$H$77")),"-")</f>
        <v>-</v>
      </c>
      <c r="G24" s="72" t="s">
        <v>172</v>
      </c>
      <c r="H24" s="73" t="str">
        <f ca="1">IFERROR(MAX(INDIRECT("'"&amp;G21&amp;"'!"&amp;"$H$2:$H$77")),"-")</f>
        <v>-</v>
      </c>
      <c r="J24" s="72" t="s">
        <v>172</v>
      </c>
      <c r="K24" s="73" t="str">
        <f ca="1">IFERROR(MAX(INDIRECT("'"&amp;J21&amp;"'!"&amp;"$H$2:$H$77")),"-")</f>
        <v>-</v>
      </c>
    </row>
    <row r="25" spans="1:11" ht="13.5" thickBot="1" x14ac:dyDescent="0.25">
      <c r="A25" s="72" t="s">
        <v>173</v>
      </c>
      <c r="B25" s="73" t="str">
        <f ca="1">IFERROR(MAX(INDIRECT("'"&amp;A21&amp;"'!"&amp;"$N$2:$N$77")),"-")</f>
        <v>-</v>
      </c>
      <c r="D25" s="72" t="s">
        <v>173</v>
      </c>
      <c r="E25" s="73" t="str">
        <f ca="1">IFERROR(MAX(INDIRECT("'"&amp;D21&amp;"'!"&amp;"$N$2:$N$77")),"-")</f>
        <v>-</v>
      </c>
      <c r="G25" s="72" t="s">
        <v>173</v>
      </c>
      <c r="H25" s="73" t="str">
        <f ca="1">IFERROR(MAX(INDIRECT("'"&amp;G21&amp;"'!"&amp;"$N$2:$N$77")),"-")</f>
        <v>-</v>
      </c>
      <c r="J25" s="72" t="s">
        <v>173</v>
      </c>
      <c r="K25" s="73" t="str">
        <f ca="1">IFERROR(MAX(INDIRECT("'"&amp;J21&amp;"'!"&amp;"$N$2:$N$77")),"-")</f>
        <v>-</v>
      </c>
    </row>
    <row r="26" spans="1:11" ht="13.5" thickBot="1" x14ac:dyDescent="0.25">
      <c r="A26" s="72" t="s">
        <v>174</v>
      </c>
      <c r="B26" s="73" t="str">
        <f ca="1">IFERROR(AVERAGE(INDIRECT("'"&amp;A21&amp;"'!"&amp;"$H$2:$H$77"),INDIRECT("'"&amp;A21&amp;"'!"&amp;"$N$2:$N$77")),"-")</f>
        <v>-</v>
      </c>
      <c r="D26" s="72" t="s">
        <v>174</v>
      </c>
      <c r="E26" s="73" t="str">
        <f ca="1">IFERROR(AVERAGE(INDIRECT("'"&amp;D21&amp;"'!"&amp;"$H$2:$H$77"),INDIRECT("'"&amp;D21&amp;"'!"&amp;"$N$2:$N$77")),"-")</f>
        <v>-</v>
      </c>
      <c r="G26" s="72" t="s">
        <v>174</v>
      </c>
      <c r="H26" s="73" t="str">
        <f ca="1">IFERROR(AVERAGE(INDIRECT("'"&amp;G21&amp;"'!"&amp;"$H$2:$H$77"),INDIRECT("'"&amp;G21&amp;"'!"&amp;"$N$2:$N$77")),"-")</f>
        <v>-</v>
      </c>
      <c r="J26" s="72" t="s">
        <v>174</v>
      </c>
      <c r="K26" s="73" t="str">
        <f ca="1">IFERROR(AVERAGE(INDIRECT("'"&amp;J21&amp;"'!"&amp;"$H$2:$H$77"),INDIRECT("'"&amp;J21&amp;"'!"&amp;"$N$2:$N$77")),"-")</f>
        <v>-</v>
      </c>
    </row>
    <row r="27" spans="1:11" ht="13.5" thickBot="1" x14ac:dyDescent="0.25">
      <c r="A27" s="72" t="s">
        <v>175</v>
      </c>
      <c r="B27" s="74" t="str">
        <f ca="1">IFERROR(SUM(INDIRECT("'"&amp;A21&amp;"'!"&amp;"$D$2:$D$77"),(INDIRECT("'"&amp;A21&amp;"'!"&amp;"$I$2:$I$77"))),"-")</f>
        <v>-</v>
      </c>
      <c r="D27" s="72" t="s">
        <v>175</v>
      </c>
      <c r="E27" s="74" t="str">
        <f ca="1">IFERROR(SUM(INDIRECT("'"&amp;D21&amp;"'!"&amp;"$D$2:$D$77"),(INDIRECT("'"&amp;D21&amp;"'!"&amp;"$I$2:$I$77"))),"-")</f>
        <v>-</v>
      </c>
      <c r="G27" s="72" t="s">
        <v>175</v>
      </c>
      <c r="H27" s="74" t="str">
        <f ca="1">IFERROR(SUM(INDIRECT("'"&amp;G21&amp;"'!"&amp;"$D$2:$D$77"),(INDIRECT("'"&amp;G21&amp;"'!"&amp;"$I$2:$I$77"))),"-")</f>
        <v>-</v>
      </c>
      <c r="J27" s="72" t="s">
        <v>175</v>
      </c>
      <c r="K27" s="74" t="str">
        <f ca="1">IFERROR(SUM(INDIRECT("'"&amp;J21&amp;"'!"&amp;"$D$2:$D$77"),(INDIRECT("'"&amp;J21&amp;"'!"&amp;"$I$2:$I$77"))),"-")</f>
        <v>-</v>
      </c>
    </row>
    <row r="28" spans="1:11" ht="13.5" thickBot="1" x14ac:dyDescent="0.25">
      <c r="A28" s="72" t="s">
        <v>176</v>
      </c>
      <c r="B28" s="74" t="str">
        <f ca="1">IFERROR(SUM(INDIRECT("'"&amp;A21&amp;"'!"&amp;"$F$2:$F$77"),(INDIRECT("'"&amp;A21&amp;"'!"&amp;"$K$2:$K$77"))),"-")</f>
        <v>-</v>
      </c>
      <c r="D28" s="72" t="s">
        <v>176</v>
      </c>
      <c r="E28" s="74" t="str">
        <f ca="1">IFERROR(SUM(INDIRECT("'"&amp;D21&amp;"'!"&amp;"$F$2:$F$77"),(INDIRECT("'"&amp;D21&amp;"'!"&amp;"$K$2:$K$77"))),"-")</f>
        <v>-</v>
      </c>
      <c r="G28" s="72" t="s">
        <v>176</v>
      </c>
      <c r="H28" s="74" t="str">
        <f ca="1">IFERROR(SUM(INDIRECT("'"&amp;G21&amp;"'!"&amp;"$F$2:$F$77"),(INDIRECT("'"&amp;G21&amp;"'!"&amp;"$K$2:$K$77"))),"-")</f>
        <v>-</v>
      </c>
      <c r="J28" s="72" t="s">
        <v>176</v>
      </c>
      <c r="K28" s="74" t="str">
        <f ca="1">IFERROR(SUM(INDIRECT("'"&amp;J21&amp;"'!"&amp;"$F$2:$F$77"),(INDIRECT("'"&amp;J21&amp;"'!"&amp;"$K$2:$K$77"))),"-")</f>
        <v>-</v>
      </c>
    </row>
    <row r="31" spans="1:11" ht="13.5" thickBot="1" x14ac:dyDescent="0.25">
      <c r="A31" s="174">
        <v>2027</v>
      </c>
      <c r="B31" s="174"/>
      <c r="D31" s="174">
        <v>2028</v>
      </c>
      <c r="E31" s="174"/>
      <c r="G31" s="174">
        <v>2029</v>
      </c>
      <c r="H31" s="174"/>
      <c r="J31" s="174">
        <v>2030</v>
      </c>
      <c r="K31" s="174"/>
    </row>
    <row r="32" spans="1:11" ht="13.5" thickBot="1" x14ac:dyDescent="0.25">
      <c r="A32" s="72" t="s">
        <v>170</v>
      </c>
      <c r="B32" s="73" t="str">
        <f ca="1">IFERROR(AVERAGE(INDIRECT("'"&amp;A31&amp;"'!"&amp;"$E$2:$E$77")),"-")</f>
        <v>-</v>
      </c>
      <c r="D32" s="72" t="s">
        <v>170</v>
      </c>
      <c r="E32" s="73" t="str">
        <f ca="1">IFERROR(AVERAGE(INDIRECT("'"&amp;D31&amp;"'!"&amp;"$E$2:$E$77")),"-")</f>
        <v>-</v>
      </c>
      <c r="G32" s="72" t="s">
        <v>170</v>
      </c>
      <c r="H32" s="73" t="str">
        <f ca="1">IFERROR(AVERAGE(INDIRECT("'"&amp;G31&amp;"'!"&amp;"$E$2:$E$77")),"-")</f>
        <v>-</v>
      </c>
      <c r="J32" s="72" t="s">
        <v>170</v>
      </c>
      <c r="K32" s="73" t="str">
        <f ca="1">IFERROR(AVERAGE(INDIRECT("'"&amp;J31&amp;"'!"&amp;"$E$2:$E$77")),"-")</f>
        <v>-</v>
      </c>
    </row>
    <row r="33" spans="1:11" ht="13.5" thickBot="1" x14ac:dyDescent="0.25">
      <c r="A33" s="72" t="s">
        <v>171</v>
      </c>
      <c r="B33" s="73" t="str">
        <f ca="1">IFERROR(AVERAGE(INDIRECT("'"&amp;A31&amp;"'!"&amp;"$J$2:$J$77")),"-")</f>
        <v>-</v>
      </c>
      <c r="C33" s="6"/>
      <c r="D33" s="72" t="s">
        <v>171</v>
      </c>
      <c r="E33" s="73" t="str">
        <f ca="1">IFERROR(AVERAGE(INDIRECT("'"&amp;D31&amp;"'!"&amp;"$J$2:$J$77")),"-")</f>
        <v>-</v>
      </c>
      <c r="G33" s="72" t="s">
        <v>171</v>
      </c>
      <c r="H33" s="73" t="str">
        <f ca="1">IFERROR(AVERAGE(INDIRECT("'"&amp;G31&amp;"'!"&amp;"$J$2:$J$77")),"-")</f>
        <v>-</v>
      </c>
      <c r="J33" s="72" t="s">
        <v>171</v>
      </c>
      <c r="K33" s="73" t="str">
        <f ca="1">IFERROR(AVERAGE(INDIRECT("'"&amp;J31&amp;"'!"&amp;"$J$2:$J$77")),"-")</f>
        <v>-</v>
      </c>
    </row>
    <row r="34" spans="1:11" ht="13.5" thickBot="1" x14ac:dyDescent="0.25">
      <c r="A34" s="72" t="s">
        <v>172</v>
      </c>
      <c r="B34" s="73" t="str">
        <f ca="1">IFERROR(MAX(INDIRECT("'"&amp;A31&amp;"'!"&amp;"$H$2:$H$77")),"-")</f>
        <v>-</v>
      </c>
      <c r="D34" s="72" t="s">
        <v>172</v>
      </c>
      <c r="E34" s="73" t="str">
        <f ca="1">IFERROR(MAX(INDIRECT("'"&amp;D31&amp;"'!"&amp;"$H$2:$H$77")),"-")</f>
        <v>-</v>
      </c>
      <c r="G34" s="72" t="s">
        <v>172</v>
      </c>
      <c r="H34" s="73" t="str">
        <f ca="1">IFERROR(MAX(INDIRECT("'"&amp;G31&amp;"'!"&amp;"$H$2:$H$77")),"-")</f>
        <v>-</v>
      </c>
      <c r="J34" s="72" t="s">
        <v>172</v>
      </c>
      <c r="K34" s="73" t="str">
        <f ca="1">IFERROR(MAX(INDIRECT("'"&amp;J31&amp;"'!"&amp;"$H$2:$H$77")),"-")</f>
        <v>-</v>
      </c>
    </row>
    <row r="35" spans="1:11" ht="13.5" thickBot="1" x14ac:dyDescent="0.25">
      <c r="A35" s="72" t="s">
        <v>173</v>
      </c>
      <c r="B35" s="73" t="str">
        <f ca="1">IFERROR(MAX(INDIRECT("'"&amp;A31&amp;"'!"&amp;"$N$2:$N$77")),"-")</f>
        <v>-</v>
      </c>
      <c r="D35" s="72" t="s">
        <v>173</v>
      </c>
      <c r="E35" s="73" t="str">
        <f ca="1">IFERROR(MAX(INDIRECT("'"&amp;D31&amp;"'!"&amp;"$N$2:$N$77")),"-")</f>
        <v>-</v>
      </c>
      <c r="G35" s="72" t="s">
        <v>173</v>
      </c>
      <c r="H35" s="73" t="str">
        <f ca="1">IFERROR(MAX(INDIRECT("'"&amp;G31&amp;"'!"&amp;"$N$2:$N$77")),"-")</f>
        <v>-</v>
      </c>
      <c r="J35" s="72" t="s">
        <v>173</v>
      </c>
      <c r="K35" s="73" t="str">
        <f ca="1">IFERROR(MAX(INDIRECT("'"&amp;J31&amp;"'!"&amp;"$N$2:$N$77")),"-")</f>
        <v>-</v>
      </c>
    </row>
    <row r="36" spans="1:11" ht="13.5" thickBot="1" x14ac:dyDescent="0.25">
      <c r="A36" s="72" t="s">
        <v>174</v>
      </c>
      <c r="B36" s="73" t="str">
        <f ca="1">IFERROR(AVERAGE(INDIRECT("'"&amp;A31&amp;"'!"&amp;"$H$2:$H$77"),INDIRECT("'"&amp;A31&amp;"'!"&amp;"$N$2:$N$77")),"-")</f>
        <v>-</v>
      </c>
      <c r="D36" s="72" t="s">
        <v>174</v>
      </c>
      <c r="E36" s="73" t="str">
        <f ca="1">IFERROR(AVERAGE(INDIRECT("'"&amp;D31&amp;"'!"&amp;"$H$2:$H$77"),INDIRECT("'"&amp;D31&amp;"'!"&amp;"$N$2:$N$77")),"-")</f>
        <v>-</v>
      </c>
      <c r="G36" s="72" t="s">
        <v>174</v>
      </c>
      <c r="H36" s="73" t="str">
        <f ca="1">IFERROR(AVERAGE(INDIRECT("'"&amp;G31&amp;"'!"&amp;"$H$2:$H$77"),INDIRECT("'"&amp;G31&amp;"'!"&amp;"$N$2:$N$77")),"-")</f>
        <v>-</v>
      </c>
      <c r="J36" s="72" t="s">
        <v>174</v>
      </c>
      <c r="K36" s="73" t="str">
        <f ca="1">IFERROR(AVERAGE(INDIRECT("'"&amp;J31&amp;"'!"&amp;"$H$2:$H$77"),INDIRECT("'"&amp;J31&amp;"'!"&amp;"$N$2:$N$77")),"-")</f>
        <v>-</v>
      </c>
    </row>
    <row r="37" spans="1:11" ht="13.5" thickBot="1" x14ac:dyDescent="0.25">
      <c r="A37" s="72" t="s">
        <v>175</v>
      </c>
      <c r="B37" s="74" t="str">
        <f ca="1">IFERROR(SUM(INDIRECT("'"&amp;A31&amp;"'!"&amp;"$D$2:$D$77"),(INDIRECT("'"&amp;A31&amp;"'!"&amp;"$I$2:$I$77"))),"-")</f>
        <v>-</v>
      </c>
      <c r="D37" s="72" t="s">
        <v>175</v>
      </c>
      <c r="E37" s="74" t="str">
        <f ca="1">IFERROR(SUM(INDIRECT("'"&amp;D31&amp;"'!"&amp;"$D$2:$D$77"),(INDIRECT("'"&amp;D31&amp;"'!"&amp;"$I$2:$I$77"))),"-")</f>
        <v>-</v>
      </c>
      <c r="G37" s="72" t="s">
        <v>175</v>
      </c>
      <c r="H37" s="74" t="str">
        <f ca="1">IFERROR(SUM(INDIRECT("'"&amp;G31&amp;"'!"&amp;"$D$2:$D$77"),(INDIRECT("'"&amp;G31&amp;"'!"&amp;"$I$2:$I$77"))),"-")</f>
        <v>-</v>
      </c>
      <c r="J37" s="72" t="s">
        <v>175</v>
      </c>
      <c r="K37" s="74" t="str">
        <f ca="1">IFERROR(SUM(INDIRECT("'"&amp;J31&amp;"'!"&amp;"$D$2:$D$77"),(INDIRECT("'"&amp;J31&amp;"'!"&amp;"$I$2:$I$77"))),"-")</f>
        <v>-</v>
      </c>
    </row>
    <row r="38" spans="1:11" ht="13.5" thickBot="1" x14ac:dyDescent="0.25">
      <c r="A38" s="72" t="s">
        <v>176</v>
      </c>
      <c r="B38" s="74" t="str">
        <f ca="1">IFERROR(SUM(INDIRECT("'"&amp;A31&amp;"'!"&amp;"$F$2:$F$77"),(INDIRECT("'"&amp;A31&amp;"'!"&amp;"$K$2:$K$77"))),"-")</f>
        <v>-</v>
      </c>
      <c r="D38" s="72" t="s">
        <v>176</v>
      </c>
      <c r="E38" s="74" t="str">
        <f ca="1">IFERROR(SUM(INDIRECT("'"&amp;D31&amp;"'!"&amp;"$F$2:$F$77"),(INDIRECT("'"&amp;D31&amp;"'!"&amp;"$K$2:$K$77"))),"-")</f>
        <v>-</v>
      </c>
      <c r="G38" s="72" t="s">
        <v>176</v>
      </c>
      <c r="H38" s="74" t="str">
        <f ca="1">IFERROR(SUM(INDIRECT("'"&amp;G31&amp;"'!"&amp;"$F$2:$F$77"),(INDIRECT("'"&amp;G31&amp;"'!"&amp;"$K$2:$K$77"))),"-")</f>
        <v>-</v>
      </c>
      <c r="J38" s="72" t="s">
        <v>176</v>
      </c>
      <c r="K38" s="74" t="str">
        <f ca="1">IFERROR(SUM(INDIRECT("'"&amp;J31&amp;"'!"&amp;"$F$2:$F$77"),(INDIRECT("'"&amp;J31&amp;"'!"&amp;"$K$2:$K$77"))),"-")</f>
        <v>-</v>
      </c>
    </row>
    <row r="41" spans="1:11" ht="13.5" thickBot="1" x14ac:dyDescent="0.25">
      <c r="A41" s="174">
        <v>2031</v>
      </c>
      <c r="B41" s="174"/>
      <c r="D41" s="174">
        <v>2032</v>
      </c>
      <c r="E41" s="174"/>
      <c r="G41" s="174">
        <v>2033</v>
      </c>
      <c r="H41" s="174"/>
      <c r="J41" s="174">
        <v>2034</v>
      </c>
      <c r="K41" s="174"/>
    </row>
    <row r="42" spans="1:11" ht="13.5" thickBot="1" x14ac:dyDescent="0.25">
      <c r="A42" s="72" t="s">
        <v>170</v>
      </c>
      <c r="B42" s="73" t="str">
        <f ca="1">IFERROR(AVERAGE(INDIRECT("'"&amp;A41&amp;"'!"&amp;"$E$2:$E$77")),"-")</f>
        <v>-</v>
      </c>
      <c r="D42" s="72" t="s">
        <v>170</v>
      </c>
      <c r="E42" s="73" t="str">
        <f ca="1">IFERROR(AVERAGE(INDIRECT("'"&amp;D41&amp;"'!"&amp;"$E$2:$E$77")),"-")</f>
        <v>-</v>
      </c>
      <c r="G42" s="72" t="s">
        <v>170</v>
      </c>
      <c r="H42" s="73" t="str">
        <f ca="1">IFERROR(AVERAGE(INDIRECT("'"&amp;G41&amp;"'!"&amp;"$E$2:$E$77")),"-")</f>
        <v>-</v>
      </c>
      <c r="J42" s="72" t="s">
        <v>170</v>
      </c>
      <c r="K42" s="73" t="str">
        <f ca="1">IFERROR(AVERAGE(INDIRECT("'"&amp;J41&amp;"'!"&amp;"$E$2:$E$77")),"-")</f>
        <v>-</v>
      </c>
    </row>
    <row r="43" spans="1:11" ht="13.5" thickBot="1" x14ac:dyDescent="0.25">
      <c r="A43" s="72" t="s">
        <v>171</v>
      </c>
      <c r="B43" s="73" t="str">
        <f ca="1">IFERROR(AVERAGE(INDIRECT("'"&amp;A41&amp;"'!"&amp;"$J$2:$J$77")),"-")</f>
        <v>-</v>
      </c>
      <c r="C43" s="6"/>
      <c r="D43" s="72" t="s">
        <v>171</v>
      </c>
      <c r="E43" s="73" t="str">
        <f ca="1">IFERROR(AVERAGE(INDIRECT("'"&amp;D41&amp;"'!"&amp;"$J$2:$J$77")),"-")</f>
        <v>-</v>
      </c>
      <c r="G43" s="72" t="s">
        <v>171</v>
      </c>
      <c r="H43" s="73" t="str">
        <f ca="1">IFERROR(AVERAGE(INDIRECT("'"&amp;G41&amp;"'!"&amp;"$J$2:$J$77")),"-")</f>
        <v>-</v>
      </c>
      <c r="J43" s="72" t="s">
        <v>171</v>
      </c>
      <c r="K43" s="73" t="str">
        <f ca="1">IFERROR(AVERAGE(INDIRECT("'"&amp;J41&amp;"'!"&amp;"$J$2:$J$77")),"-")</f>
        <v>-</v>
      </c>
    </row>
    <row r="44" spans="1:11" ht="13.5" thickBot="1" x14ac:dyDescent="0.25">
      <c r="A44" s="72" t="s">
        <v>172</v>
      </c>
      <c r="B44" s="73" t="str">
        <f ca="1">IFERROR(MAX(INDIRECT("'"&amp;A41&amp;"'!"&amp;"$H$2:$H$77")),"-")</f>
        <v>-</v>
      </c>
      <c r="D44" s="72" t="s">
        <v>172</v>
      </c>
      <c r="E44" s="73" t="str">
        <f ca="1">IFERROR(MAX(INDIRECT("'"&amp;D41&amp;"'!"&amp;"$H$2:$H$77")),"-")</f>
        <v>-</v>
      </c>
      <c r="G44" s="72" t="s">
        <v>172</v>
      </c>
      <c r="H44" s="73" t="str">
        <f ca="1">IFERROR(MAX(INDIRECT("'"&amp;G41&amp;"'!"&amp;"$H$2:$H$77")),"-")</f>
        <v>-</v>
      </c>
      <c r="J44" s="72" t="s">
        <v>172</v>
      </c>
      <c r="K44" s="73" t="str">
        <f ca="1">IFERROR(MAX(INDIRECT("'"&amp;J41&amp;"'!"&amp;"$H$2:$H$77")),"-")</f>
        <v>-</v>
      </c>
    </row>
    <row r="45" spans="1:11" ht="13.5" thickBot="1" x14ac:dyDescent="0.25">
      <c r="A45" s="72" t="s">
        <v>173</v>
      </c>
      <c r="B45" s="73" t="str">
        <f ca="1">IFERROR(MAX(INDIRECT("'"&amp;A41&amp;"'!"&amp;"$N$2:$N$77")),"-")</f>
        <v>-</v>
      </c>
      <c r="D45" s="72" t="s">
        <v>173</v>
      </c>
      <c r="E45" s="73" t="str">
        <f ca="1">IFERROR(MAX(INDIRECT("'"&amp;D41&amp;"'!"&amp;"$N$2:$N$77")),"-")</f>
        <v>-</v>
      </c>
      <c r="G45" s="72" t="s">
        <v>173</v>
      </c>
      <c r="H45" s="73" t="str">
        <f ca="1">IFERROR(MAX(INDIRECT("'"&amp;G41&amp;"'!"&amp;"$N$2:$N$77")),"-")</f>
        <v>-</v>
      </c>
      <c r="J45" s="72" t="s">
        <v>173</v>
      </c>
      <c r="K45" s="73" t="str">
        <f ca="1">IFERROR(MAX(INDIRECT("'"&amp;J41&amp;"'!"&amp;"$N$2:$N$77")),"-")</f>
        <v>-</v>
      </c>
    </row>
    <row r="46" spans="1:11" ht="13.5" thickBot="1" x14ac:dyDescent="0.25">
      <c r="A46" s="72" t="s">
        <v>174</v>
      </c>
      <c r="B46" s="73" t="str">
        <f ca="1">IFERROR(AVERAGE(INDIRECT("'"&amp;A41&amp;"'!"&amp;"$H$2:$H$77"),INDIRECT("'"&amp;A41&amp;"'!"&amp;"$N$2:$N$77")),"-")</f>
        <v>-</v>
      </c>
      <c r="D46" s="72" t="s">
        <v>174</v>
      </c>
      <c r="E46" s="73" t="str">
        <f ca="1">IFERROR(AVERAGE(INDIRECT("'"&amp;D41&amp;"'!"&amp;"$H$2:$H$77"),INDIRECT("'"&amp;D41&amp;"'!"&amp;"$N$2:$N$77")),"-")</f>
        <v>-</v>
      </c>
      <c r="G46" s="72" t="s">
        <v>174</v>
      </c>
      <c r="H46" s="73" t="str">
        <f ca="1">IFERROR(AVERAGE(INDIRECT("'"&amp;G41&amp;"'!"&amp;"$H$2:$H$77"),INDIRECT("'"&amp;G41&amp;"'!"&amp;"$N$2:$N$77")),"-")</f>
        <v>-</v>
      </c>
      <c r="J46" s="72" t="s">
        <v>174</v>
      </c>
      <c r="K46" s="73" t="str">
        <f ca="1">IFERROR(AVERAGE(INDIRECT("'"&amp;J41&amp;"'!"&amp;"$H$2:$H$77"),INDIRECT("'"&amp;J41&amp;"'!"&amp;"$N$2:$N$77")),"-")</f>
        <v>-</v>
      </c>
    </row>
    <row r="47" spans="1:11" ht="13.5" thickBot="1" x14ac:dyDescent="0.25">
      <c r="A47" s="72" t="s">
        <v>175</v>
      </c>
      <c r="B47" s="74" t="str">
        <f ca="1">IFERROR(SUM(INDIRECT("'"&amp;A41&amp;"'!"&amp;"$D$2:$D$77"),(INDIRECT("'"&amp;A41&amp;"'!"&amp;"$I$2:$I$77"))),"-")</f>
        <v>-</v>
      </c>
      <c r="D47" s="72" t="s">
        <v>175</v>
      </c>
      <c r="E47" s="74" t="str">
        <f ca="1">IFERROR(SUM(INDIRECT("'"&amp;D41&amp;"'!"&amp;"$D$2:$D$77"),(INDIRECT("'"&amp;D41&amp;"'!"&amp;"$I$2:$I$77"))),"-")</f>
        <v>-</v>
      </c>
      <c r="G47" s="72" t="s">
        <v>175</v>
      </c>
      <c r="H47" s="74" t="str">
        <f ca="1">IFERROR(SUM(INDIRECT("'"&amp;G41&amp;"'!"&amp;"$D$2:$D$77"),(INDIRECT("'"&amp;G41&amp;"'!"&amp;"$I$2:$I$77"))),"-")</f>
        <v>-</v>
      </c>
      <c r="J47" s="72" t="s">
        <v>175</v>
      </c>
      <c r="K47" s="74" t="str">
        <f ca="1">IFERROR(SUM(INDIRECT("'"&amp;J41&amp;"'!"&amp;"$D$2:$D$77"),(INDIRECT("'"&amp;J41&amp;"'!"&amp;"$I$2:$I$77"))),"-")</f>
        <v>-</v>
      </c>
    </row>
    <row r="48" spans="1:11" ht="13.5" thickBot="1" x14ac:dyDescent="0.25">
      <c r="A48" s="72" t="s">
        <v>176</v>
      </c>
      <c r="B48" s="74" t="str">
        <f ca="1">IFERROR(SUM(INDIRECT("'"&amp;A41&amp;"'!"&amp;"$F$2:$F$77"),(INDIRECT("'"&amp;A41&amp;"'!"&amp;"$K$2:$K$77"))),"-")</f>
        <v>-</v>
      </c>
      <c r="D48" s="72" t="s">
        <v>176</v>
      </c>
      <c r="E48" s="74" t="str">
        <f ca="1">IFERROR(SUM(INDIRECT("'"&amp;D41&amp;"'!"&amp;"$F$2:$F$77"),(INDIRECT("'"&amp;D41&amp;"'!"&amp;"$K$2:$K$77"))),"-")</f>
        <v>-</v>
      </c>
      <c r="G48" s="72" t="s">
        <v>176</v>
      </c>
      <c r="H48" s="74" t="str">
        <f ca="1">IFERROR(SUM(INDIRECT("'"&amp;G41&amp;"'!"&amp;"$F$2:$F$77"),(INDIRECT("'"&amp;G41&amp;"'!"&amp;"$K$2:$K$77"))),"-")</f>
        <v>-</v>
      </c>
      <c r="J48" s="72" t="s">
        <v>176</v>
      </c>
      <c r="K48" s="74" t="str">
        <f ca="1">IFERROR(SUM(INDIRECT("'"&amp;J41&amp;"'!"&amp;"$F$2:$F$77"),(INDIRECT("'"&amp;J41&amp;"'!"&amp;"$K$2:$K$77"))),"-")</f>
        <v>-</v>
      </c>
    </row>
  </sheetData>
  <mergeCells count="20">
    <mergeCell ref="J1:K1"/>
    <mergeCell ref="G1:H1"/>
    <mergeCell ref="J11:K11"/>
    <mergeCell ref="D1:E1"/>
    <mergeCell ref="A1:B1"/>
    <mergeCell ref="J21:K21"/>
    <mergeCell ref="G21:H21"/>
    <mergeCell ref="D21:E21"/>
    <mergeCell ref="A21:B21"/>
    <mergeCell ref="G11:H11"/>
    <mergeCell ref="D11:E11"/>
    <mergeCell ref="A11:B11"/>
    <mergeCell ref="A31:B31"/>
    <mergeCell ref="D31:E31"/>
    <mergeCell ref="G31:H31"/>
    <mergeCell ref="J31:K31"/>
    <mergeCell ref="A41:B41"/>
    <mergeCell ref="D41:E41"/>
    <mergeCell ref="G41:H41"/>
    <mergeCell ref="J41:K41"/>
  </mergeCells>
  <phoneticPr fontId="3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D5A03-3CE2-46D8-BF69-64E56E54896B}">
  <sheetPr codeName="Sheet19">
    <tabColor rgb="FFFF0000"/>
  </sheetPr>
  <dimension ref="A1:S651"/>
  <sheetViews>
    <sheetView zoomScale="80" zoomScaleNormal="80" workbookViewId="0">
      <selection activeCell="A2" sqref="A2:O76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9.140625" style="24"/>
  </cols>
  <sheetData>
    <row r="1" spans="1:19" ht="38.2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Q1" s="60"/>
      <c r="R1" s="1"/>
      <c r="S1" s="1"/>
    </row>
    <row r="2" spans="1:19" ht="24.95" customHeight="1" x14ac:dyDescent="0.2">
      <c r="A2" s="113">
        <v>21</v>
      </c>
      <c r="B2" s="50">
        <v>1</v>
      </c>
      <c r="C2" s="134" t="s">
        <v>211</v>
      </c>
      <c r="D2" s="92">
        <v>2</v>
      </c>
      <c r="E2" s="49">
        <v>4.5599999999999996</v>
      </c>
      <c r="F2" s="49">
        <v>2</v>
      </c>
      <c r="G2" s="57">
        <v>4.96</v>
      </c>
      <c r="H2" s="100">
        <v>2.42</v>
      </c>
      <c r="I2" s="104">
        <v>2</v>
      </c>
      <c r="J2" s="53">
        <v>4.1399999999999997</v>
      </c>
      <c r="K2" s="53">
        <v>2</v>
      </c>
      <c r="L2" s="57">
        <v>4.54</v>
      </c>
      <c r="M2" s="92">
        <v>9.5</v>
      </c>
      <c r="N2" s="100">
        <v>2.33</v>
      </c>
      <c r="O2" s="109"/>
    </row>
    <row r="3" spans="1:19" ht="24.95" customHeight="1" x14ac:dyDescent="0.2">
      <c r="A3" s="114">
        <v>1</v>
      </c>
      <c r="B3" s="63">
        <v>2</v>
      </c>
      <c r="C3" s="116" t="s">
        <v>440</v>
      </c>
      <c r="D3" s="70">
        <v>5</v>
      </c>
      <c r="E3" s="61">
        <v>7.25</v>
      </c>
      <c r="F3" s="61">
        <v>5</v>
      </c>
      <c r="G3" s="64">
        <v>8.25</v>
      </c>
      <c r="H3" s="101">
        <v>2.36</v>
      </c>
      <c r="I3" s="105">
        <v>5</v>
      </c>
      <c r="J3" s="62">
        <v>8.75</v>
      </c>
      <c r="K3" s="62">
        <v>5</v>
      </c>
      <c r="L3" s="64">
        <v>9.75</v>
      </c>
      <c r="M3" s="92">
        <v>18</v>
      </c>
      <c r="N3" s="101">
        <v>3.03</v>
      </c>
      <c r="O3" s="110"/>
    </row>
    <row r="4" spans="1:19" ht="24.95" customHeight="1" x14ac:dyDescent="0.2">
      <c r="A4" s="114">
        <v>9</v>
      </c>
      <c r="B4" s="63">
        <v>3</v>
      </c>
      <c r="C4" s="116" t="s">
        <v>363</v>
      </c>
      <c r="D4" s="70">
        <v>2</v>
      </c>
      <c r="E4" s="61">
        <v>5.16</v>
      </c>
      <c r="F4" s="61">
        <v>2</v>
      </c>
      <c r="G4" s="64">
        <v>5.56</v>
      </c>
      <c r="H4" s="101">
        <v>2.81</v>
      </c>
      <c r="I4" s="105">
        <v>3</v>
      </c>
      <c r="J4" s="62">
        <v>5.15</v>
      </c>
      <c r="K4" s="62">
        <v>3</v>
      </c>
      <c r="L4" s="64">
        <v>5.75</v>
      </c>
      <c r="M4" s="92">
        <v>11.31</v>
      </c>
      <c r="N4" s="101">
        <v>2.3199999999999998</v>
      </c>
      <c r="O4" s="110"/>
    </row>
    <row r="5" spans="1:19" ht="24.95" customHeight="1" x14ac:dyDescent="0.2">
      <c r="A5" s="114">
        <v>2</v>
      </c>
      <c r="B5" s="63">
        <v>4</v>
      </c>
      <c r="C5" s="115" t="s">
        <v>197</v>
      </c>
      <c r="D5" s="70">
        <v>2</v>
      </c>
      <c r="E5" s="61">
        <v>4.3</v>
      </c>
      <c r="F5" s="61">
        <v>2</v>
      </c>
      <c r="G5" s="64">
        <v>4.7</v>
      </c>
      <c r="H5" s="101">
        <v>2.2200000000000002</v>
      </c>
      <c r="I5" s="105">
        <v>7</v>
      </c>
      <c r="J5" s="62">
        <v>9.5299999999999994</v>
      </c>
      <c r="K5" s="62">
        <v>7</v>
      </c>
      <c r="L5" s="64">
        <v>10.93</v>
      </c>
      <c r="M5" s="92">
        <v>15.63</v>
      </c>
      <c r="N5" s="101">
        <v>2.72</v>
      </c>
      <c r="O5" s="110"/>
    </row>
    <row r="6" spans="1:19" ht="24.95" customHeight="1" x14ac:dyDescent="0.2">
      <c r="A6" s="114">
        <v>17</v>
      </c>
      <c r="B6" s="63">
        <v>5</v>
      </c>
      <c r="C6" s="115" t="s">
        <v>387</v>
      </c>
      <c r="D6" s="70">
        <v>2</v>
      </c>
      <c r="E6" s="61">
        <v>3.68</v>
      </c>
      <c r="F6" s="61">
        <v>2</v>
      </c>
      <c r="G6" s="64">
        <v>4.08</v>
      </c>
      <c r="H6" s="101">
        <v>1.96</v>
      </c>
      <c r="I6" s="105">
        <v>3</v>
      </c>
      <c r="J6" s="62">
        <v>5.47</v>
      </c>
      <c r="K6" s="62">
        <v>3</v>
      </c>
      <c r="L6" s="64">
        <v>6.07</v>
      </c>
      <c r="M6" s="92">
        <v>10.15</v>
      </c>
      <c r="N6" s="101">
        <v>2.3199999999999998</v>
      </c>
      <c r="O6" s="110"/>
    </row>
    <row r="7" spans="1:19" ht="24.95" customHeight="1" x14ac:dyDescent="0.2">
      <c r="A7" s="114">
        <v>7</v>
      </c>
      <c r="B7" s="63">
        <v>6</v>
      </c>
      <c r="C7" s="116" t="s">
        <v>459</v>
      </c>
      <c r="D7" s="70">
        <v>4</v>
      </c>
      <c r="E7" s="61">
        <v>5.41</v>
      </c>
      <c r="F7" s="61">
        <v>4</v>
      </c>
      <c r="G7" s="64">
        <v>6.21</v>
      </c>
      <c r="H7" s="101">
        <v>2.11</v>
      </c>
      <c r="I7" s="105">
        <v>2</v>
      </c>
      <c r="J7" s="62">
        <v>4.92</v>
      </c>
      <c r="K7" s="62">
        <v>2</v>
      </c>
      <c r="L7" s="64">
        <v>5.32</v>
      </c>
      <c r="M7" s="92">
        <v>11.53</v>
      </c>
      <c r="N7" s="101">
        <v>2.54</v>
      </c>
      <c r="O7" s="110"/>
    </row>
    <row r="8" spans="1:19" ht="24.95" customHeight="1" x14ac:dyDescent="0.2">
      <c r="A8" s="114">
        <v>8</v>
      </c>
      <c r="B8" s="63">
        <v>7</v>
      </c>
      <c r="C8" s="116" t="s">
        <v>326</v>
      </c>
      <c r="D8" s="70">
        <v>3</v>
      </c>
      <c r="E8" s="61">
        <v>5.2</v>
      </c>
      <c r="F8" s="61">
        <v>3</v>
      </c>
      <c r="G8" s="64">
        <v>5.8</v>
      </c>
      <c r="H8" s="101">
        <v>2.27</v>
      </c>
      <c r="I8" s="105">
        <v>3</v>
      </c>
      <c r="J8" s="62">
        <v>4.92</v>
      </c>
      <c r="K8" s="62">
        <v>3</v>
      </c>
      <c r="L8" s="64">
        <v>5.52</v>
      </c>
      <c r="M8" s="92">
        <v>11.32</v>
      </c>
      <c r="N8" s="101">
        <v>2.15</v>
      </c>
      <c r="O8" s="110"/>
    </row>
    <row r="9" spans="1:19" ht="24.95" customHeight="1" x14ac:dyDescent="0.2">
      <c r="A9" s="114">
        <v>5</v>
      </c>
      <c r="B9" s="63">
        <v>8</v>
      </c>
      <c r="C9" s="116" t="s">
        <v>258</v>
      </c>
      <c r="D9" s="70">
        <v>2</v>
      </c>
      <c r="E9" s="61">
        <v>4.3899999999999997</v>
      </c>
      <c r="F9" s="61">
        <v>2</v>
      </c>
      <c r="G9" s="64">
        <v>4.79</v>
      </c>
      <c r="H9" s="101">
        <v>2.23</v>
      </c>
      <c r="I9" s="105">
        <v>2</v>
      </c>
      <c r="J9" s="62">
        <v>6.93</v>
      </c>
      <c r="K9" s="62">
        <v>2</v>
      </c>
      <c r="L9" s="64">
        <v>7.33</v>
      </c>
      <c r="M9" s="92">
        <v>12.12</v>
      </c>
      <c r="N9" s="101">
        <v>4.5999999999999996</v>
      </c>
      <c r="O9" s="110"/>
      <c r="Q9" t="s">
        <v>372</v>
      </c>
    </row>
    <row r="10" spans="1:19" ht="24.95" customHeight="1" x14ac:dyDescent="0.2">
      <c r="A10" s="114">
        <v>10</v>
      </c>
      <c r="B10" s="63">
        <v>9</v>
      </c>
      <c r="C10" s="116" t="s">
        <v>379</v>
      </c>
      <c r="D10" s="70">
        <v>2</v>
      </c>
      <c r="E10" s="61">
        <v>3.87</v>
      </c>
      <c r="F10" s="61">
        <v>2</v>
      </c>
      <c r="G10" s="64">
        <v>4.2699999999999996</v>
      </c>
      <c r="H10" s="101">
        <v>1.96</v>
      </c>
      <c r="I10" s="105">
        <v>4</v>
      </c>
      <c r="J10" s="62">
        <v>6.02</v>
      </c>
      <c r="K10" s="62">
        <v>4</v>
      </c>
      <c r="L10" s="64">
        <v>6.82</v>
      </c>
      <c r="M10" s="92">
        <v>11.09</v>
      </c>
      <c r="N10" s="101">
        <v>2.31</v>
      </c>
      <c r="O10" s="110"/>
    </row>
    <row r="11" spans="1:19" ht="24.95" customHeight="1" x14ac:dyDescent="0.2">
      <c r="A11" s="114">
        <v>4</v>
      </c>
      <c r="B11" s="63">
        <v>10</v>
      </c>
      <c r="C11" s="116" t="s">
        <v>287</v>
      </c>
      <c r="D11" s="70">
        <v>2</v>
      </c>
      <c r="E11" s="61">
        <v>4.3899999999999997</v>
      </c>
      <c r="F11" s="61">
        <v>2</v>
      </c>
      <c r="G11" s="64">
        <v>4.79</v>
      </c>
      <c r="H11" s="101">
        <v>2.2999999999999998</v>
      </c>
      <c r="I11" s="105">
        <v>5</v>
      </c>
      <c r="J11" s="62">
        <v>7.22</v>
      </c>
      <c r="K11" s="62">
        <v>5</v>
      </c>
      <c r="L11" s="64">
        <v>8.2200000000000006</v>
      </c>
      <c r="M11" s="92">
        <v>13.01</v>
      </c>
      <c r="N11" s="101">
        <v>2.46</v>
      </c>
      <c r="O11" s="110"/>
    </row>
    <row r="12" spans="1:19" ht="24.95" customHeight="1" x14ac:dyDescent="0.2">
      <c r="A12" s="114">
        <v>41</v>
      </c>
      <c r="B12" s="63">
        <v>11</v>
      </c>
      <c r="C12" s="116" t="s">
        <v>284</v>
      </c>
      <c r="D12" s="70">
        <v>2</v>
      </c>
      <c r="E12" s="61">
        <v>4.3099999999999996</v>
      </c>
      <c r="F12" s="61">
        <v>2</v>
      </c>
      <c r="G12" s="64">
        <v>4.71</v>
      </c>
      <c r="H12" s="101">
        <v>2.1</v>
      </c>
      <c r="I12" s="105">
        <v>1</v>
      </c>
      <c r="J12" s="62">
        <v>2.1800000000000002</v>
      </c>
      <c r="K12" s="62">
        <v>1</v>
      </c>
      <c r="L12" s="64">
        <v>2.38</v>
      </c>
      <c r="M12" s="92">
        <v>7.09</v>
      </c>
      <c r="N12" s="101">
        <v>2.1800000000000002</v>
      </c>
      <c r="O12" s="110"/>
    </row>
    <row r="13" spans="1:19" ht="24.95" customHeight="1" x14ac:dyDescent="0.2">
      <c r="A13" s="114">
        <v>26</v>
      </c>
      <c r="B13" s="63">
        <v>12</v>
      </c>
      <c r="C13" s="116" t="s">
        <v>225</v>
      </c>
      <c r="D13" s="70">
        <v>2</v>
      </c>
      <c r="E13" s="61">
        <v>3.77</v>
      </c>
      <c r="F13" s="61">
        <v>2</v>
      </c>
      <c r="G13" s="64">
        <v>4.17</v>
      </c>
      <c r="H13" s="101">
        <v>2.0099999999999998</v>
      </c>
      <c r="I13" s="105">
        <v>2</v>
      </c>
      <c r="J13" s="62">
        <v>4.41</v>
      </c>
      <c r="K13" s="62">
        <v>2</v>
      </c>
      <c r="L13" s="64">
        <v>4.8099999999999996</v>
      </c>
      <c r="M13" s="92">
        <v>8.98</v>
      </c>
      <c r="N13" s="101">
        <v>2.5</v>
      </c>
      <c r="O13" s="110"/>
    </row>
    <row r="14" spans="1:19" ht="24.95" customHeight="1" x14ac:dyDescent="0.2">
      <c r="A14" s="114">
        <v>33</v>
      </c>
      <c r="B14" s="63">
        <v>13</v>
      </c>
      <c r="C14" s="116" t="s">
        <v>246</v>
      </c>
      <c r="D14" s="70">
        <v>2</v>
      </c>
      <c r="E14" s="61">
        <v>3.58</v>
      </c>
      <c r="F14" s="61">
        <v>2</v>
      </c>
      <c r="G14" s="64">
        <v>3.98</v>
      </c>
      <c r="H14" s="101">
        <v>1.92</v>
      </c>
      <c r="I14" s="105">
        <v>2</v>
      </c>
      <c r="J14" s="62">
        <v>3.8</v>
      </c>
      <c r="K14" s="62">
        <v>2</v>
      </c>
      <c r="L14" s="64">
        <v>4.2</v>
      </c>
      <c r="M14" s="92">
        <v>8.18</v>
      </c>
      <c r="N14" s="101">
        <v>1.9</v>
      </c>
      <c r="O14" s="110"/>
      <c r="Q14" t="s">
        <v>372</v>
      </c>
    </row>
    <row r="15" spans="1:19" ht="24.95" customHeight="1" x14ac:dyDescent="0.2">
      <c r="A15" s="114">
        <v>14</v>
      </c>
      <c r="B15" s="63">
        <v>14</v>
      </c>
      <c r="C15" s="116" t="s">
        <v>253</v>
      </c>
      <c r="D15" s="70">
        <v>3</v>
      </c>
      <c r="E15" s="61">
        <v>4.93</v>
      </c>
      <c r="F15" s="61">
        <v>3</v>
      </c>
      <c r="G15" s="64">
        <v>5.53</v>
      </c>
      <c r="H15" s="101">
        <v>2.0499999999999998</v>
      </c>
      <c r="I15" s="105">
        <v>3</v>
      </c>
      <c r="J15" s="62">
        <v>4.4000000000000004</v>
      </c>
      <c r="K15" s="62">
        <v>3</v>
      </c>
      <c r="L15" s="64">
        <v>5</v>
      </c>
      <c r="M15" s="92">
        <v>10.53</v>
      </c>
      <c r="N15" s="101">
        <v>1.79</v>
      </c>
      <c r="O15" s="110"/>
      <c r="Q15" t="s">
        <v>372</v>
      </c>
      <c r="R15" t="s">
        <v>372</v>
      </c>
    </row>
    <row r="16" spans="1:19" ht="24.95" customHeight="1" x14ac:dyDescent="0.2">
      <c r="A16" s="114">
        <v>43</v>
      </c>
      <c r="B16" s="63">
        <v>15</v>
      </c>
      <c r="C16" s="116" t="s">
        <v>367</v>
      </c>
      <c r="D16" s="70">
        <v>1</v>
      </c>
      <c r="E16" s="61">
        <v>2.2999999999999998</v>
      </c>
      <c r="F16" s="61">
        <v>1</v>
      </c>
      <c r="G16" s="64">
        <v>2.5</v>
      </c>
      <c r="H16" s="101">
        <v>2.2999999999999998</v>
      </c>
      <c r="I16" s="105">
        <v>2</v>
      </c>
      <c r="J16" s="62">
        <v>3.86</v>
      </c>
      <c r="K16" s="62">
        <v>2</v>
      </c>
      <c r="L16" s="64">
        <v>4.26</v>
      </c>
      <c r="M16" s="92">
        <v>6.76</v>
      </c>
      <c r="N16" s="101">
        <v>1.97</v>
      </c>
      <c r="O16" s="110"/>
      <c r="Q16" t="s">
        <v>372</v>
      </c>
    </row>
    <row r="17" spans="1:18" ht="24.95" customHeight="1" x14ac:dyDescent="0.2">
      <c r="A17" s="114">
        <v>3</v>
      </c>
      <c r="B17" s="63">
        <v>16</v>
      </c>
      <c r="C17" s="116" t="s">
        <v>345</v>
      </c>
      <c r="D17" s="70">
        <v>5</v>
      </c>
      <c r="E17" s="61">
        <v>5.96</v>
      </c>
      <c r="F17" s="61">
        <v>5</v>
      </c>
      <c r="G17" s="64">
        <v>6.96</v>
      </c>
      <c r="H17" s="101">
        <v>2.2000000000000002</v>
      </c>
      <c r="I17" s="105">
        <v>4</v>
      </c>
      <c r="J17" s="62">
        <v>5.48</v>
      </c>
      <c r="K17" s="62">
        <v>4</v>
      </c>
      <c r="L17" s="64">
        <v>6.28</v>
      </c>
      <c r="M17" s="92">
        <v>13.24</v>
      </c>
      <c r="N17" s="101">
        <v>1.89</v>
      </c>
      <c r="O17" s="110"/>
      <c r="Q17" t="s">
        <v>372</v>
      </c>
    </row>
    <row r="18" spans="1:18" ht="24.95" customHeight="1" x14ac:dyDescent="0.2">
      <c r="A18" s="114">
        <v>15</v>
      </c>
      <c r="B18" s="63">
        <v>17</v>
      </c>
      <c r="C18" s="116" t="s">
        <v>323</v>
      </c>
      <c r="D18" s="70">
        <v>3</v>
      </c>
      <c r="E18" s="61">
        <v>5.4</v>
      </c>
      <c r="F18" s="61">
        <v>3</v>
      </c>
      <c r="G18" s="64">
        <v>6</v>
      </c>
      <c r="H18" s="101">
        <v>2.35</v>
      </c>
      <c r="I18" s="105">
        <v>2</v>
      </c>
      <c r="J18" s="62">
        <v>4.04</v>
      </c>
      <c r="K18" s="62">
        <v>2</v>
      </c>
      <c r="L18" s="64">
        <v>4.4400000000000004</v>
      </c>
      <c r="M18" s="92">
        <v>10.44</v>
      </c>
      <c r="N18" s="101">
        <v>2.11</v>
      </c>
      <c r="O18" s="110"/>
    </row>
    <row r="19" spans="1:18" ht="24.95" customHeight="1" x14ac:dyDescent="0.2">
      <c r="A19" s="114">
        <v>45</v>
      </c>
      <c r="B19" s="63">
        <v>18</v>
      </c>
      <c r="C19" s="116" t="s">
        <v>461</v>
      </c>
      <c r="D19" s="70">
        <v>2</v>
      </c>
      <c r="E19" s="61">
        <v>4.0599999999999996</v>
      </c>
      <c r="F19" s="61">
        <v>2</v>
      </c>
      <c r="G19" s="64">
        <v>4.46</v>
      </c>
      <c r="H19" s="101">
        <v>2.13</v>
      </c>
      <c r="I19" s="105">
        <v>1</v>
      </c>
      <c r="J19" s="62">
        <v>2</v>
      </c>
      <c r="K19" s="62">
        <v>1</v>
      </c>
      <c r="L19" s="64">
        <v>2.2000000000000002</v>
      </c>
      <c r="M19" s="92">
        <v>6.66</v>
      </c>
      <c r="N19" s="101">
        <v>2</v>
      </c>
      <c r="O19" s="110"/>
      <c r="Q19" t="s">
        <v>372</v>
      </c>
    </row>
    <row r="20" spans="1:18" ht="24.95" customHeight="1" x14ac:dyDescent="0.2">
      <c r="A20" s="114">
        <v>23</v>
      </c>
      <c r="B20" s="63">
        <v>19</v>
      </c>
      <c r="C20" s="116" t="s">
        <v>466</v>
      </c>
      <c r="D20" s="70">
        <v>2</v>
      </c>
      <c r="E20" s="61">
        <v>3.77</v>
      </c>
      <c r="F20" s="61">
        <v>2</v>
      </c>
      <c r="G20" s="64">
        <v>4.17</v>
      </c>
      <c r="H20" s="101">
        <v>2.0299999999999998</v>
      </c>
      <c r="I20" s="105">
        <v>3</v>
      </c>
      <c r="J20" s="62">
        <v>4.58</v>
      </c>
      <c r="K20" s="62">
        <v>3</v>
      </c>
      <c r="L20" s="64">
        <v>5.18</v>
      </c>
      <c r="M20" s="92">
        <v>9.35</v>
      </c>
      <c r="N20" s="101">
        <v>1.93</v>
      </c>
      <c r="O20" s="110"/>
      <c r="Q20" t="s">
        <v>372</v>
      </c>
    </row>
    <row r="21" spans="1:18" ht="24.95" customHeight="1" x14ac:dyDescent="0.2">
      <c r="A21" s="114">
        <v>42</v>
      </c>
      <c r="B21" s="63">
        <v>20</v>
      </c>
      <c r="C21" s="116" t="s">
        <v>263</v>
      </c>
      <c r="D21" s="70">
        <v>0</v>
      </c>
      <c r="E21" s="61">
        <v>0</v>
      </c>
      <c r="F21" s="61">
        <v>0</v>
      </c>
      <c r="G21" s="64">
        <v>0</v>
      </c>
      <c r="H21" s="101">
        <v>0</v>
      </c>
      <c r="I21" s="105">
        <v>4</v>
      </c>
      <c r="J21" s="62">
        <v>6.15</v>
      </c>
      <c r="K21" s="62">
        <v>4</v>
      </c>
      <c r="L21" s="64">
        <v>6.95</v>
      </c>
      <c r="M21" s="92">
        <v>6.95</v>
      </c>
      <c r="N21" s="101">
        <v>2.39</v>
      </c>
      <c r="O21" s="110"/>
      <c r="Q21" t="s">
        <v>372</v>
      </c>
    </row>
    <row r="22" spans="1:18" ht="24.95" customHeight="1" x14ac:dyDescent="0.2">
      <c r="A22" s="114">
        <v>44</v>
      </c>
      <c r="B22" s="63">
        <v>21</v>
      </c>
      <c r="C22" s="116" t="s">
        <v>458</v>
      </c>
      <c r="D22" s="70">
        <v>2</v>
      </c>
      <c r="E22" s="61">
        <v>4.0999999999999996</v>
      </c>
      <c r="F22" s="61">
        <v>2</v>
      </c>
      <c r="G22" s="64">
        <v>4.5</v>
      </c>
      <c r="H22" s="101">
        <v>2.1</v>
      </c>
      <c r="I22" s="105">
        <v>1</v>
      </c>
      <c r="J22" s="62">
        <v>2.04</v>
      </c>
      <c r="K22" s="62">
        <v>1</v>
      </c>
      <c r="L22" s="64">
        <v>2.2400000000000002</v>
      </c>
      <c r="M22" s="92">
        <v>6.74</v>
      </c>
      <c r="N22" s="101">
        <v>2.04</v>
      </c>
      <c r="O22" s="110"/>
      <c r="Q22" t="s">
        <v>372</v>
      </c>
      <c r="R22" t="s">
        <v>372</v>
      </c>
    </row>
    <row r="23" spans="1:18" ht="24.95" customHeight="1" x14ac:dyDescent="0.2">
      <c r="A23" s="114">
        <v>20</v>
      </c>
      <c r="B23" s="63">
        <v>22</v>
      </c>
      <c r="C23" s="116" t="s">
        <v>393</v>
      </c>
      <c r="D23" s="70">
        <v>2</v>
      </c>
      <c r="E23" s="61">
        <v>3.8</v>
      </c>
      <c r="F23" s="61">
        <v>2</v>
      </c>
      <c r="G23" s="64">
        <v>4.2</v>
      </c>
      <c r="H23" s="101">
        <v>1.86</v>
      </c>
      <c r="I23" s="105">
        <v>3</v>
      </c>
      <c r="J23" s="62">
        <v>4.88</v>
      </c>
      <c r="K23" s="62">
        <v>3</v>
      </c>
      <c r="L23" s="64">
        <v>5.48</v>
      </c>
      <c r="M23" s="92">
        <v>9.68</v>
      </c>
      <c r="N23" s="101">
        <v>2.1</v>
      </c>
      <c r="O23" s="110"/>
      <c r="Q23" t="s">
        <v>372</v>
      </c>
    </row>
    <row r="24" spans="1:18" ht="24.95" customHeight="1" x14ac:dyDescent="0.2">
      <c r="A24" s="114">
        <v>34</v>
      </c>
      <c r="B24" s="63">
        <v>23</v>
      </c>
      <c r="C24" s="116" t="s">
        <v>310</v>
      </c>
      <c r="D24" s="70">
        <v>2</v>
      </c>
      <c r="E24" s="61">
        <v>4.45</v>
      </c>
      <c r="F24" s="61">
        <v>2</v>
      </c>
      <c r="G24" s="64">
        <v>4.8499999999999996</v>
      </c>
      <c r="H24" s="101">
        <v>2.2400000000000002</v>
      </c>
      <c r="I24" s="105">
        <v>2</v>
      </c>
      <c r="J24" s="62">
        <v>2.7</v>
      </c>
      <c r="K24" s="62">
        <v>2</v>
      </c>
      <c r="L24" s="64">
        <v>3.1</v>
      </c>
      <c r="M24" s="92">
        <v>7.95</v>
      </c>
      <c r="N24" s="101">
        <v>2.0699999999999998</v>
      </c>
      <c r="O24" s="110"/>
    </row>
    <row r="25" spans="1:18" ht="24.95" customHeight="1" x14ac:dyDescent="0.2">
      <c r="A25" s="114">
        <v>28</v>
      </c>
      <c r="B25" s="63">
        <v>24</v>
      </c>
      <c r="C25" s="116" t="s">
        <v>456</v>
      </c>
      <c r="D25" s="70">
        <v>2</v>
      </c>
      <c r="E25" s="61">
        <v>3.66</v>
      </c>
      <c r="F25" s="61">
        <v>2</v>
      </c>
      <c r="G25" s="64">
        <v>4.0599999999999996</v>
      </c>
      <c r="H25" s="101">
        <v>1.99</v>
      </c>
      <c r="I25" s="105">
        <v>2</v>
      </c>
      <c r="J25" s="62">
        <v>4.22</v>
      </c>
      <c r="K25" s="62">
        <v>2</v>
      </c>
      <c r="L25" s="64">
        <v>4.62</v>
      </c>
      <c r="M25" s="92">
        <v>8.68</v>
      </c>
      <c r="N25" s="101">
        <v>2.2599999999999998</v>
      </c>
      <c r="O25" s="110"/>
    </row>
    <row r="26" spans="1:18" ht="24.95" customHeight="1" x14ac:dyDescent="0.2">
      <c r="A26" s="114">
        <v>11</v>
      </c>
      <c r="B26" s="63">
        <v>25</v>
      </c>
      <c r="C26" s="116" t="s">
        <v>320</v>
      </c>
      <c r="D26" s="70">
        <v>4</v>
      </c>
      <c r="E26" s="61">
        <v>5.54</v>
      </c>
      <c r="F26" s="61">
        <v>4</v>
      </c>
      <c r="G26" s="64">
        <v>6.34</v>
      </c>
      <c r="H26" s="101">
        <v>2.1800000000000002</v>
      </c>
      <c r="I26" s="105">
        <v>2</v>
      </c>
      <c r="J26" s="62">
        <v>4.28</v>
      </c>
      <c r="K26" s="62">
        <v>2</v>
      </c>
      <c r="L26" s="64">
        <v>4.68</v>
      </c>
      <c r="M26" s="92">
        <v>11.02</v>
      </c>
      <c r="N26" s="101">
        <v>2.17</v>
      </c>
      <c r="O26" s="110"/>
      <c r="Q26" t="s">
        <v>372</v>
      </c>
    </row>
    <row r="27" spans="1:18" ht="24.95" customHeight="1" x14ac:dyDescent="0.2">
      <c r="A27" s="114">
        <v>40</v>
      </c>
      <c r="B27" s="63">
        <v>26</v>
      </c>
      <c r="C27" s="116" t="s">
        <v>445</v>
      </c>
      <c r="D27" s="70">
        <v>1</v>
      </c>
      <c r="E27" s="61">
        <v>2.0099999999999998</v>
      </c>
      <c r="F27" s="61">
        <v>1</v>
      </c>
      <c r="G27" s="64">
        <v>2.21</v>
      </c>
      <c r="H27" s="101">
        <v>2.0099999999999998</v>
      </c>
      <c r="I27" s="105">
        <v>2</v>
      </c>
      <c r="J27" s="62">
        <v>4.54</v>
      </c>
      <c r="K27" s="62">
        <v>2</v>
      </c>
      <c r="L27" s="64">
        <v>4.9400000000000004</v>
      </c>
      <c r="M27" s="92">
        <v>7.15</v>
      </c>
      <c r="N27" s="101">
        <v>2.56</v>
      </c>
      <c r="O27" s="110"/>
    </row>
    <row r="28" spans="1:18" ht="24.95" customHeight="1" x14ac:dyDescent="0.2">
      <c r="A28" s="114">
        <v>29</v>
      </c>
      <c r="B28" s="63">
        <v>27</v>
      </c>
      <c r="C28" s="116" t="s">
        <v>226</v>
      </c>
      <c r="D28" s="70">
        <v>2</v>
      </c>
      <c r="E28" s="61">
        <v>4.0999999999999996</v>
      </c>
      <c r="F28" s="61">
        <v>2</v>
      </c>
      <c r="G28" s="64">
        <v>4.5</v>
      </c>
      <c r="H28" s="101">
        <v>2.29</v>
      </c>
      <c r="I28" s="105">
        <v>2</v>
      </c>
      <c r="J28" s="62">
        <v>3.77</v>
      </c>
      <c r="K28" s="62">
        <v>2</v>
      </c>
      <c r="L28" s="64">
        <v>4.17</v>
      </c>
      <c r="M28" s="92">
        <v>8.67</v>
      </c>
      <c r="N28" s="101">
        <v>2.0299999999999998</v>
      </c>
      <c r="O28" s="110"/>
      <c r="Q28" t="s">
        <v>372</v>
      </c>
    </row>
    <row r="29" spans="1:18" ht="24.95" customHeight="1" x14ac:dyDescent="0.2">
      <c r="A29" s="114">
        <v>6</v>
      </c>
      <c r="B29" s="63">
        <v>28</v>
      </c>
      <c r="C29" s="116" t="s">
        <v>352</v>
      </c>
      <c r="D29" s="70">
        <v>3</v>
      </c>
      <c r="E29" s="61">
        <v>4.49</v>
      </c>
      <c r="F29" s="61">
        <v>3</v>
      </c>
      <c r="G29" s="64">
        <v>5.09</v>
      </c>
      <c r="H29" s="101">
        <v>2.0499999999999998</v>
      </c>
      <c r="I29" s="105">
        <v>5</v>
      </c>
      <c r="J29" s="62">
        <v>5.65</v>
      </c>
      <c r="K29" s="62">
        <v>5</v>
      </c>
      <c r="L29" s="64">
        <v>6.65</v>
      </c>
      <c r="M29" s="92">
        <v>11.74</v>
      </c>
      <c r="N29" s="101">
        <v>2.11</v>
      </c>
      <c r="O29" s="110"/>
      <c r="Q29" t="s">
        <v>372</v>
      </c>
    </row>
    <row r="30" spans="1:18" ht="24.95" customHeight="1" x14ac:dyDescent="0.2">
      <c r="A30" s="114">
        <v>49</v>
      </c>
      <c r="B30" s="63">
        <v>29</v>
      </c>
      <c r="C30" s="116" t="s">
        <v>441</v>
      </c>
      <c r="D30" s="70">
        <v>0</v>
      </c>
      <c r="E30" s="61">
        <v>0</v>
      </c>
      <c r="F30" s="61">
        <v>0</v>
      </c>
      <c r="G30" s="64">
        <v>0</v>
      </c>
      <c r="H30" s="101">
        <v>0</v>
      </c>
      <c r="I30" s="105">
        <v>2</v>
      </c>
      <c r="J30" s="62">
        <v>5.0599999999999996</v>
      </c>
      <c r="K30" s="62">
        <v>2</v>
      </c>
      <c r="L30" s="64">
        <v>5.46</v>
      </c>
      <c r="M30" s="92">
        <v>5.46</v>
      </c>
      <c r="N30" s="101">
        <v>2.67</v>
      </c>
      <c r="O30" s="110"/>
    </row>
    <row r="31" spans="1:18" ht="24.95" customHeight="1" x14ac:dyDescent="0.2">
      <c r="A31" s="114">
        <v>56</v>
      </c>
      <c r="B31" s="63">
        <v>30</v>
      </c>
      <c r="C31" s="116" t="s">
        <v>388</v>
      </c>
      <c r="D31" s="70">
        <v>0</v>
      </c>
      <c r="E31" s="61">
        <v>0</v>
      </c>
      <c r="F31" s="61">
        <v>0</v>
      </c>
      <c r="G31" s="64">
        <v>0</v>
      </c>
      <c r="H31" s="101">
        <v>0</v>
      </c>
      <c r="I31" s="105">
        <v>2</v>
      </c>
      <c r="J31" s="62">
        <v>3.8</v>
      </c>
      <c r="K31" s="62">
        <v>2</v>
      </c>
      <c r="L31" s="64">
        <v>4.2</v>
      </c>
      <c r="M31" s="92">
        <v>4.2</v>
      </c>
      <c r="N31" s="101">
        <v>1.95</v>
      </c>
      <c r="O31" s="110"/>
      <c r="Q31" t="s">
        <v>372</v>
      </c>
    </row>
    <row r="32" spans="1:18" ht="24.95" customHeight="1" x14ac:dyDescent="0.2">
      <c r="A32" s="114">
        <v>50</v>
      </c>
      <c r="B32" s="63">
        <v>31</v>
      </c>
      <c r="C32" s="116" t="s">
        <v>472</v>
      </c>
      <c r="D32" s="70">
        <v>1</v>
      </c>
      <c r="E32" s="61">
        <v>1.64</v>
      </c>
      <c r="F32" s="61">
        <v>1</v>
      </c>
      <c r="G32" s="64">
        <v>1.84</v>
      </c>
      <c r="H32" s="101">
        <v>1.64</v>
      </c>
      <c r="I32" s="105">
        <v>1</v>
      </c>
      <c r="J32" s="62">
        <v>2.71</v>
      </c>
      <c r="K32" s="62">
        <v>1</v>
      </c>
      <c r="L32" s="64">
        <v>2.91</v>
      </c>
      <c r="M32" s="92">
        <v>4.75</v>
      </c>
      <c r="N32" s="101">
        <v>2.71</v>
      </c>
      <c r="O32" s="110"/>
    </row>
    <row r="33" spans="1:18" ht="24.95" customHeight="1" x14ac:dyDescent="0.2">
      <c r="A33" s="114">
        <v>22</v>
      </c>
      <c r="B33" s="63">
        <v>32</v>
      </c>
      <c r="C33" s="116" t="s">
        <v>297</v>
      </c>
      <c r="D33" s="70">
        <v>2</v>
      </c>
      <c r="E33" s="61">
        <v>4.8600000000000003</v>
      </c>
      <c r="F33" s="61">
        <v>2</v>
      </c>
      <c r="G33" s="64">
        <v>5.26</v>
      </c>
      <c r="H33" s="101">
        <v>2.67</v>
      </c>
      <c r="I33" s="105">
        <v>2</v>
      </c>
      <c r="J33" s="62">
        <v>3.72</v>
      </c>
      <c r="K33" s="62">
        <v>2</v>
      </c>
      <c r="L33" s="64">
        <v>4.12</v>
      </c>
      <c r="M33" s="92">
        <v>9.3800000000000008</v>
      </c>
      <c r="N33" s="101">
        <v>2.02</v>
      </c>
      <c r="O33" s="110"/>
      <c r="Q33" t="s">
        <v>372</v>
      </c>
      <c r="R33" t="s">
        <v>372</v>
      </c>
    </row>
    <row r="34" spans="1:18" ht="24.95" customHeight="1" x14ac:dyDescent="0.2">
      <c r="A34" s="114">
        <v>51</v>
      </c>
      <c r="B34" s="63">
        <v>33</v>
      </c>
      <c r="C34" s="116" t="s">
        <v>234</v>
      </c>
      <c r="D34" s="70">
        <v>0</v>
      </c>
      <c r="E34" s="61">
        <v>0</v>
      </c>
      <c r="F34" s="61">
        <v>0</v>
      </c>
      <c r="G34" s="64">
        <v>0</v>
      </c>
      <c r="H34" s="101">
        <v>0</v>
      </c>
      <c r="I34" s="105">
        <v>2</v>
      </c>
      <c r="J34" s="62">
        <v>4.17</v>
      </c>
      <c r="K34" s="62">
        <v>2</v>
      </c>
      <c r="L34" s="64">
        <v>4.57</v>
      </c>
      <c r="M34" s="92">
        <v>4.57</v>
      </c>
      <c r="N34" s="101">
        <v>2.09</v>
      </c>
      <c r="O34" s="110"/>
      <c r="Q34" t="s">
        <v>372</v>
      </c>
      <c r="R34" t="s">
        <v>372</v>
      </c>
    </row>
    <row r="35" spans="1:18" ht="24.95" customHeight="1" x14ac:dyDescent="0.2">
      <c r="A35" s="114">
        <v>46</v>
      </c>
      <c r="B35" s="63">
        <v>34</v>
      </c>
      <c r="C35" s="116" t="s">
        <v>447</v>
      </c>
      <c r="D35" s="70">
        <v>1</v>
      </c>
      <c r="E35" s="61">
        <v>1.95</v>
      </c>
      <c r="F35" s="61">
        <v>1</v>
      </c>
      <c r="G35" s="64">
        <v>2.15</v>
      </c>
      <c r="H35" s="101">
        <v>1.95</v>
      </c>
      <c r="I35" s="105">
        <v>2</v>
      </c>
      <c r="J35" s="62">
        <v>4.01</v>
      </c>
      <c r="K35" s="62">
        <v>2</v>
      </c>
      <c r="L35" s="64">
        <v>4.41</v>
      </c>
      <c r="M35" s="92">
        <v>6.56</v>
      </c>
      <c r="N35" s="101">
        <v>2.14</v>
      </c>
      <c r="O35" s="110"/>
      <c r="Q35" t="s">
        <v>372</v>
      </c>
    </row>
    <row r="36" spans="1:18" ht="24.95" customHeight="1" x14ac:dyDescent="0.2">
      <c r="A36" s="114">
        <v>30</v>
      </c>
      <c r="B36" s="63">
        <v>35</v>
      </c>
      <c r="C36" s="116" t="s">
        <v>391</v>
      </c>
      <c r="D36" s="70">
        <v>4</v>
      </c>
      <c r="E36" s="61">
        <v>5.05</v>
      </c>
      <c r="F36" s="61">
        <v>4</v>
      </c>
      <c r="G36" s="64">
        <v>5.85</v>
      </c>
      <c r="H36" s="101">
        <v>1.79</v>
      </c>
      <c r="I36" s="105">
        <v>2</v>
      </c>
      <c r="J36" s="62">
        <v>2.41</v>
      </c>
      <c r="K36" s="62">
        <v>2</v>
      </c>
      <c r="L36" s="64">
        <v>2.81</v>
      </c>
      <c r="M36" s="92">
        <v>8.66</v>
      </c>
      <c r="N36" s="101">
        <v>1.63</v>
      </c>
      <c r="O36" s="110"/>
      <c r="Q36" t="s">
        <v>372</v>
      </c>
    </row>
    <row r="37" spans="1:18" ht="24.95" customHeight="1" x14ac:dyDescent="0.2">
      <c r="A37" s="114">
        <v>59</v>
      </c>
      <c r="B37" s="63">
        <v>36</v>
      </c>
      <c r="C37" s="116" t="s">
        <v>330</v>
      </c>
      <c r="D37" s="70">
        <v>0</v>
      </c>
      <c r="E37" s="61">
        <v>0</v>
      </c>
      <c r="F37" s="61">
        <v>0</v>
      </c>
      <c r="G37" s="64">
        <v>0</v>
      </c>
      <c r="H37" s="101">
        <v>0</v>
      </c>
      <c r="I37" s="105">
        <v>2</v>
      </c>
      <c r="J37" s="62">
        <v>3.67</v>
      </c>
      <c r="K37" s="62">
        <v>2</v>
      </c>
      <c r="L37" s="64">
        <v>4.07</v>
      </c>
      <c r="M37" s="92">
        <v>4.07</v>
      </c>
      <c r="N37" s="101">
        <v>2.67</v>
      </c>
      <c r="O37" s="110"/>
    </row>
    <row r="38" spans="1:18" ht="24.95" customHeight="1" x14ac:dyDescent="0.2">
      <c r="A38" s="114">
        <v>18</v>
      </c>
      <c r="B38" s="63">
        <v>37</v>
      </c>
      <c r="C38" s="115" t="s">
        <v>238</v>
      </c>
      <c r="D38" s="70">
        <v>3</v>
      </c>
      <c r="E38" s="61">
        <v>4.99</v>
      </c>
      <c r="F38" s="61">
        <v>3</v>
      </c>
      <c r="G38" s="64">
        <v>5.59</v>
      </c>
      <c r="H38" s="101">
        <v>2.1</v>
      </c>
      <c r="I38" s="105">
        <v>2</v>
      </c>
      <c r="J38" s="62">
        <v>3.98</v>
      </c>
      <c r="K38" s="62">
        <v>2</v>
      </c>
      <c r="L38" s="64">
        <v>4.38</v>
      </c>
      <c r="M38" s="92">
        <v>9.9700000000000006</v>
      </c>
      <c r="N38" s="101">
        <v>2.0699999999999998</v>
      </c>
      <c r="O38" s="110"/>
      <c r="Q38" t="s">
        <v>372</v>
      </c>
      <c r="R38" t="s">
        <v>372</v>
      </c>
    </row>
    <row r="39" spans="1:18" ht="24.95" customHeight="1" x14ac:dyDescent="0.2">
      <c r="A39" s="114">
        <v>12</v>
      </c>
      <c r="B39" s="63">
        <v>38</v>
      </c>
      <c r="C39" s="116" t="s">
        <v>307</v>
      </c>
      <c r="D39" s="70">
        <v>2</v>
      </c>
      <c r="E39" s="61">
        <v>4.5199999999999996</v>
      </c>
      <c r="F39" s="61">
        <v>2</v>
      </c>
      <c r="G39" s="64">
        <v>4.92</v>
      </c>
      <c r="H39" s="101">
        <v>2.35</v>
      </c>
      <c r="I39" s="105">
        <v>2</v>
      </c>
      <c r="J39" s="62">
        <v>5.52</v>
      </c>
      <c r="K39" s="62">
        <v>2</v>
      </c>
      <c r="L39" s="64">
        <v>5.92</v>
      </c>
      <c r="M39" s="92">
        <v>10.84</v>
      </c>
      <c r="N39" s="101">
        <v>2.38</v>
      </c>
      <c r="O39" s="110"/>
      <c r="Q39" t="s">
        <v>372</v>
      </c>
      <c r="R39" t="s">
        <v>372</v>
      </c>
    </row>
    <row r="40" spans="1:18" ht="24.95" customHeight="1" x14ac:dyDescent="0.2">
      <c r="A40" s="114">
        <v>60</v>
      </c>
      <c r="B40" s="63">
        <v>39</v>
      </c>
      <c r="C40" s="116" t="s">
        <v>453</v>
      </c>
      <c r="D40" s="70">
        <v>0</v>
      </c>
      <c r="E40" s="61">
        <v>0</v>
      </c>
      <c r="F40" s="61">
        <v>0</v>
      </c>
      <c r="G40" s="64">
        <v>0</v>
      </c>
      <c r="H40" s="101">
        <v>0</v>
      </c>
      <c r="I40" s="105">
        <v>2</v>
      </c>
      <c r="J40" s="62">
        <v>3.65</v>
      </c>
      <c r="K40" s="62">
        <v>2</v>
      </c>
      <c r="L40" s="64">
        <v>4.05</v>
      </c>
      <c r="M40" s="92">
        <v>4.05</v>
      </c>
      <c r="N40" s="101">
        <v>1.93</v>
      </c>
      <c r="O40" s="110"/>
      <c r="Q40" t="s">
        <v>372</v>
      </c>
      <c r="R40" t="s">
        <v>372</v>
      </c>
    </row>
    <row r="41" spans="1:18" ht="24.95" customHeight="1" x14ac:dyDescent="0.2">
      <c r="A41" s="114">
        <v>35</v>
      </c>
      <c r="B41" s="63">
        <v>40</v>
      </c>
      <c r="C41" s="116" t="s">
        <v>462</v>
      </c>
      <c r="D41" s="70">
        <v>2</v>
      </c>
      <c r="E41" s="61">
        <v>3.48</v>
      </c>
      <c r="F41" s="61">
        <v>2</v>
      </c>
      <c r="G41" s="64">
        <v>3.88</v>
      </c>
      <c r="H41" s="101">
        <v>1.89</v>
      </c>
      <c r="I41" s="105">
        <v>2</v>
      </c>
      <c r="J41" s="62">
        <v>3.58</v>
      </c>
      <c r="K41" s="62">
        <v>2</v>
      </c>
      <c r="L41" s="64">
        <v>3.98</v>
      </c>
      <c r="M41" s="92">
        <v>7.86</v>
      </c>
      <c r="N41" s="101">
        <v>1.89</v>
      </c>
      <c r="O41" s="110"/>
      <c r="Q41" t="s">
        <v>372</v>
      </c>
      <c r="R41" t="s">
        <v>372</v>
      </c>
    </row>
    <row r="42" spans="1:18" ht="24.95" customHeight="1" x14ac:dyDescent="0.2">
      <c r="A42" s="114">
        <v>31</v>
      </c>
      <c r="B42" s="63">
        <v>41</v>
      </c>
      <c r="C42" s="116" t="s">
        <v>210</v>
      </c>
      <c r="D42" s="70">
        <v>2</v>
      </c>
      <c r="E42" s="61">
        <v>4.3899999999999997</v>
      </c>
      <c r="F42" s="61">
        <v>2</v>
      </c>
      <c r="G42" s="64">
        <v>4.79</v>
      </c>
      <c r="H42" s="101">
        <v>2.2599999999999998</v>
      </c>
      <c r="I42" s="105">
        <v>3</v>
      </c>
      <c r="J42" s="62">
        <v>3.24</v>
      </c>
      <c r="K42" s="62">
        <v>3</v>
      </c>
      <c r="L42" s="64">
        <v>3.84</v>
      </c>
      <c r="M42" s="92">
        <v>8.6300000000000008</v>
      </c>
      <c r="N42" s="101">
        <v>2.08</v>
      </c>
      <c r="O42" s="110"/>
      <c r="Q42" t="s">
        <v>372</v>
      </c>
      <c r="R42" t="s">
        <v>372</v>
      </c>
    </row>
    <row r="43" spans="1:18" ht="24.95" customHeight="1" x14ac:dyDescent="0.2">
      <c r="A43" s="114">
        <v>13</v>
      </c>
      <c r="B43" s="63">
        <v>42</v>
      </c>
      <c r="C43" s="116" t="s">
        <v>397</v>
      </c>
      <c r="D43" s="70">
        <v>2</v>
      </c>
      <c r="E43" s="61">
        <v>4.12</v>
      </c>
      <c r="F43" s="61">
        <v>2</v>
      </c>
      <c r="G43" s="64">
        <v>4.5199999999999996</v>
      </c>
      <c r="H43" s="101">
        <v>2.12</v>
      </c>
      <c r="I43" s="105">
        <v>3</v>
      </c>
      <c r="J43" s="62">
        <v>5.58</v>
      </c>
      <c r="K43" s="62">
        <v>3</v>
      </c>
      <c r="L43" s="64">
        <v>6.18</v>
      </c>
      <c r="M43" s="92">
        <v>10.7</v>
      </c>
      <c r="N43" s="101">
        <v>2.4500000000000002</v>
      </c>
      <c r="O43" s="110"/>
      <c r="Q43" t="s">
        <v>372</v>
      </c>
      <c r="R43" t="s">
        <v>372</v>
      </c>
    </row>
    <row r="44" spans="1:18" ht="24.95" customHeight="1" x14ac:dyDescent="0.2">
      <c r="A44" s="114">
        <v>24</v>
      </c>
      <c r="B44" s="63">
        <v>43</v>
      </c>
      <c r="C44" s="116" t="s">
        <v>444</v>
      </c>
      <c r="D44" s="70">
        <v>2</v>
      </c>
      <c r="E44" s="61">
        <v>4.24</v>
      </c>
      <c r="F44" s="61">
        <v>2</v>
      </c>
      <c r="G44" s="64">
        <v>4.6399999999999997</v>
      </c>
      <c r="H44" s="101">
        <v>2.2400000000000002</v>
      </c>
      <c r="I44" s="105">
        <v>2</v>
      </c>
      <c r="J44" s="62">
        <v>4.24</v>
      </c>
      <c r="K44" s="62">
        <v>2</v>
      </c>
      <c r="L44" s="64">
        <v>4.6399999999999997</v>
      </c>
      <c r="M44" s="92">
        <v>9.2799999999999994</v>
      </c>
      <c r="N44" s="101">
        <v>2.14</v>
      </c>
      <c r="O44" s="110"/>
      <c r="Q44" t="s">
        <v>372</v>
      </c>
      <c r="R44" t="s">
        <v>372</v>
      </c>
    </row>
    <row r="45" spans="1:18" ht="24.95" customHeight="1" x14ac:dyDescent="0.2">
      <c r="A45" s="114">
        <v>61</v>
      </c>
      <c r="B45" s="63">
        <v>44</v>
      </c>
      <c r="C45" s="116" t="s">
        <v>370</v>
      </c>
      <c r="D45" s="70">
        <v>1</v>
      </c>
      <c r="E45" s="61">
        <v>1.71</v>
      </c>
      <c r="F45" s="61">
        <v>1</v>
      </c>
      <c r="G45" s="64">
        <v>1.91</v>
      </c>
      <c r="H45" s="101">
        <v>1.71</v>
      </c>
      <c r="I45" s="105">
        <v>1</v>
      </c>
      <c r="J45" s="62">
        <v>1.91</v>
      </c>
      <c r="K45" s="62">
        <v>1</v>
      </c>
      <c r="L45" s="64">
        <v>2.11</v>
      </c>
      <c r="M45" s="92">
        <v>4.0199999999999996</v>
      </c>
      <c r="N45" s="101">
        <v>1.91</v>
      </c>
      <c r="O45" s="110"/>
      <c r="Q45" t="s">
        <v>372</v>
      </c>
      <c r="R45" t="s">
        <v>372</v>
      </c>
    </row>
    <row r="46" spans="1:18" ht="24.95" customHeight="1" x14ac:dyDescent="0.2">
      <c r="A46" s="114">
        <v>62</v>
      </c>
      <c r="B46" s="63">
        <v>45</v>
      </c>
      <c r="C46" s="116" t="s">
        <v>410</v>
      </c>
      <c r="D46" s="70">
        <v>1</v>
      </c>
      <c r="E46" s="61">
        <v>1.66</v>
      </c>
      <c r="F46" s="61">
        <v>1</v>
      </c>
      <c r="G46" s="64">
        <v>1.86</v>
      </c>
      <c r="H46" s="101">
        <v>1.66</v>
      </c>
      <c r="I46" s="105">
        <v>1</v>
      </c>
      <c r="J46" s="62">
        <v>1.69</v>
      </c>
      <c r="K46" s="62">
        <v>1</v>
      </c>
      <c r="L46" s="64">
        <v>1.89</v>
      </c>
      <c r="M46" s="92">
        <v>3.75</v>
      </c>
      <c r="N46" s="101">
        <v>1.69</v>
      </c>
      <c r="O46" s="110"/>
      <c r="Q46" t="s">
        <v>372</v>
      </c>
      <c r="R46" t="s">
        <v>372</v>
      </c>
    </row>
    <row r="47" spans="1:18" ht="24.95" customHeight="1" x14ac:dyDescent="0.2">
      <c r="A47" s="114">
        <v>16</v>
      </c>
      <c r="B47" s="63">
        <v>46</v>
      </c>
      <c r="C47" s="115" t="s">
        <v>439</v>
      </c>
      <c r="D47" s="70">
        <v>2</v>
      </c>
      <c r="E47" s="61">
        <v>3.62</v>
      </c>
      <c r="F47" s="61">
        <v>2</v>
      </c>
      <c r="G47" s="64">
        <v>4.0199999999999996</v>
      </c>
      <c r="H47" s="101">
        <v>2.46</v>
      </c>
      <c r="I47" s="105">
        <v>3</v>
      </c>
      <c r="J47" s="62">
        <v>5.56</v>
      </c>
      <c r="K47" s="62">
        <v>3</v>
      </c>
      <c r="L47" s="64">
        <v>6.16</v>
      </c>
      <c r="M47" s="92">
        <v>10.18</v>
      </c>
      <c r="N47" s="101">
        <v>2.2599999999999998</v>
      </c>
      <c r="O47" s="110"/>
      <c r="Q47" t="s">
        <v>372</v>
      </c>
      <c r="R47" t="s">
        <v>372</v>
      </c>
    </row>
    <row r="48" spans="1:18" ht="24.95" customHeight="1" x14ac:dyDescent="0.2">
      <c r="A48" s="114">
        <v>27</v>
      </c>
      <c r="B48" s="63">
        <v>47</v>
      </c>
      <c r="C48" s="116" t="s">
        <v>438</v>
      </c>
      <c r="D48" s="70">
        <v>2</v>
      </c>
      <c r="E48" s="61">
        <v>4.29</v>
      </c>
      <c r="F48" s="61">
        <v>2</v>
      </c>
      <c r="G48" s="64">
        <v>4.6900000000000004</v>
      </c>
      <c r="H48" s="101">
        <v>2.3199999999999998</v>
      </c>
      <c r="I48" s="105">
        <v>2</v>
      </c>
      <c r="J48" s="62">
        <v>3.6</v>
      </c>
      <c r="K48" s="62">
        <v>2</v>
      </c>
      <c r="L48" s="64">
        <v>4</v>
      </c>
      <c r="M48" s="92">
        <v>8.69</v>
      </c>
      <c r="N48" s="101">
        <v>1.81</v>
      </c>
      <c r="O48" s="110"/>
      <c r="Q48" t="s">
        <v>372</v>
      </c>
      <c r="R48" t="s">
        <v>372</v>
      </c>
    </row>
    <row r="49" spans="1:18" ht="24.95" customHeight="1" x14ac:dyDescent="0.2">
      <c r="A49" s="114">
        <v>36</v>
      </c>
      <c r="B49" s="63">
        <v>48</v>
      </c>
      <c r="C49" s="116" t="s">
        <v>219</v>
      </c>
      <c r="D49" s="70">
        <v>2</v>
      </c>
      <c r="E49" s="61">
        <v>4.1900000000000004</v>
      </c>
      <c r="F49" s="61">
        <v>2</v>
      </c>
      <c r="G49" s="64">
        <v>4.59</v>
      </c>
      <c r="H49" s="101">
        <v>2.37</v>
      </c>
      <c r="I49" s="105">
        <v>2</v>
      </c>
      <c r="J49" s="62">
        <v>2.4300000000000002</v>
      </c>
      <c r="K49" s="62">
        <v>2</v>
      </c>
      <c r="L49" s="64">
        <v>2.83</v>
      </c>
      <c r="M49" s="92">
        <v>7.42</v>
      </c>
      <c r="N49" s="101">
        <v>1.92</v>
      </c>
      <c r="O49" s="110"/>
      <c r="Q49" t="s">
        <v>372</v>
      </c>
      <c r="R49" t="s">
        <v>372</v>
      </c>
    </row>
    <row r="50" spans="1:18" ht="24.95" customHeight="1" x14ac:dyDescent="0.2">
      <c r="A50" s="114">
        <v>39</v>
      </c>
      <c r="B50" s="63">
        <v>49</v>
      </c>
      <c r="C50" s="116" t="s">
        <v>471</v>
      </c>
      <c r="D50" s="70">
        <v>2</v>
      </c>
      <c r="E50" s="61">
        <v>4.1399999999999997</v>
      </c>
      <c r="F50" s="61">
        <v>2</v>
      </c>
      <c r="G50" s="64">
        <v>4.54</v>
      </c>
      <c r="H50" s="101">
        <v>2.2799999999999998</v>
      </c>
      <c r="I50" s="105">
        <v>1</v>
      </c>
      <c r="J50" s="62">
        <v>2.4300000000000002</v>
      </c>
      <c r="K50" s="62">
        <v>1</v>
      </c>
      <c r="L50" s="64">
        <v>2.63</v>
      </c>
      <c r="M50" s="92">
        <v>7.17</v>
      </c>
      <c r="N50" s="101">
        <v>2.4300000000000002</v>
      </c>
      <c r="O50" s="110"/>
      <c r="Q50" t="s">
        <v>372</v>
      </c>
      <c r="R50" t="s">
        <v>372</v>
      </c>
    </row>
    <row r="51" spans="1:18" ht="24.95" customHeight="1" x14ac:dyDescent="0.2">
      <c r="A51" s="114">
        <v>58</v>
      </c>
      <c r="B51" s="63">
        <v>50</v>
      </c>
      <c r="C51" s="116" t="s">
        <v>464</v>
      </c>
      <c r="D51" s="70">
        <v>2</v>
      </c>
      <c r="E51" s="61">
        <v>3.7</v>
      </c>
      <c r="F51" s="61">
        <v>2</v>
      </c>
      <c r="G51" s="64">
        <v>4.0999999999999996</v>
      </c>
      <c r="H51" s="101">
        <v>2.04</v>
      </c>
      <c r="I51" s="105">
        <v>0</v>
      </c>
      <c r="J51" s="62">
        <v>0</v>
      </c>
      <c r="K51" s="62">
        <v>0</v>
      </c>
      <c r="L51" s="64">
        <v>0</v>
      </c>
      <c r="M51" s="92">
        <v>4.0999999999999996</v>
      </c>
      <c r="N51" s="101">
        <v>0</v>
      </c>
      <c r="O51" s="110"/>
      <c r="Q51" t="s">
        <v>372</v>
      </c>
      <c r="R51" t="s">
        <v>372</v>
      </c>
    </row>
    <row r="52" spans="1:18" ht="24.95" customHeight="1" x14ac:dyDescent="0.2">
      <c r="A52" s="114">
        <v>19</v>
      </c>
      <c r="B52" s="63">
        <v>51</v>
      </c>
      <c r="C52" s="116" t="s">
        <v>448</v>
      </c>
      <c r="D52" s="70">
        <v>2</v>
      </c>
      <c r="E52" s="61">
        <v>4.7</v>
      </c>
      <c r="F52" s="61">
        <v>2</v>
      </c>
      <c r="G52" s="64">
        <v>5.0999999999999996</v>
      </c>
      <c r="H52" s="101">
        <v>2.5299999999999998</v>
      </c>
      <c r="I52" s="105">
        <v>2</v>
      </c>
      <c r="J52" s="62">
        <v>4.45</v>
      </c>
      <c r="K52" s="62">
        <v>2</v>
      </c>
      <c r="L52" s="64">
        <v>4.8499999999999996</v>
      </c>
      <c r="M52" s="92">
        <v>9.9499999999999993</v>
      </c>
      <c r="N52" s="101">
        <v>2.38</v>
      </c>
      <c r="O52" s="110"/>
      <c r="Q52" t="s">
        <v>372</v>
      </c>
    </row>
    <row r="53" spans="1:18" ht="24.95" customHeight="1" x14ac:dyDescent="0.2">
      <c r="A53" s="114">
        <v>63</v>
      </c>
      <c r="B53" s="63">
        <v>52</v>
      </c>
      <c r="C53" s="116" t="s">
        <v>467</v>
      </c>
      <c r="D53" s="70">
        <v>1</v>
      </c>
      <c r="E53" s="61">
        <v>2.46</v>
      </c>
      <c r="F53" s="61">
        <v>1</v>
      </c>
      <c r="G53" s="64">
        <v>2.66</v>
      </c>
      <c r="H53" s="101">
        <v>2.46</v>
      </c>
      <c r="I53" s="105">
        <v>0</v>
      </c>
      <c r="J53" s="62">
        <v>0</v>
      </c>
      <c r="K53" s="62">
        <v>0</v>
      </c>
      <c r="L53" s="64">
        <v>0</v>
      </c>
      <c r="M53" s="92">
        <v>2.66</v>
      </c>
      <c r="N53" s="101">
        <v>0</v>
      </c>
      <c r="O53" s="110"/>
    </row>
    <row r="54" spans="1:18" ht="24.95" customHeight="1" x14ac:dyDescent="0.2">
      <c r="A54" s="114">
        <v>64</v>
      </c>
      <c r="B54" s="63">
        <v>53</v>
      </c>
      <c r="C54" s="116" t="s">
        <v>454</v>
      </c>
      <c r="D54" s="70">
        <v>0</v>
      </c>
      <c r="E54" s="61">
        <v>0</v>
      </c>
      <c r="F54" s="61">
        <v>0</v>
      </c>
      <c r="G54" s="64">
        <v>0</v>
      </c>
      <c r="H54" s="101">
        <v>0</v>
      </c>
      <c r="I54" s="105">
        <v>1</v>
      </c>
      <c r="J54" s="62">
        <v>2.25</v>
      </c>
      <c r="K54" s="62">
        <v>1</v>
      </c>
      <c r="L54" s="64">
        <v>2.4500000000000002</v>
      </c>
      <c r="M54" s="92">
        <v>2.4500000000000002</v>
      </c>
      <c r="N54" s="101">
        <v>2.25</v>
      </c>
      <c r="O54" s="110"/>
      <c r="Q54" t="s">
        <v>372</v>
      </c>
    </row>
    <row r="55" spans="1:18" ht="24.95" customHeight="1" x14ac:dyDescent="0.2">
      <c r="A55" s="114">
        <v>53</v>
      </c>
      <c r="B55" s="63">
        <v>54</v>
      </c>
      <c r="C55" s="116" t="s">
        <v>404</v>
      </c>
      <c r="D55" s="70">
        <v>2</v>
      </c>
      <c r="E55" s="61">
        <v>4.0149999999999997</v>
      </c>
      <c r="F55" s="61">
        <v>2</v>
      </c>
      <c r="G55" s="64">
        <v>4.41</v>
      </c>
      <c r="H55" s="101">
        <v>2.2000000000000002</v>
      </c>
      <c r="I55" s="105">
        <v>0</v>
      </c>
      <c r="J55" s="62">
        <v>0</v>
      </c>
      <c r="K55" s="62">
        <v>0</v>
      </c>
      <c r="L55" s="64">
        <v>0</v>
      </c>
      <c r="M55" s="92">
        <v>4.41</v>
      </c>
      <c r="N55" s="101">
        <v>0</v>
      </c>
      <c r="O55" s="110"/>
    </row>
    <row r="56" spans="1:18" ht="24.95" customHeight="1" x14ac:dyDescent="0.2">
      <c r="A56" s="114">
        <v>65</v>
      </c>
      <c r="B56" s="63">
        <v>55</v>
      </c>
      <c r="C56" s="116" t="s">
        <v>450</v>
      </c>
      <c r="D56" s="70">
        <v>1</v>
      </c>
      <c r="E56" s="61">
        <v>1.83</v>
      </c>
      <c r="F56" s="61">
        <v>1</v>
      </c>
      <c r="G56" s="64">
        <v>2.0299999999999998</v>
      </c>
      <c r="H56" s="101">
        <v>1.83</v>
      </c>
      <c r="I56" s="105">
        <v>0</v>
      </c>
      <c r="J56" s="62">
        <v>0</v>
      </c>
      <c r="K56" s="62">
        <v>0</v>
      </c>
      <c r="L56" s="64">
        <v>0</v>
      </c>
      <c r="M56" s="92">
        <v>2.0299999999999998</v>
      </c>
      <c r="N56" s="101">
        <v>0</v>
      </c>
      <c r="O56" s="110"/>
      <c r="Q56" t="s">
        <v>372</v>
      </c>
    </row>
    <row r="57" spans="1:18" ht="24.95" customHeight="1" x14ac:dyDescent="0.2">
      <c r="A57" s="114">
        <v>25</v>
      </c>
      <c r="B57" s="63">
        <v>56</v>
      </c>
      <c r="C57" s="116" t="s">
        <v>442</v>
      </c>
      <c r="D57" s="70">
        <v>2</v>
      </c>
      <c r="E57" s="61">
        <v>3.67</v>
      </c>
      <c r="F57" s="61">
        <v>2</v>
      </c>
      <c r="G57" s="64">
        <v>4.07</v>
      </c>
      <c r="H57" s="101">
        <v>1.89</v>
      </c>
      <c r="I57" s="105">
        <v>2</v>
      </c>
      <c r="J57" s="62">
        <v>4.5599999999999996</v>
      </c>
      <c r="K57" s="62">
        <v>2</v>
      </c>
      <c r="L57" s="64">
        <v>4.96</v>
      </c>
      <c r="M57" s="92">
        <v>9.0299999999999994</v>
      </c>
      <c r="N57" s="101">
        <v>2.4900000000000002</v>
      </c>
      <c r="O57" s="110"/>
    </row>
    <row r="58" spans="1:18" ht="24.95" customHeight="1" x14ac:dyDescent="0.2">
      <c r="A58" s="114">
        <v>55</v>
      </c>
      <c r="B58" s="63">
        <v>57</v>
      </c>
      <c r="C58" s="116" t="s">
        <v>457</v>
      </c>
      <c r="D58" s="70">
        <v>0</v>
      </c>
      <c r="E58" s="61">
        <v>0</v>
      </c>
      <c r="F58" s="61">
        <v>0</v>
      </c>
      <c r="G58" s="64">
        <v>0</v>
      </c>
      <c r="H58" s="101">
        <v>0</v>
      </c>
      <c r="I58" s="105">
        <v>2</v>
      </c>
      <c r="J58" s="62">
        <v>3.83</v>
      </c>
      <c r="K58" s="62">
        <v>2</v>
      </c>
      <c r="L58" s="64">
        <v>4.2300000000000004</v>
      </c>
      <c r="M58" s="92">
        <v>4.2300000000000004</v>
      </c>
      <c r="N58" s="101">
        <v>1.98</v>
      </c>
      <c r="O58" s="110"/>
      <c r="Q58" t="s">
        <v>372</v>
      </c>
      <c r="R58" t="s">
        <v>372</v>
      </c>
    </row>
    <row r="59" spans="1:18" ht="24.95" customHeight="1" x14ac:dyDescent="0.2">
      <c r="A59" s="114">
        <v>47</v>
      </c>
      <c r="B59" s="63">
        <v>58</v>
      </c>
      <c r="C59" s="116" t="s">
        <v>468</v>
      </c>
      <c r="D59" s="70">
        <v>2</v>
      </c>
      <c r="E59" s="61">
        <v>3.46</v>
      </c>
      <c r="F59" s="61">
        <v>2</v>
      </c>
      <c r="G59" s="64">
        <v>3.86</v>
      </c>
      <c r="H59" s="101">
        <v>1.8</v>
      </c>
      <c r="I59" s="105">
        <v>1</v>
      </c>
      <c r="J59" s="62">
        <v>2.25</v>
      </c>
      <c r="K59" s="62">
        <v>1</v>
      </c>
      <c r="L59" s="64">
        <v>2.4500000000000002</v>
      </c>
      <c r="M59" s="92">
        <v>6.31</v>
      </c>
      <c r="N59" s="101">
        <v>2.25</v>
      </c>
      <c r="O59" s="110"/>
      <c r="Q59" t="s">
        <v>372</v>
      </c>
      <c r="R59" t="s">
        <v>372</v>
      </c>
    </row>
    <row r="60" spans="1:18" ht="24.95" customHeight="1" x14ac:dyDescent="0.2">
      <c r="A60" s="114">
        <v>66</v>
      </c>
      <c r="B60" s="63">
        <v>59</v>
      </c>
      <c r="C60" s="115" t="s">
        <v>470</v>
      </c>
      <c r="D60" s="70">
        <v>1</v>
      </c>
      <c r="E60" s="61">
        <v>1.78</v>
      </c>
      <c r="F60" s="61">
        <v>1</v>
      </c>
      <c r="G60" s="64">
        <v>1.98</v>
      </c>
      <c r="H60" s="101">
        <v>1.78</v>
      </c>
      <c r="I60" s="105">
        <v>0</v>
      </c>
      <c r="J60" s="62">
        <v>0</v>
      </c>
      <c r="K60" s="62">
        <v>0</v>
      </c>
      <c r="L60" s="64">
        <v>0</v>
      </c>
      <c r="M60" s="92">
        <v>1.98</v>
      </c>
      <c r="N60" s="101">
        <v>0</v>
      </c>
      <c r="O60" s="110" t="s">
        <v>473</v>
      </c>
      <c r="Q60" t="s">
        <v>372</v>
      </c>
    </row>
    <row r="61" spans="1:18" ht="24.95" customHeight="1" x14ac:dyDescent="0.2">
      <c r="A61" s="114">
        <v>48</v>
      </c>
      <c r="B61" s="63">
        <v>60</v>
      </c>
      <c r="C61" s="116" t="s">
        <v>384</v>
      </c>
      <c r="D61" s="70">
        <v>1</v>
      </c>
      <c r="E61" s="61">
        <v>0.56000000000000005</v>
      </c>
      <c r="F61" s="61">
        <v>1</v>
      </c>
      <c r="G61" s="64">
        <v>0.76</v>
      </c>
      <c r="H61" s="101">
        <v>0.56000000000000005</v>
      </c>
      <c r="I61" s="105">
        <v>2</v>
      </c>
      <c r="J61" s="62">
        <v>4.41</v>
      </c>
      <c r="K61" s="62">
        <v>2</v>
      </c>
      <c r="L61" s="64">
        <v>4.8099999999999996</v>
      </c>
      <c r="M61" s="92">
        <v>5.57</v>
      </c>
      <c r="N61" s="101">
        <v>2.4300000000000002</v>
      </c>
      <c r="O61" s="110"/>
      <c r="Q61" t="s">
        <v>372</v>
      </c>
      <c r="R61" t="s">
        <v>372</v>
      </c>
    </row>
    <row r="62" spans="1:18" ht="24.95" customHeight="1" x14ac:dyDescent="0.2">
      <c r="A62" s="114">
        <v>37</v>
      </c>
      <c r="B62" s="63">
        <v>61</v>
      </c>
      <c r="C62" s="116" t="s">
        <v>463</v>
      </c>
      <c r="D62" s="70">
        <v>0</v>
      </c>
      <c r="E62" s="61">
        <v>0</v>
      </c>
      <c r="F62" s="61">
        <v>0</v>
      </c>
      <c r="G62" s="64">
        <v>0</v>
      </c>
      <c r="H62" s="101">
        <v>0</v>
      </c>
      <c r="I62" s="105">
        <v>4</v>
      </c>
      <c r="J62" s="62">
        <v>6.49</v>
      </c>
      <c r="K62" s="62">
        <v>4</v>
      </c>
      <c r="L62" s="64">
        <v>7.29</v>
      </c>
      <c r="M62" s="92">
        <v>7.29</v>
      </c>
      <c r="N62" s="101">
        <v>2.2999999999999998</v>
      </c>
      <c r="O62" s="110"/>
      <c r="Q62" t="s">
        <v>372</v>
      </c>
    </row>
    <row r="63" spans="1:18" ht="24.95" customHeight="1" x14ac:dyDescent="0.2">
      <c r="A63" s="114">
        <v>38</v>
      </c>
      <c r="B63" s="63">
        <v>62</v>
      </c>
      <c r="C63" s="116" t="s">
        <v>245</v>
      </c>
      <c r="D63" s="70">
        <v>1</v>
      </c>
      <c r="E63" s="61">
        <v>1.85</v>
      </c>
      <c r="F63" s="61">
        <v>1</v>
      </c>
      <c r="G63" s="64">
        <v>2.0499999999999998</v>
      </c>
      <c r="H63" s="101">
        <v>1.85</v>
      </c>
      <c r="I63" s="105">
        <v>2</v>
      </c>
      <c r="J63" s="62">
        <v>4.79</v>
      </c>
      <c r="K63" s="62">
        <v>2</v>
      </c>
      <c r="L63" s="64">
        <v>5.19</v>
      </c>
      <c r="M63" s="92">
        <v>7.24</v>
      </c>
      <c r="N63" s="101">
        <v>2.5299999999999998</v>
      </c>
      <c r="O63" s="110"/>
      <c r="Q63" t="s">
        <v>372</v>
      </c>
      <c r="R63" t="s">
        <v>372</v>
      </c>
    </row>
    <row r="64" spans="1:18" ht="24.95" customHeight="1" x14ac:dyDescent="0.2">
      <c r="A64" s="114">
        <v>67</v>
      </c>
      <c r="B64" s="63">
        <v>63</v>
      </c>
      <c r="C64" s="116" t="s">
        <v>308</v>
      </c>
      <c r="D64" s="70">
        <v>1</v>
      </c>
      <c r="E64" s="61">
        <v>1.64</v>
      </c>
      <c r="F64" s="61">
        <v>1</v>
      </c>
      <c r="G64" s="64">
        <v>1.84</v>
      </c>
      <c r="H64" s="101">
        <v>1.64</v>
      </c>
      <c r="I64" s="105">
        <v>0</v>
      </c>
      <c r="J64" s="62">
        <v>0</v>
      </c>
      <c r="K64" s="62">
        <v>0</v>
      </c>
      <c r="L64" s="64">
        <v>0</v>
      </c>
      <c r="M64" s="92">
        <v>1.84</v>
      </c>
      <c r="N64" s="101">
        <v>0</v>
      </c>
      <c r="O64" s="110"/>
    </row>
    <row r="65" spans="1:18" ht="24.95" customHeight="1" x14ac:dyDescent="0.2">
      <c r="A65" s="114">
        <v>32</v>
      </c>
      <c r="B65" s="63">
        <v>64</v>
      </c>
      <c r="C65" s="116" t="s">
        <v>443</v>
      </c>
      <c r="D65" s="70">
        <v>2</v>
      </c>
      <c r="E65" s="61">
        <v>3.5</v>
      </c>
      <c r="F65" s="61">
        <v>2</v>
      </c>
      <c r="G65" s="64">
        <v>3.9</v>
      </c>
      <c r="H65" s="101">
        <v>1.79</v>
      </c>
      <c r="I65" s="105">
        <v>2</v>
      </c>
      <c r="J65" s="62">
        <v>4.3</v>
      </c>
      <c r="K65" s="62">
        <v>2</v>
      </c>
      <c r="L65" s="64">
        <v>4.7</v>
      </c>
      <c r="M65" s="92">
        <v>8.6</v>
      </c>
      <c r="N65" s="101">
        <v>2.37</v>
      </c>
      <c r="O65" s="110"/>
      <c r="Q65" t="s">
        <v>372</v>
      </c>
      <c r="R65" t="s">
        <v>372</v>
      </c>
    </row>
    <row r="66" spans="1:18" ht="24.95" customHeight="1" x14ac:dyDescent="0.2">
      <c r="A66" s="114">
        <v>52</v>
      </c>
      <c r="B66" s="63">
        <v>65</v>
      </c>
      <c r="C66" s="116" t="s">
        <v>386</v>
      </c>
      <c r="D66" s="70">
        <v>2</v>
      </c>
      <c r="E66" s="61">
        <v>4.1100000000000003</v>
      </c>
      <c r="F66" s="61">
        <v>2</v>
      </c>
      <c r="G66" s="64">
        <v>4.51</v>
      </c>
      <c r="H66" s="101">
        <v>2.23</v>
      </c>
      <c r="I66" s="105">
        <v>0</v>
      </c>
      <c r="J66" s="62">
        <v>0</v>
      </c>
      <c r="K66" s="62">
        <v>0</v>
      </c>
      <c r="L66" s="64">
        <v>0</v>
      </c>
      <c r="M66" s="92">
        <v>4.51</v>
      </c>
      <c r="N66" s="101">
        <v>0</v>
      </c>
      <c r="O66" s="110"/>
      <c r="Q66" t="s">
        <v>372</v>
      </c>
      <c r="R66" t="s">
        <v>372</v>
      </c>
    </row>
    <row r="67" spans="1:18" ht="24.95" customHeight="1" x14ac:dyDescent="0.2">
      <c r="A67" s="114">
        <v>54</v>
      </c>
      <c r="B67" s="63">
        <v>66</v>
      </c>
      <c r="C67" s="116" t="s">
        <v>411</v>
      </c>
      <c r="D67" s="70">
        <v>2</v>
      </c>
      <c r="E67" s="61">
        <v>4.01</v>
      </c>
      <c r="F67" s="61">
        <v>2</v>
      </c>
      <c r="G67" s="64">
        <v>4.41</v>
      </c>
      <c r="H67" s="101">
        <v>2.11</v>
      </c>
      <c r="I67" s="105">
        <v>0</v>
      </c>
      <c r="J67" s="62">
        <v>0</v>
      </c>
      <c r="K67" s="62">
        <v>0</v>
      </c>
      <c r="L67" s="64">
        <v>0</v>
      </c>
      <c r="M67" s="92">
        <v>4.41</v>
      </c>
      <c r="N67" s="101">
        <v>0</v>
      </c>
      <c r="O67" s="110"/>
      <c r="Q67" t="s">
        <v>372</v>
      </c>
    </row>
    <row r="68" spans="1:18" ht="24.95" customHeight="1" x14ac:dyDescent="0.2">
      <c r="A68" s="114">
        <v>57</v>
      </c>
      <c r="B68" s="63">
        <v>67</v>
      </c>
      <c r="C68" s="116" t="s">
        <v>451</v>
      </c>
      <c r="D68" s="70">
        <v>2</v>
      </c>
      <c r="E68" s="61">
        <v>3.72</v>
      </c>
      <c r="F68" s="61">
        <v>2</v>
      </c>
      <c r="G68" s="64">
        <v>4.12</v>
      </c>
      <c r="H68" s="101">
        <v>2</v>
      </c>
      <c r="I68" s="105">
        <v>0</v>
      </c>
      <c r="J68" s="62">
        <v>0</v>
      </c>
      <c r="K68" s="62">
        <v>0</v>
      </c>
      <c r="L68" s="64">
        <v>0</v>
      </c>
      <c r="M68" s="92">
        <v>4.12</v>
      </c>
      <c r="N68" s="101">
        <v>0</v>
      </c>
      <c r="O68" s="110"/>
      <c r="Q68" t="s">
        <v>372</v>
      </c>
      <c r="R68" t="s">
        <v>372</v>
      </c>
    </row>
    <row r="69" spans="1:18" ht="24.95" customHeight="1" x14ac:dyDescent="0.2">
      <c r="A69" s="114">
        <v>68</v>
      </c>
      <c r="B69" s="63">
        <v>68</v>
      </c>
      <c r="C69" s="116" t="s">
        <v>392</v>
      </c>
      <c r="D69" s="70">
        <v>0</v>
      </c>
      <c r="E69" s="61">
        <v>0</v>
      </c>
      <c r="F69" s="61">
        <v>0</v>
      </c>
      <c r="G69" s="64">
        <v>0</v>
      </c>
      <c r="H69" s="101">
        <v>0</v>
      </c>
      <c r="I69" s="105">
        <v>0</v>
      </c>
      <c r="J69" s="62">
        <v>0</v>
      </c>
      <c r="K69" s="62">
        <v>0</v>
      </c>
      <c r="L69" s="64">
        <v>0</v>
      </c>
      <c r="M69" s="92">
        <v>0</v>
      </c>
      <c r="N69" s="101">
        <v>0</v>
      </c>
      <c r="O69" s="110"/>
      <c r="Q69" t="s">
        <v>372</v>
      </c>
    </row>
    <row r="70" spans="1:18" ht="24.95" customHeight="1" x14ac:dyDescent="0.2">
      <c r="A70" s="114">
        <v>68</v>
      </c>
      <c r="B70" s="63">
        <v>69</v>
      </c>
      <c r="C70" s="116" t="s">
        <v>446</v>
      </c>
      <c r="D70" s="70">
        <v>0</v>
      </c>
      <c r="E70" s="61">
        <v>0</v>
      </c>
      <c r="F70" s="61">
        <v>0</v>
      </c>
      <c r="G70" s="64">
        <v>0</v>
      </c>
      <c r="H70" s="101">
        <v>0</v>
      </c>
      <c r="I70" s="105">
        <v>0</v>
      </c>
      <c r="J70" s="62">
        <v>0</v>
      </c>
      <c r="K70" s="62">
        <v>0</v>
      </c>
      <c r="L70" s="64">
        <v>0</v>
      </c>
      <c r="M70" s="92">
        <v>0</v>
      </c>
      <c r="N70" s="101">
        <v>0</v>
      </c>
      <c r="O70" s="110"/>
      <c r="Q70" t="s">
        <v>372</v>
      </c>
    </row>
    <row r="71" spans="1:18" ht="24.95" customHeight="1" x14ac:dyDescent="0.2">
      <c r="A71" s="114">
        <v>68</v>
      </c>
      <c r="B71" s="63">
        <v>70</v>
      </c>
      <c r="C71" s="116" t="s">
        <v>449</v>
      </c>
      <c r="D71" s="70">
        <v>0</v>
      </c>
      <c r="E71" s="61">
        <v>0</v>
      </c>
      <c r="F71" s="61">
        <v>0</v>
      </c>
      <c r="G71" s="64">
        <v>0</v>
      </c>
      <c r="H71" s="101">
        <v>0</v>
      </c>
      <c r="I71" s="105">
        <v>0</v>
      </c>
      <c r="J71" s="62">
        <v>0</v>
      </c>
      <c r="K71" s="62">
        <v>0</v>
      </c>
      <c r="L71" s="64">
        <v>0</v>
      </c>
      <c r="M71" s="92">
        <v>0</v>
      </c>
      <c r="N71" s="101">
        <v>0</v>
      </c>
      <c r="O71" s="110"/>
      <c r="Q71" t="s">
        <v>372</v>
      </c>
    </row>
    <row r="72" spans="1:18" ht="24.95" customHeight="1" x14ac:dyDescent="0.2">
      <c r="A72" s="114">
        <v>68</v>
      </c>
      <c r="B72" s="63">
        <v>71</v>
      </c>
      <c r="C72" s="116" t="s">
        <v>452</v>
      </c>
      <c r="D72" s="70">
        <v>0</v>
      </c>
      <c r="E72" s="61">
        <v>0</v>
      </c>
      <c r="F72" s="61">
        <v>0</v>
      </c>
      <c r="G72" s="64">
        <v>0</v>
      </c>
      <c r="H72" s="101">
        <v>0</v>
      </c>
      <c r="I72" s="105">
        <v>0</v>
      </c>
      <c r="J72" s="62">
        <v>0</v>
      </c>
      <c r="K72" s="62">
        <v>0</v>
      </c>
      <c r="L72" s="64">
        <v>0</v>
      </c>
      <c r="M72" s="92">
        <v>0</v>
      </c>
      <c r="N72" s="101">
        <v>0</v>
      </c>
      <c r="O72" s="110"/>
      <c r="Q72" t="s">
        <v>372</v>
      </c>
      <c r="R72" t="s">
        <v>372</v>
      </c>
    </row>
    <row r="73" spans="1:18" ht="24.95" customHeight="1" x14ac:dyDescent="0.2">
      <c r="A73" s="114">
        <v>68</v>
      </c>
      <c r="B73" s="63">
        <v>72</v>
      </c>
      <c r="C73" s="116" t="s">
        <v>455</v>
      </c>
      <c r="D73" s="70">
        <v>0</v>
      </c>
      <c r="E73" s="61">
        <v>0</v>
      </c>
      <c r="F73" s="61">
        <v>0</v>
      </c>
      <c r="G73" s="64">
        <v>0</v>
      </c>
      <c r="H73" s="101">
        <v>0</v>
      </c>
      <c r="I73" s="105">
        <v>0</v>
      </c>
      <c r="J73" s="62">
        <v>0</v>
      </c>
      <c r="K73" s="62">
        <v>0</v>
      </c>
      <c r="L73" s="64">
        <v>0</v>
      </c>
      <c r="M73" s="92">
        <v>0</v>
      </c>
      <c r="N73" s="101">
        <v>0</v>
      </c>
      <c r="O73" s="110"/>
      <c r="Q73" t="s">
        <v>372</v>
      </c>
      <c r="R73" t="s">
        <v>372</v>
      </c>
    </row>
    <row r="74" spans="1:18" ht="24.95" customHeight="1" x14ac:dyDescent="0.2">
      <c r="A74" s="114">
        <v>68</v>
      </c>
      <c r="B74" s="63">
        <v>73</v>
      </c>
      <c r="C74" s="116" t="s">
        <v>460</v>
      </c>
      <c r="D74" s="70">
        <v>0</v>
      </c>
      <c r="E74" s="61">
        <v>0</v>
      </c>
      <c r="F74" s="61">
        <v>0</v>
      </c>
      <c r="G74" s="64">
        <v>0</v>
      </c>
      <c r="H74" s="101">
        <v>0</v>
      </c>
      <c r="I74" s="105">
        <v>0</v>
      </c>
      <c r="J74" s="62">
        <v>0</v>
      </c>
      <c r="K74" s="62">
        <v>0</v>
      </c>
      <c r="L74" s="64">
        <v>0</v>
      </c>
      <c r="M74" s="92">
        <v>0</v>
      </c>
      <c r="N74" s="101">
        <v>0</v>
      </c>
      <c r="O74" s="110"/>
      <c r="Q74" t="s">
        <v>372</v>
      </c>
    </row>
    <row r="75" spans="1:18" ht="24.95" customHeight="1" x14ac:dyDescent="0.2">
      <c r="A75" s="114">
        <v>68</v>
      </c>
      <c r="B75" s="63">
        <v>74</v>
      </c>
      <c r="C75" s="116" t="s">
        <v>469</v>
      </c>
      <c r="D75" s="70">
        <v>0</v>
      </c>
      <c r="E75" s="61">
        <v>0</v>
      </c>
      <c r="F75" s="61">
        <v>0</v>
      </c>
      <c r="G75" s="64">
        <v>0</v>
      </c>
      <c r="H75" s="101">
        <v>0</v>
      </c>
      <c r="I75" s="105">
        <v>0</v>
      </c>
      <c r="J75" s="62">
        <v>0</v>
      </c>
      <c r="K75" s="62">
        <v>0</v>
      </c>
      <c r="L75" s="64">
        <v>0</v>
      </c>
      <c r="M75" s="92">
        <v>0</v>
      </c>
      <c r="N75" s="101">
        <v>0</v>
      </c>
      <c r="O75" s="110"/>
      <c r="Q75" t="s">
        <v>372</v>
      </c>
    </row>
    <row r="76" spans="1:18" ht="24.95" customHeight="1" x14ac:dyDescent="0.2">
      <c r="A76" s="114">
        <v>68</v>
      </c>
      <c r="B76" s="63">
        <v>75</v>
      </c>
      <c r="C76" s="116" t="s">
        <v>465</v>
      </c>
      <c r="D76" s="70">
        <v>0</v>
      </c>
      <c r="E76" s="61">
        <v>0</v>
      </c>
      <c r="F76" s="61">
        <v>0</v>
      </c>
      <c r="G76" s="64">
        <v>0</v>
      </c>
      <c r="H76" s="101">
        <v>0</v>
      </c>
      <c r="I76" s="105">
        <v>0</v>
      </c>
      <c r="J76" s="62">
        <v>0</v>
      </c>
      <c r="K76" s="62">
        <v>0</v>
      </c>
      <c r="L76" s="64">
        <v>0</v>
      </c>
      <c r="M76" s="92">
        <v>0</v>
      </c>
      <c r="N76" s="101">
        <v>0</v>
      </c>
      <c r="O76" s="110"/>
      <c r="Q76" t="s">
        <v>372</v>
      </c>
      <c r="R76" t="s">
        <v>372</v>
      </c>
    </row>
    <row r="77" spans="1:18" ht="24.95" customHeight="1" thickBot="1" x14ac:dyDescent="0.25">
      <c r="A77" s="118"/>
      <c r="B77" s="119"/>
      <c r="C77" s="145"/>
      <c r="D77" s="71">
        <v>0</v>
      </c>
      <c r="E77" s="69">
        <v>0</v>
      </c>
      <c r="F77" s="69">
        <v>0</v>
      </c>
      <c r="G77" s="102">
        <v>0</v>
      </c>
      <c r="H77" s="103">
        <v>0</v>
      </c>
      <c r="I77" s="106">
        <v>0</v>
      </c>
      <c r="J77" s="107">
        <v>0</v>
      </c>
      <c r="K77" s="107">
        <v>0</v>
      </c>
      <c r="L77" s="102">
        <v>0</v>
      </c>
      <c r="M77" s="92">
        <v>0</v>
      </c>
      <c r="N77" s="103">
        <v>0</v>
      </c>
      <c r="O77" s="111"/>
    </row>
    <row r="78" spans="1:18" ht="24.95" customHeight="1" x14ac:dyDescent="0.2">
      <c r="A78" s="49"/>
      <c r="B78" s="50"/>
      <c r="C78" s="53"/>
      <c r="D78" s="49"/>
      <c r="E78" s="49"/>
      <c r="F78" s="49"/>
      <c r="G78" s="57"/>
      <c r="H78" s="58"/>
      <c r="I78" s="53"/>
      <c r="J78" s="53"/>
      <c r="K78" s="53"/>
      <c r="L78" s="57"/>
      <c r="M78" s="92"/>
      <c r="N78" s="58"/>
      <c r="O78" s="31"/>
    </row>
    <row r="79" spans="1:18" ht="24.95" customHeight="1" x14ac:dyDescent="0.2">
      <c r="A79" s="61"/>
      <c r="B79" s="63"/>
      <c r="C79" s="62"/>
      <c r="D79" s="61"/>
      <c r="E79" s="61"/>
      <c r="F79" s="61"/>
      <c r="G79" s="64"/>
      <c r="H79" s="65"/>
      <c r="I79" s="62"/>
      <c r="J79" s="62"/>
      <c r="K79" s="62"/>
      <c r="L79" s="64"/>
      <c r="M79" s="92"/>
      <c r="N79" s="65"/>
      <c r="O79" s="27"/>
    </row>
    <row r="80" spans="1:18" ht="24.95" customHeight="1" x14ac:dyDescent="0.2">
      <c r="A80" s="61"/>
      <c r="B80" s="63"/>
      <c r="C80" s="62"/>
      <c r="D80" s="61"/>
      <c r="E80" s="61"/>
      <c r="F80" s="61"/>
      <c r="G80" s="64"/>
      <c r="H80" s="65"/>
      <c r="I80" s="62"/>
      <c r="J80" s="62"/>
      <c r="K80" s="62"/>
      <c r="L80" s="64"/>
      <c r="M80" s="92"/>
      <c r="N80" s="65"/>
      <c r="O80" s="27"/>
    </row>
    <row r="81" spans="1:15" ht="24.95" customHeight="1" x14ac:dyDescent="0.2">
      <c r="A81" s="61"/>
      <c r="B81" s="63"/>
      <c r="C81" s="62"/>
      <c r="D81" s="61"/>
      <c r="E81" s="61"/>
      <c r="F81" s="61"/>
      <c r="G81" s="64"/>
      <c r="H81" s="65"/>
      <c r="I81" s="62"/>
      <c r="J81" s="62"/>
      <c r="K81" s="62"/>
      <c r="L81" s="64"/>
      <c r="M81" s="92"/>
      <c r="N81" s="65"/>
      <c r="O81" s="27"/>
    </row>
    <row r="82" spans="1:15" ht="24.95" customHeight="1" x14ac:dyDescent="0.2">
      <c r="A82" s="61"/>
      <c r="B82" s="63"/>
      <c r="C82" s="61"/>
      <c r="D82" s="61"/>
      <c r="E82" s="61"/>
      <c r="F82" s="61"/>
      <c r="G82" s="64"/>
      <c r="H82" s="65"/>
      <c r="I82" s="62"/>
      <c r="J82" s="62"/>
      <c r="K82" s="62"/>
      <c r="L82" s="64"/>
      <c r="M82" s="92"/>
      <c r="N82" s="65"/>
      <c r="O82" s="27"/>
    </row>
    <row r="83" spans="1:15" ht="24.95" customHeight="1" x14ac:dyDescent="0.2">
      <c r="A83" s="61"/>
      <c r="B83" s="63"/>
      <c r="C83" s="61"/>
      <c r="D83" s="61"/>
      <c r="E83" s="61"/>
      <c r="F83" s="61"/>
      <c r="G83" s="64"/>
      <c r="H83" s="65"/>
      <c r="I83" s="62"/>
      <c r="J83" s="62"/>
      <c r="K83" s="62"/>
      <c r="L83" s="64"/>
      <c r="M83" s="92"/>
      <c r="N83" s="65"/>
      <c r="O83" s="27"/>
    </row>
    <row r="84" spans="1:15" ht="24.95" customHeight="1" x14ac:dyDescent="0.2">
      <c r="A84" s="61"/>
      <c r="B84" s="63"/>
      <c r="C84" s="61"/>
      <c r="D84" s="61"/>
      <c r="E84" s="61"/>
      <c r="F84" s="61"/>
      <c r="G84" s="64"/>
      <c r="H84" s="65"/>
      <c r="I84" s="62"/>
      <c r="J84" s="62"/>
      <c r="K84" s="62"/>
      <c r="L84" s="64"/>
      <c r="M84" s="92"/>
      <c r="N84" s="65"/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9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9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9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9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9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9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9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9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9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9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9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9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9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xmlns:xlrd2="http://schemas.microsoft.com/office/spreadsheetml/2017/richdata2" ref="A2:O76">
    <sortCondition ref="B1:B76"/>
  </sortState>
  <pageMargins left="0.7" right="0.7" top="0.75" bottom="0.75" header="0.3" footer="0.3"/>
  <pageSetup scale="65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BF6BF-9F52-4C43-B9CE-FB13FE1ACCE5}">
  <sheetPr codeName="Sheet20">
    <tabColor rgb="FFFF0000"/>
  </sheetPr>
  <dimension ref="A1:S651"/>
  <sheetViews>
    <sheetView zoomScaleNormal="100" workbookViewId="0">
      <selection activeCell="O67" sqref="O67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9.140625" style="24"/>
  </cols>
  <sheetData>
    <row r="1" spans="1:19" ht="38.2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Q1" s="60"/>
      <c r="R1" s="1"/>
      <c r="S1" s="1"/>
    </row>
    <row r="2" spans="1:19" ht="24.95" customHeight="1" x14ac:dyDescent="0.2">
      <c r="A2" s="113">
        <v>1</v>
      </c>
      <c r="B2" s="50">
        <v>10</v>
      </c>
      <c r="C2" s="134" t="s">
        <v>440</v>
      </c>
      <c r="D2" s="92">
        <v>5</v>
      </c>
      <c r="E2" s="49">
        <v>7.25</v>
      </c>
      <c r="F2" s="49">
        <v>5</v>
      </c>
      <c r="G2" s="57">
        <v>8.25</v>
      </c>
      <c r="H2" s="100">
        <v>2.36</v>
      </c>
      <c r="I2" s="104">
        <v>5</v>
      </c>
      <c r="J2" s="53">
        <v>8.75</v>
      </c>
      <c r="K2" s="53">
        <v>5</v>
      </c>
      <c r="L2" s="57">
        <v>9.75</v>
      </c>
      <c r="M2" s="53">
        <v>18</v>
      </c>
      <c r="N2" s="100">
        <v>3.03</v>
      </c>
      <c r="O2" s="109"/>
    </row>
    <row r="3" spans="1:19" ht="24.95" customHeight="1" x14ac:dyDescent="0.2">
      <c r="A3" s="114">
        <v>2</v>
      </c>
      <c r="B3" s="63">
        <v>8</v>
      </c>
      <c r="C3" s="115" t="s">
        <v>197</v>
      </c>
      <c r="D3" s="70">
        <v>2</v>
      </c>
      <c r="E3" s="61">
        <v>4.3</v>
      </c>
      <c r="F3" s="61">
        <v>2</v>
      </c>
      <c r="G3" s="64">
        <v>4.7</v>
      </c>
      <c r="H3" s="101">
        <v>2.2200000000000002</v>
      </c>
      <c r="I3" s="105">
        <v>7</v>
      </c>
      <c r="J3" s="62">
        <v>9.5299999999999994</v>
      </c>
      <c r="K3" s="62">
        <v>7</v>
      </c>
      <c r="L3" s="64">
        <v>10.93</v>
      </c>
      <c r="M3" s="62">
        <v>15.63</v>
      </c>
      <c r="N3" s="101">
        <v>2.72</v>
      </c>
      <c r="O3" s="110"/>
    </row>
    <row r="4" spans="1:19" ht="24.95" customHeight="1" x14ac:dyDescent="0.2">
      <c r="A4" s="114">
        <v>3</v>
      </c>
      <c r="B4" s="63">
        <v>44</v>
      </c>
      <c r="C4" s="116" t="s">
        <v>345</v>
      </c>
      <c r="D4" s="70">
        <v>5</v>
      </c>
      <c r="E4" s="61">
        <v>5.96</v>
      </c>
      <c r="F4" s="61">
        <v>5</v>
      </c>
      <c r="G4" s="64">
        <v>6.96</v>
      </c>
      <c r="H4" s="101">
        <v>2.2000000000000002</v>
      </c>
      <c r="I4" s="105">
        <v>4</v>
      </c>
      <c r="J4" s="62">
        <v>5.48</v>
      </c>
      <c r="K4" s="62">
        <v>4</v>
      </c>
      <c r="L4" s="64">
        <v>6.28</v>
      </c>
      <c r="M4" s="62">
        <v>13.24</v>
      </c>
      <c r="N4" s="101">
        <v>1.89</v>
      </c>
      <c r="O4" s="110"/>
    </row>
    <row r="5" spans="1:19" ht="24.95" customHeight="1" x14ac:dyDescent="0.2">
      <c r="A5" s="114">
        <v>4</v>
      </c>
      <c r="B5" s="63">
        <v>22</v>
      </c>
      <c r="C5" s="116" t="s">
        <v>287</v>
      </c>
      <c r="D5" s="70">
        <v>2</v>
      </c>
      <c r="E5" s="61">
        <v>4.3899999999999997</v>
      </c>
      <c r="F5" s="61">
        <v>2</v>
      </c>
      <c r="G5" s="64">
        <v>4.79</v>
      </c>
      <c r="H5" s="101">
        <v>2.2999999999999998</v>
      </c>
      <c r="I5" s="105">
        <v>5</v>
      </c>
      <c r="J5" s="62">
        <v>7.22</v>
      </c>
      <c r="K5" s="62">
        <v>5</v>
      </c>
      <c r="L5" s="64">
        <v>8.2200000000000006</v>
      </c>
      <c r="M5" s="62">
        <v>13.01</v>
      </c>
      <c r="N5" s="101">
        <v>2.46</v>
      </c>
      <c r="O5" s="110"/>
    </row>
    <row r="6" spans="1:19" ht="24.95" customHeight="1" x14ac:dyDescent="0.2">
      <c r="A6" s="114">
        <v>5</v>
      </c>
      <c r="B6" s="63">
        <v>34</v>
      </c>
      <c r="C6" s="116" t="s">
        <v>258</v>
      </c>
      <c r="D6" s="70">
        <v>2</v>
      </c>
      <c r="E6" s="61">
        <v>4.3899999999999997</v>
      </c>
      <c r="F6" s="61">
        <v>2</v>
      </c>
      <c r="G6" s="64">
        <v>4.79</v>
      </c>
      <c r="H6" s="101">
        <v>2.23</v>
      </c>
      <c r="I6" s="105">
        <v>2</v>
      </c>
      <c r="J6" s="62">
        <v>6.93</v>
      </c>
      <c r="K6" s="62">
        <v>2</v>
      </c>
      <c r="L6" s="64">
        <v>7.33</v>
      </c>
      <c r="M6" s="62">
        <v>12.12</v>
      </c>
      <c r="N6" s="101">
        <v>4.5999999999999996</v>
      </c>
      <c r="O6" s="110"/>
    </row>
    <row r="7" spans="1:19" ht="24.95" customHeight="1" x14ac:dyDescent="0.2">
      <c r="A7" s="114">
        <v>6</v>
      </c>
      <c r="B7" s="63">
        <v>55</v>
      </c>
      <c r="C7" s="116" t="s">
        <v>352</v>
      </c>
      <c r="D7" s="70">
        <v>3</v>
      </c>
      <c r="E7" s="61">
        <v>4.49</v>
      </c>
      <c r="F7" s="61">
        <v>3</v>
      </c>
      <c r="G7" s="64">
        <v>5.09</v>
      </c>
      <c r="H7" s="101">
        <v>2.0499999999999998</v>
      </c>
      <c r="I7" s="105">
        <v>5</v>
      </c>
      <c r="J7" s="62">
        <v>5.65</v>
      </c>
      <c r="K7" s="62">
        <v>5</v>
      </c>
      <c r="L7" s="64">
        <v>6.65</v>
      </c>
      <c r="M7" s="62">
        <v>11.74</v>
      </c>
      <c r="N7" s="101">
        <v>2.11</v>
      </c>
      <c r="O7" s="110"/>
    </row>
    <row r="8" spans="1:19" ht="24.95" customHeight="1" x14ac:dyDescent="0.2">
      <c r="A8" s="114">
        <v>7</v>
      </c>
      <c r="B8" s="63">
        <v>63</v>
      </c>
      <c r="C8" s="116" t="s">
        <v>459</v>
      </c>
      <c r="D8" s="70">
        <v>4</v>
      </c>
      <c r="E8" s="61">
        <v>5.41</v>
      </c>
      <c r="F8" s="61">
        <v>4</v>
      </c>
      <c r="G8" s="64">
        <v>6.21</v>
      </c>
      <c r="H8" s="101">
        <v>2.11</v>
      </c>
      <c r="I8" s="105">
        <v>2</v>
      </c>
      <c r="J8" s="62">
        <v>4.92</v>
      </c>
      <c r="K8" s="62">
        <v>2</v>
      </c>
      <c r="L8" s="64">
        <v>5.32</v>
      </c>
      <c r="M8" s="62">
        <v>11.53</v>
      </c>
      <c r="N8" s="101">
        <v>2.54</v>
      </c>
      <c r="O8" s="110"/>
    </row>
    <row r="9" spans="1:19" ht="24.95" customHeight="1" x14ac:dyDescent="0.2">
      <c r="A9" s="114">
        <v>8</v>
      </c>
      <c r="B9" s="63">
        <v>28</v>
      </c>
      <c r="C9" s="116" t="s">
        <v>326</v>
      </c>
      <c r="D9" s="70">
        <v>3</v>
      </c>
      <c r="E9" s="61">
        <v>5.2</v>
      </c>
      <c r="F9" s="61">
        <v>3</v>
      </c>
      <c r="G9" s="64">
        <v>5.8</v>
      </c>
      <c r="H9" s="101">
        <v>2.27</v>
      </c>
      <c r="I9" s="105">
        <v>3</v>
      </c>
      <c r="J9" s="62">
        <v>4.92</v>
      </c>
      <c r="K9" s="62">
        <v>3</v>
      </c>
      <c r="L9" s="64">
        <v>5.52</v>
      </c>
      <c r="M9" s="62">
        <v>11.32</v>
      </c>
      <c r="N9" s="101">
        <v>2.15</v>
      </c>
      <c r="O9" s="110"/>
      <c r="Q9" t="s">
        <v>372</v>
      </c>
    </row>
    <row r="10" spans="1:19" ht="24.95" customHeight="1" x14ac:dyDescent="0.2">
      <c r="A10" s="114">
        <v>9</v>
      </c>
      <c r="B10" s="63">
        <v>18</v>
      </c>
      <c r="C10" s="116" t="s">
        <v>363</v>
      </c>
      <c r="D10" s="70">
        <v>2</v>
      </c>
      <c r="E10" s="61">
        <v>5.16</v>
      </c>
      <c r="F10" s="61">
        <v>2</v>
      </c>
      <c r="G10" s="64">
        <v>5.56</v>
      </c>
      <c r="H10" s="101">
        <v>2.81</v>
      </c>
      <c r="I10" s="105">
        <v>3</v>
      </c>
      <c r="J10" s="62">
        <v>5.15</v>
      </c>
      <c r="K10" s="62">
        <v>3</v>
      </c>
      <c r="L10" s="64">
        <v>5.75</v>
      </c>
      <c r="M10" s="62">
        <v>11.31</v>
      </c>
      <c r="N10" s="101">
        <v>2.3199999999999998</v>
      </c>
      <c r="O10" s="110"/>
    </row>
    <row r="11" spans="1:19" ht="24.95" customHeight="1" x14ac:dyDescent="0.2">
      <c r="A11" s="114">
        <v>10</v>
      </c>
      <c r="B11" s="63">
        <v>14</v>
      </c>
      <c r="C11" s="116" t="s">
        <v>379</v>
      </c>
      <c r="D11" s="70">
        <v>2</v>
      </c>
      <c r="E11" s="61">
        <v>3.87</v>
      </c>
      <c r="F11" s="61">
        <v>2</v>
      </c>
      <c r="G11" s="64">
        <v>4.2699999999999996</v>
      </c>
      <c r="H11" s="101">
        <v>1.96</v>
      </c>
      <c r="I11" s="105">
        <v>4</v>
      </c>
      <c r="J11" s="62">
        <v>6.02</v>
      </c>
      <c r="K11" s="62">
        <v>4</v>
      </c>
      <c r="L11" s="64">
        <v>6.82</v>
      </c>
      <c r="M11" s="62">
        <v>11.09</v>
      </c>
      <c r="N11" s="101">
        <v>2.31</v>
      </c>
      <c r="O11" s="110"/>
    </row>
    <row r="12" spans="1:19" ht="24.95" customHeight="1" x14ac:dyDescent="0.2">
      <c r="A12" s="114">
        <v>11</v>
      </c>
      <c r="B12" s="63">
        <v>51</v>
      </c>
      <c r="C12" s="116" t="s">
        <v>320</v>
      </c>
      <c r="D12" s="70">
        <v>4</v>
      </c>
      <c r="E12" s="61">
        <v>5.54</v>
      </c>
      <c r="F12" s="61">
        <v>4</v>
      </c>
      <c r="G12" s="64">
        <v>6.34</v>
      </c>
      <c r="H12" s="101">
        <v>2.1800000000000002</v>
      </c>
      <c r="I12" s="105">
        <v>2</v>
      </c>
      <c r="J12" s="62">
        <v>4.28</v>
      </c>
      <c r="K12" s="62">
        <v>2</v>
      </c>
      <c r="L12" s="64">
        <v>4.68</v>
      </c>
      <c r="M12" s="62">
        <v>11.02</v>
      </c>
      <c r="N12" s="101">
        <v>2.17</v>
      </c>
      <c r="O12" s="110"/>
    </row>
    <row r="13" spans="1:19" ht="24.95" customHeight="1" x14ac:dyDescent="0.2">
      <c r="A13" s="114">
        <v>12</v>
      </c>
      <c r="B13" s="63">
        <v>39</v>
      </c>
      <c r="C13" s="116" t="s">
        <v>307</v>
      </c>
      <c r="D13" s="70">
        <v>2</v>
      </c>
      <c r="E13" s="61">
        <v>4.5199999999999996</v>
      </c>
      <c r="F13" s="61">
        <v>2</v>
      </c>
      <c r="G13" s="64">
        <v>4.92</v>
      </c>
      <c r="H13" s="101">
        <v>2.35</v>
      </c>
      <c r="I13" s="105">
        <v>2</v>
      </c>
      <c r="J13" s="62">
        <v>5.52</v>
      </c>
      <c r="K13" s="62">
        <v>2</v>
      </c>
      <c r="L13" s="64">
        <v>5.92</v>
      </c>
      <c r="M13" s="62">
        <v>10.84</v>
      </c>
      <c r="N13" s="101">
        <v>2.38</v>
      </c>
      <c r="O13" s="110"/>
    </row>
    <row r="14" spans="1:19" ht="24.95" customHeight="1" x14ac:dyDescent="0.2">
      <c r="A14" s="114">
        <v>13</v>
      </c>
      <c r="B14" s="63">
        <v>2</v>
      </c>
      <c r="C14" s="116" t="s">
        <v>397</v>
      </c>
      <c r="D14" s="70">
        <v>2</v>
      </c>
      <c r="E14" s="61">
        <v>4.12</v>
      </c>
      <c r="F14" s="61">
        <v>2</v>
      </c>
      <c r="G14" s="64">
        <v>4.5199999999999996</v>
      </c>
      <c r="H14" s="101">
        <v>2.12</v>
      </c>
      <c r="I14" s="105">
        <v>3</v>
      </c>
      <c r="J14" s="62">
        <v>5.58</v>
      </c>
      <c r="K14" s="62">
        <v>3</v>
      </c>
      <c r="L14" s="64">
        <v>6.18</v>
      </c>
      <c r="M14" s="62">
        <v>10.7</v>
      </c>
      <c r="N14" s="101">
        <v>2.4500000000000002</v>
      </c>
      <c r="O14" s="110"/>
      <c r="Q14" t="s">
        <v>372</v>
      </c>
    </row>
    <row r="15" spans="1:19" ht="24.95" customHeight="1" x14ac:dyDescent="0.2">
      <c r="A15" s="114">
        <v>14</v>
      </c>
      <c r="B15" s="63">
        <v>45</v>
      </c>
      <c r="C15" s="116" t="s">
        <v>253</v>
      </c>
      <c r="D15" s="70">
        <v>3</v>
      </c>
      <c r="E15" s="61">
        <v>4.93</v>
      </c>
      <c r="F15" s="61">
        <v>3</v>
      </c>
      <c r="G15" s="64">
        <v>5.53</v>
      </c>
      <c r="H15" s="101">
        <v>2.0499999999999998</v>
      </c>
      <c r="I15" s="105">
        <v>3</v>
      </c>
      <c r="J15" s="62">
        <v>4.4000000000000004</v>
      </c>
      <c r="K15" s="62">
        <v>3</v>
      </c>
      <c r="L15" s="64">
        <v>5</v>
      </c>
      <c r="M15" s="62">
        <v>10.53</v>
      </c>
      <c r="N15" s="101">
        <v>1.79</v>
      </c>
      <c r="O15" s="110"/>
      <c r="Q15" t="s">
        <v>372</v>
      </c>
      <c r="R15" t="s">
        <v>372</v>
      </c>
    </row>
    <row r="16" spans="1:19" ht="24.95" customHeight="1" x14ac:dyDescent="0.2">
      <c r="A16" s="114">
        <v>15</v>
      </c>
      <c r="B16" s="63">
        <v>15</v>
      </c>
      <c r="C16" s="116" t="s">
        <v>323</v>
      </c>
      <c r="D16" s="70">
        <v>3</v>
      </c>
      <c r="E16" s="61">
        <v>5.4</v>
      </c>
      <c r="F16" s="61">
        <v>3</v>
      </c>
      <c r="G16" s="64">
        <v>6</v>
      </c>
      <c r="H16" s="101">
        <v>2.35</v>
      </c>
      <c r="I16" s="105">
        <v>2</v>
      </c>
      <c r="J16" s="62">
        <v>4.04</v>
      </c>
      <c r="K16" s="62">
        <v>2</v>
      </c>
      <c r="L16" s="64">
        <v>4.4400000000000004</v>
      </c>
      <c r="M16" s="62">
        <v>10.44</v>
      </c>
      <c r="N16" s="101">
        <v>2.11</v>
      </c>
      <c r="O16" s="110"/>
      <c r="Q16" t="s">
        <v>372</v>
      </c>
    </row>
    <row r="17" spans="1:18" ht="24.95" customHeight="1" x14ac:dyDescent="0.2">
      <c r="A17" s="114">
        <v>16</v>
      </c>
      <c r="B17" s="63">
        <v>6</v>
      </c>
      <c r="C17" s="115" t="s">
        <v>439</v>
      </c>
      <c r="D17" s="70">
        <v>2</v>
      </c>
      <c r="E17" s="61">
        <v>3.62</v>
      </c>
      <c r="F17" s="61">
        <v>2</v>
      </c>
      <c r="G17" s="64">
        <v>4.0199999999999996</v>
      </c>
      <c r="H17" s="101">
        <v>2.46</v>
      </c>
      <c r="I17" s="105">
        <v>3</v>
      </c>
      <c r="J17" s="62">
        <v>5.56</v>
      </c>
      <c r="K17" s="62">
        <v>3</v>
      </c>
      <c r="L17" s="64">
        <v>6.16</v>
      </c>
      <c r="M17" s="62">
        <v>10.18</v>
      </c>
      <c r="N17" s="101">
        <v>2.2599999999999998</v>
      </c>
      <c r="O17" s="110"/>
      <c r="Q17" t="s">
        <v>372</v>
      </c>
    </row>
    <row r="18" spans="1:18" ht="24.95" customHeight="1" x14ac:dyDescent="0.2">
      <c r="A18" s="114">
        <v>17</v>
      </c>
      <c r="B18" s="63">
        <v>4</v>
      </c>
      <c r="C18" s="115" t="s">
        <v>387</v>
      </c>
      <c r="D18" s="70">
        <v>2</v>
      </c>
      <c r="E18" s="61">
        <v>3.68</v>
      </c>
      <c r="F18" s="61">
        <v>2</v>
      </c>
      <c r="G18" s="64">
        <v>4.08</v>
      </c>
      <c r="H18" s="101">
        <v>1.96</v>
      </c>
      <c r="I18" s="105">
        <v>3</v>
      </c>
      <c r="J18" s="62">
        <v>5.47</v>
      </c>
      <c r="K18" s="62">
        <v>3</v>
      </c>
      <c r="L18" s="64">
        <v>6.07</v>
      </c>
      <c r="M18" s="62">
        <v>10.15</v>
      </c>
      <c r="N18" s="101">
        <v>2.3199999999999998</v>
      </c>
      <c r="O18" s="110"/>
    </row>
    <row r="19" spans="1:18" ht="24.95" customHeight="1" x14ac:dyDescent="0.2">
      <c r="A19" s="114">
        <v>18</v>
      </c>
      <c r="B19" s="63">
        <v>9</v>
      </c>
      <c r="C19" s="115" t="s">
        <v>238</v>
      </c>
      <c r="D19" s="70">
        <v>3</v>
      </c>
      <c r="E19" s="61">
        <v>4.99</v>
      </c>
      <c r="F19" s="61">
        <v>3</v>
      </c>
      <c r="G19" s="64">
        <v>5.59</v>
      </c>
      <c r="H19" s="101">
        <v>2.1</v>
      </c>
      <c r="I19" s="105">
        <v>2</v>
      </c>
      <c r="J19" s="62">
        <v>3.98</v>
      </c>
      <c r="K19" s="62">
        <v>2</v>
      </c>
      <c r="L19" s="64">
        <v>4.38</v>
      </c>
      <c r="M19" s="62">
        <v>9.9700000000000006</v>
      </c>
      <c r="N19" s="101">
        <v>2.0699999999999998</v>
      </c>
      <c r="O19" s="110"/>
      <c r="Q19" t="s">
        <v>372</v>
      </c>
    </row>
    <row r="20" spans="1:18" ht="24.95" customHeight="1" x14ac:dyDescent="0.2">
      <c r="A20" s="114">
        <v>19</v>
      </c>
      <c r="B20" s="63">
        <v>46</v>
      </c>
      <c r="C20" s="116" t="s">
        <v>448</v>
      </c>
      <c r="D20" s="70">
        <v>2</v>
      </c>
      <c r="E20" s="61">
        <v>4.7</v>
      </c>
      <c r="F20" s="61">
        <v>2</v>
      </c>
      <c r="G20" s="64">
        <v>5.0999999999999996</v>
      </c>
      <c r="H20" s="101">
        <v>2.5299999999999998</v>
      </c>
      <c r="I20" s="105">
        <v>2</v>
      </c>
      <c r="J20" s="62">
        <v>4.45</v>
      </c>
      <c r="K20" s="62">
        <v>2</v>
      </c>
      <c r="L20" s="64">
        <v>4.8499999999999996</v>
      </c>
      <c r="M20" s="62">
        <v>9.9499999999999993</v>
      </c>
      <c r="N20" s="101">
        <v>2.38</v>
      </c>
      <c r="O20" s="110"/>
      <c r="Q20" t="s">
        <v>372</v>
      </c>
    </row>
    <row r="21" spans="1:18" ht="24.95" customHeight="1" x14ac:dyDescent="0.2">
      <c r="A21" s="114">
        <v>20</v>
      </c>
      <c r="B21" s="63">
        <v>12</v>
      </c>
      <c r="C21" s="116" t="s">
        <v>393</v>
      </c>
      <c r="D21" s="70">
        <v>2</v>
      </c>
      <c r="E21" s="61">
        <v>3.8</v>
      </c>
      <c r="F21" s="61">
        <v>2</v>
      </c>
      <c r="G21" s="64">
        <v>4.2</v>
      </c>
      <c r="H21" s="101">
        <v>1.86</v>
      </c>
      <c r="I21" s="105">
        <v>3</v>
      </c>
      <c r="J21" s="62">
        <v>4.88</v>
      </c>
      <c r="K21" s="62">
        <v>3</v>
      </c>
      <c r="L21" s="64">
        <v>5.48</v>
      </c>
      <c r="M21" s="62">
        <v>9.68</v>
      </c>
      <c r="N21" s="101">
        <v>2.1</v>
      </c>
      <c r="O21" s="110"/>
      <c r="Q21" t="s">
        <v>372</v>
      </c>
    </row>
    <row r="22" spans="1:18" ht="24.95" customHeight="1" x14ac:dyDescent="0.2">
      <c r="A22" s="114">
        <v>21</v>
      </c>
      <c r="B22" s="63">
        <v>52</v>
      </c>
      <c r="C22" s="116" t="s">
        <v>211</v>
      </c>
      <c r="D22" s="70">
        <v>2</v>
      </c>
      <c r="E22" s="61">
        <v>4.5599999999999996</v>
      </c>
      <c r="F22" s="61">
        <v>2</v>
      </c>
      <c r="G22" s="64">
        <v>4.96</v>
      </c>
      <c r="H22" s="101">
        <v>2.42</v>
      </c>
      <c r="I22" s="105">
        <v>2</v>
      </c>
      <c r="J22" s="62">
        <v>4.1399999999999997</v>
      </c>
      <c r="K22" s="62">
        <v>2</v>
      </c>
      <c r="L22" s="64">
        <v>4.54</v>
      </c>
      <c r="M22" s="62">
        <v>9.5</v>
      </c>
      <c r="N22" s="101">
        <v>2.33</v>
      </c>
      <c r="O22" s="110"/>
      <c r="Q22" t="s">
        <v>372</v>
      </c>
      <c r="R22" t="s">
        <v>372</v>
      </c>
    </row>
    <row r="23" spans="1:18" ht="24.95" customHeight="1" x14ac:dyDescent="0.2">
      <c r="A23" s="114">
        <v>22</v>
      </c>
      <c r="B23" s="63">
        <v>31</v>
      </c>
      <c r="C23" s="116" t="s">
        <v>297</v>
      </c>
      <c r="D23" s="70">
        <v>2</v>
      </c>
      <c r="E23" s="61">
        <v>4.8600000000000003</v>
      </c>
      <c r="F23" s="61">
        <v>2</v>
      </c>
      <c r="G23" s="64">
        <v>5.26</v>
      </c>
      <c r="H23" s="101">
        <v>2.67</v>
      </c>
      <c r="I23" s="105">
        <v>2</v>
      </c>
      <c r="J23" s="62">
        <v>3.72</v>
      </c>
      <c r="K23" s="62">
        <v>2</v>
      </c>
      <c r="L23" s="64">
        <v>4.12</v>
      </c>
      <c r="M23" s="62">
        <v>9.3800000000000008</v>
      </c>
      <c r="N23" s="101">
        <v>2.02</v>
      </c>
      <c r="O23" s="110"/>
      <c r="Q23" t="s">
        <v>372</v>
      </c>
    </row>
    <row r="24" spans="1:18" ht="24.95" customHeight="1" x14ac:dyDescent="0.2">
      <c r="A24" s="114">
        <v>23</v>
      </c>
      <c r="B24" s="63">
        <v>72</v>
      </c>
      <c r="C24" s="116" t="s">
        <v>466</v>
      </c>
      <c r="D24" s="70">
        <v>2</v>
      </c>
      <c r="E24" s="61">
        <v>3.77</v>
      </c>
      <c r="F24" s="61">
        <v>2</v>
      </c>
      <c r="G24" s="64">
        <v>4.17</v>
      </c>
      <c r="H24" s="101">
        <v>2.0299999999999998</v>
      </c>
      <c r="I24" s="105">
        <v>3</v>
      </c>
      <c r="J24" s="62">
        <v>4.58</v>
      </c>
      <c r="K24" s="62">
        <v>3</v>
      </c>
      <c r="L24" s="64">
        <v>5.18</v>
      </c>
      <c r="M24" s="62">
        <v>9.35</v>
      </c>
      <c r="N24" s="101">
        <v>1.93</v>
      </c>
      <c r="O24" s="110"/>
    </row>
    <row r="25" spans="1:18" ht="24.95" customHeight="1" x14ac:dyDescent="0.2">
      <c r="A25" s="114">
        <v>24</v>
      </c>
      <c r="B25" s="63">
        <v>26</v>
      </c>
      <c r="C25" s="116" t="s">
        <v>444</v>
      </c>
      <c r="D25" s="70">
        <v>2</v>
      </c>
      <c r="E25" s="61">
        <v>4.24</v>
      </c>
      <c r="F25" s="61">
        <v>2</v>
      </c>
      <c r="G25" s="64">
        <v>4.6399999999999997</v>
      </c>
      <c r="H25" s="101">
        <v>2.2400000000000002</v>
      </c>
      <c r="I25" s="105">
        <v>2</v>
      </c>
      <c r="J25" s="62">
        <v>4.24</v>
      </c>
      <c r="K25" s="62">
        <v>2</v>
      </c>
      <c r="L25" s="64">
        <v>4.6399999999999997</v>
      </c>
      <c r="M25" s="62">
        <v>9.2799999999999994</v>
      </c>
      <c r="N25" s="101">
        <v>2.14</v>
      </c>
      <c r="O25" s="110"/>
    </row>
    <row r="26" spans="1:18" ht="24.95" customHeight="1" x14ac:dyDescent="0.2">
      <c r="A26" s="114">
        <v>25</v>
      </c>
      <c r="B26" s="63">
        <v>16</v>
      </c>
      <c r="C26" s="116" t="s">
        <v>442</v>
      </c>
      <c r="D26" s="70">
        <v>2</v>
      </c>
      <c r="E26" s="61">
        <v>3.67</v>
      </c>
      <c r="F26" s="61">
        <v>2</v>
      </c>
      <c r="G26" s="64">
        <v>4.07</v>
      </c>
      <c r="H26" s="101">
        <v>1.89</v>
      </c>
      <c r="I26" s="105">
        <v>2</v>
      </c>
      <c r="J26" s="62">
        <v>4.5599999999999996</v>
      </c>
      <c r="K26" s="62">
        <v>2</v>
      </c>
      <c r="L26" s="64">
        <v>4.96</v>
      </c>
      <c r="M26" s="62">
        <v>9.0299999999999994</v>
      </c>
      <c r="N26" s="101">
        <v>2.4900000000000002</v>
      </c>
      <c r="O26" s="110"/>
      <c r="Q26" t="s">
        <v>372</v>
      </c>
    </row>
    <row r="27" spans="1:18" ht="24.95" customHeight="1" x14ac:dyDescent="0.2">
      <c r="A27" s="114">
        <v>26</v>
      </c>
      <c r="B27" s="63">
        <v>38</v>
      </c>
      <c r="C27" s="116" t="s">
        <v>225</v>
      </c>
      <c r="D27" s="70">
        <v>2</v>
      </c>
      <c r="E27" s="61">
        <v>3.77</v>
      </c>
      <c r="F27" s="61">
        <v>2</v>
      </c>
      <c r="G27" s="64">
        <v>4.17</v>
      </c>
      <c r="H27" s="101">
        <v>2.0099999999999998</v>
      </c>
      <c r="I27" s="105">
        <v>2</v>
      </c>
      <c r="J27" s="62">
        <v>4.41</v>
      </c>
      <c r="K27" s="62">
        <v>2</v>
      </c>
      <c r="L27" s="64">
        <v>4.8099999999999996</v>
      </c>
      <c r="M27" s="62">
        <v>8.98</v>
      </c>
      <c r="N27" s="101">
        <v>2.5</v>
      </c>
      <c r="O27" s="110"/>
    </row>
    <row r="28" spans="1:18" ht="24.95" customHeight="1" x14ac:dyDescent="0.2">
      <c r="A28" s="114">
        <v>27</v>
      </c>
      <c r="B28" s="63">
        <v>5</v>
      </c>
      <c r="C28" s="116" t="s">
        <v>438</v>
      </c>
      <c r="D28" s="70">
        <v>2</v>
      </c>
      <c r="E28" s="61">
        <v>4.29</v>
      </c>
      <c r="F28" s="61">
        <v>2</v>
      </c>
      <c r="G28" s="64">
        <v>4.6900000000000004</v>
      </c>
      <c r="H28" s="101">
        <v>2.3199999999999998</v>
      </c>
      <c r="I28" s="105">
        <v>2</v>
      </c>
      <c r="J28" s="62">
        <v>3.6</v>
      </c>
      <c r="K28" s="62">
        <v>2</v>
      </c>
      <c r="L28" s="64">
        <v>4</v>
      </c>
      <c r="M28" s="62">
        <v>8.69</v>
      </c>
      <c r="N28" s="101">
        <v>1.81</v>
      </c>
      <c r="O28" s="110"/>
      <c r="Q28" t="s">
        <v>372</v>
      </c>
    </row>
    <row r="29" spans="1:18" ht="24.95" customHeight="1" x14ac:dyDescent="0.2">
      <c r="A29" s="114">
        <v>28</v>
      </c>
      <c r="B29" s="63">
        <v>60</v>
      </c>
      <c r="C29" s="116" t="s">
        <v>456</v>
      </c>
      <c r="D29" s="70">
        <v>2</v>
      </c>
      <c r="E29" s="61">
        <v>3.66</v>
      </c>
      <c r="F29" s="61">
        <v>2</v>
      </c>
      <c r="G29" s="64">
        <v>4.0599999999999996</v>
      </c>
      <c r="H29" s="101">
        <v>1.99</v>
      </c>
      <c r="I29" s="105">
        <v>2</v>
      </c>
      <c r="J29" s="62">
        <v>4.22</v>
      </c>
      <c r="K29" s="62">
        <v>2</v>
      </c>
      <c r="L29" s="64">
        <v>4.62</v>
      </c>
      <c r="M29" s="62">
        <v>8.68</v>
      </c>
      <c r="N29" s="101">
        <v>2.2599999999999998</v>
      </c>
      <c r="O29" s="110"/>
      <c r="Q29" t="s">
        <v>372</v>
      </c>
    </row>
    <row r="30" spans="1:18" ht="24.95" customHeight="1" x14ac:dyDescent="0.2">
      <c r="A30" s="114">
        <v>29</v>
      </c>
      <c r="B30" s="63">
        <v>17</v>
      </c>
      <c r="C30" s="116" t="s">
        <v>226</v>
      </c>
      <c r="D30" s="70">
        <v>2</v>
      </c>
      <c r="E30" s="61">
        <v>4.0999999999999996</v>
      </c>
      <c r="F30" s="61">
        <v>2</v>
      </c>
      <c r="G30" s="64">
        <v>4.5</v>
      </c>
      <c r="H30" s="101">
        <v>2.29</v>
      </c>
      <c r="I30" s="105">
        <v>2</v>
      </c>
      <c r="J30" s="62">
        <v>3.77</v>
      </c>
      <c r="K30" s="62">
        <v>2</v>
      </c>
      <c r="L30" s="64">
        <v>4.17</v>
      </c>
      <c r="M30" s="62">
        <v>8.67</v>
      </c>
      <c r="N30" s="101">
        <v>2.0299999999999998</v>
      </c>
      <c r="O30" s="110"/>
    </row>
    <row r="31" spans="1:18" ht="24.95" customHeight="1" x14ac:dyDescent="0.2">
      <c r="A31" s="114">
        <v>30</v>
      </c>
      <c r="B31" s="63">
        <v>23</v>
      </c>
      <c r="C31" s="116" t="s">
        <v>391</v>
      </c>
      <c r="D31" s="70">
        <v>4</v>
      </c>
      <c r="E31" s="61">
        <v>5.05</v>
      </c>
      <c r="F31" s="61">
        <v>4</v>
      </c>
      <c r="G31" s="64">
        <v>5.85</v>
      </c>
      <c r="H31" s="101">
        <v>1.79</v>
      </c>
      <c r="I31" s="105">
        <v>2</v>
      </c>
      <c r="J31" s="62">
        <v>2.41</v>
      </c>
      <c r="K31" s="62">
        <v>2</v>
      </c>
      <c r="L31" s="64">
        <v>2.81</v>
      </c>
      <c r="M31" s="62">
        <v>8.66</v>
      </c>
      <c r="N31" s="101">
        <v>1.63</v>
      </c>
      <c r="O31" s="110"/>
      <c r="Q31" t="s">
        <v>372</v>
      </c>
    </row>
    <row r="32" spans="1:18" ht="24.95" customHeight="1" x14ac:dyDescent="0.2">
      <c r="A32" s="114">
        <v>31</v>
      </c>
      <c r="B32" s="63">
        <v>21</v>
      </c>
      <c r="C32" s="116" t="s">
        <v>210</v>
      </c>
      <c r="D32" s="70">
        <v>2</v>
      </c>
      <c r="E32" s="61">
        <v>4.3899999999999997</v>
      </c>
      <c r="F32" s="61">
        <v>2</v>
      </c>
      <c r="G32" s="64">
        <v>4.79</v>
      </c>
      <c r="H32" s="101">
        <v>2.2599999999999998</v>
      </c>
      <c r="I32" s="105">
        <v>3</v>
      </c>
      <c r="J32" s="62">
        <v>3.24</v>
      </c>
      <c r="K32" s="62">
        <v>3</v>
      </c>
      <c r="L32" s="64">
        <v>3.84</v>
      </c>
      <c r="M32" s="62">
        <v>8.6300000000000008</v>
      </c>
      <c r="N32" s="101">
        <v>2.08</v>
      </c>
      <c r="O32" s="110"/>
    </row>
    <row r="33" spans="1:18" ht="24.95" customHeight="1" x14ac:dyDescent="0.2">
      <c r="A33" s="114">
        <v>32</v>
      </c>
      <c r="B33" s="63">
        <v>19</v>
      </c>
      <c r="C33" s="116" t="s">
        <v>443</v>
      </c>
      <c r="D33" s="70">
        <v>2</v>
      </c>
      <c r="E33" s="61">
        <v>3.5</v>
      </c>
      <c r="F33" s="61">
        <v>2</v>
      </c>
      <c r="G33" s="64">
        <v>3.9</v>
      </c>
      <c r="H33" s="101">
        <v>1.79</v>
      </c>
      <c r="I33" s="105">
        <v>2</v>
      </c>
      <c r="J33" s="62">
        <v>4.3</v>
      </c>
      <c r="K33" s="62">
        <v>2</v>
      </c>
      <c r="L33" s="64">
        <v>4.7</v>
      </c>
      <c r="M33" s="62">
        <v>8.6</v>
      </c>
      <c r="N33" s="101">
        <v>2.37</v>
      </c>
      <c r="O33" s="110"/>
      <c r="Q33" t="s">
        <v>372</v>
      </c>
      <c r="R33" t="s">
        <v>372</v>
      </c>
    </row>
    <row r="34" spans="1:18" ht="24.95" customHeight="1" x14ac:dyDescent="0.2">
      <c r="A34" s="114">
        <v>33</v>
      </c>
      <c r="B34" s="63">
        <v>7</v>
      </c>
      <c r="C34" s="116" t="s">
        <v>246</v>
      </c>
      <c r="D34" s="70">
        <v>2</v>
      </c>
      <c r="E34" s="61">
        <v>3.58</v>
      </c>
      <c r="F34" s="61">
        <v>2</v>
      </c>
      <c r="G34" s="64">
        <v>3.98</v>
      </c>
      <c r="H34" s="101">
        <v>1.92</v>
      </c>
      <c r="I34" s="105">
        <v>2</v>
      </c>
      <c r="J34" s="62">
        <v>3.8</v>
      </c>
      <c r="K34" s="62">
        <v>2</v>
      </c>
      <c r="L34" s="64">
        <v>4.2</v>
      </c>
      <c r="M34" s="62">
        <v>8.18</v>
      </c>
      <c r="N34" s="101">
        <v>1.9</v>
      </c>
      <c r="O34" s="110"/>
      <c r="Q34" t="s">
        <v>372</v>
      </c>
      <c r="R34" t="s">
        <v>372</v>
      </c>
    </row>
    <row r="35" spans="1:18" ht="24.95" customHeight="1" x14ac:dyDescent="0.2">
      <c r="A35" s="114">
        <v>34</v>
      </c>
      <c r="B35" s="63">
        <v>24</v>
      </c>
      <c r="C35" s="116" t="s">
        <v>310</v>
      </c>
      <c r="D35" s="70">
        <v>2</v>
      </c>
      <c r="E35" s="61">
        <v>4.45</v>
      </c>
      <c r="F35" s="61">
        <v>2</v>
      </c>
      <c r="G35" s="64">
        <v>4.8499999999999996</v>
      </c>
      <c r="H35" s="101">
        <v>2.2400000000000002</v>
      </c>
      <c r="I35" s="105">
        <v>2</v>
      </c>
      <c r="J35" s="62">
        <v>2.7</v>
      </c>
      <c r="K35" s="62">
        <v>2</v>
      </c>
      <c r="L35" s="64">
        <v>3.1</v>
      </c>
      <c r="M35" s="62">
        <v>7.95</v>
      </c>
      <c r="N35" s="101">
        <v>2.0699999999999998</v>
      </c>
      <c r="O35" s="110"/>
      <c r="Q35" t="s">
        <v>372</v>
      </c>
    </row>
    <row r="36" spans="1:18" ht="24.95" customHeight="1" x14ac:dyDescent="0.2">
      <c r="A36" s="114">
        <v>35</v>
      </c>
      <c r="B36" s="63">
        <v>68</v>
      </c>
      <c r="C36" s="116" t="s">
        <v>462</v>
      </c>
      <c r="D36" s="70">
        <v>2</v>
      </c>
      <c r="E36" s="61">
        <v>3.48</v>
      </c>
      <c r="F36" s="61">
        <v>2</v>
      </c>
      <c r="G36" s="64">
        <v>3.88</v>
      </c>
      <c r="H36" s="101">
        <v>1.89</v>
      </c>
      <c r="I36" s="105">
        <v>2</v>
      </c>
      <c r="J36" s="62">
        <v>3.58</v>
      </c>
      <c r="K36" s="62">
        <v>2</v>
      </c>
      <c r="L36" s="64">
        <v>3.98</v>
      </c>
      <c r="M36" s="62">
        <v>7.86</v>
      </c>
      <c r="N36" s="101">
        <v>1.89</v>
      </c>
      <c r="O36" s="110"/>
      <c r="Q36" t="s">
        <v>372</v>
      </c>
    </row>
    <row r="37" spans="1:18" ht="24.95" customHeight="1" x14ac:dyDescent="0.2">
      <c r="A37" s="114">
        <v>36</v>
      </c>
      <c r="B37" s="63">
        <v>30</v>
      </c>
      <c r="C37" s="116" t="s">
        <v>219</v>
      </c>
      <c r="D37" s="70">
        <v>2</v>
      </c>
      <c r="E37" s="61">
        <v>4.1900000000000004</v>
      </c>
      <c r="F37" s="61">
        <v>2</v>
      </c>
      <c r="G37" s="64">
        <v>4.59</v>
      </c>
      <c r="H37" s="101">
        <v>2.37</v>
      </c>
      <c r="I37" s="105">
        <v>2</v>
      </c>
      <c r="J37" s="62">
        <v>2.4300000000000002</v>
      </c>
      <c r="K37" s="62">
        <v>2</v>
      </c>
      <c r="L37" s="64">
        <v>2.83</v>
      </c>
      <c r="M37" s="62">
        <v>7.42</v>
      </c>
      <c r="N37" s="101">
        <v>1.92</v>
      </c>
      <c r="O37" s="110"/>
    </row>
    <row r="38" spans="1:18" ht="24.95" customHeight="1" x14ac:dyDescent="0.2">
      <c r="A38" s="114">
        <v>37</v>
      </c>
      <c r="B38" s="63">
        <v>69</v>
      </c>
      <c r="C38" s="116" t="s">
        <v>463</v>
      </c>
      <c r="D38" s="70">
        <v>0</v>
      </c>
      <c r="E38" s="61">
        <v>0</v>
      </c>
      <c r="F38" s="61">
        <v>0</v>
      </c>
      <c r="G38" s="64">
        <v>0</v>
      </c>
      <c r="H38" s="101">
        <v>0</v>
      </c>
      <c r="I38" s="105">
        <v>4</v>
      </c>
      <c r="J38" s="62">
        <v>6.49</v>
      </c>
      <c r="K38" s="62">
        <v>4</v>
      </c>
      <c r="L38" s="64">
        <v>7.29</v>
      </c>
      <c r="M38" s="62">
        <v>7.29</v>
      </c>
      <c r="N38" s="101">
        <v>2.2999999999999998</v>
      </c>
      <c r="O38" s="110"/>
      <c r="Q38" t="s">
        <v>372</v>
      </c>
      <c r="R38" t="s">
        <v>372</v>
      </c>
    </row>
    <row r="39" spans="1:18" ht="24.95" customHeight="1" x14ac:dyDescent="0.2">
      <c r="A39" s="114">
        <v>38</v>
      </c>
      <c r="B39" s="63">
        <v>32</v>
      </c>
      <c r="C39" s="116" t="s">
        <v>245</v>
      </c>
      <c r="D39" s="70">
        <v>1</v>
      </c>
      <c r="E39" s="61">
        <v>1.85</v>
      </c>
      <c r="F39" s="61">
        <v>1</v>
      </c>
      <c r="G39" s="64">
        <v>2.0499999999999998</v>
      </c>
      <c r="H39" s="101">
        <v>1.85</v>
      </c>
      <c r="I39" s="105">
        <v>2</v>
      </c>
      <c r="J39" s="62">
        <v>4.79</v>
      </c>
      <c r="K39" s="62">
        <v>2</v>
      </c>
      <c r="L39" s="64">
        <v>5.19</v>
      </c>
      <c r="M39" s="62">
        <v>7.24</v>
      </c>
      <c r="N39" s="101">
        <v>2.5299999999999998</v>
      </c>
      <c r="O39" s="110"/>
      <c r="Q39" t="s">
        <v>372</v>
      </c>
      <c r="R39" t="s">
        <v>372</v>
      </c>
    </row>
    <row r="40" spans="1:18" ht="24.95" customHeight="1" x14ac:dyDescent="0.2">
      <c r="A40" s="114">
        <v>39</v>
      </c>
      <c r="B40" s="63">
        <v>3</v>
      </c>
      <c r="C40" s="116" t="s">
        <v>471</v>
      </c>
      <c r="D40" s="70">
        <v>2</v>
      </c>
      <c r="E40" s="61">
        <v>4.1399999999999997</v>
      </c>
      <c r="F40" s="61">
        <v>2</v>
      </c>
      <c r="G40" s="64">
        <v>4.54</v>
      </c>
      <c r="H40" s="101">
        <v>2.2799999999999998</v>
      </c>
      <c r="I40" s="105">
        <v>1</v>
      </c>
      <c r="J40" s="62">
        <v>2.4300000000000002</v>
      </c>
      <c r="K40" s="62">
        <v>1</v>
      </c>
      <c r="L40" s="64">
        <v>2.63</v>
      </c>
      <c r="M40" s="62">
        <v>7.17</v>
      </c>
      <c r="N40" s="101">
        <v>2.4300000000000002</v>
      </c>
      <c r="O40" s="110"/>
      <c r="Q40" t="s">
        <v>372</v>
      </c>
      <c r="R40" t="s">
        <v>372</v>
      </c>
    </row>
    <row r="41" spans="1:18" ht="24.95" customHeight="1" x14ac:dyDescent="0.2">
      <c r="A41" s="114">
        <v>40</v>
      </c>
      <c r="B41" s="63">
        <v>33</v>
      </c>
      <c r="C41" s="116" t="s">
        <v>445</v>
      </c>
      <c r="D41" s="70">
        <v>1</v>
      </c>
      <c r="E41" s="61">
        <v>2.0099999999999998</v>
      </c>
      <c r="F41" s="61">
        <v>1</v>
      </c>
      <c r="G41" s="64">
        <v>2.21</v>
      </c>
      <c r="H41" s="101">
        <v>2.0099999999999998</v>
      </c>
      <c r="I41" s="105">
        <v>2</v>
      </c>
      <c r="J41" s="62">
        <v>4.54</v>
      </c>
      <c r="K41" s="62">
        <v>2</v>
      </c>
      <c r="L41" s="64">
        <v>4.9400000000000004</v>
      </c>
      <c r="M41" s="62">
        <v>7.15</v>
      </c>
      <c r="N41" s="101">
        <v>2.56</v>
      </c>
      <c r="O41" s="110"/>
      <c r="Q41" t="s">
        <v>372</v>
      </c>
      <c r="R41" t="s">
        <v>372</v>
      </c>
    </row>
    <row r="42" spans="1:18" ht="24.95" customHeight="1" x14ac:dyDescent="0.2">
      <c r="A42" s="114">
        <v>41</v>
      </c>
      <c r="B42" s="63">
        <v>25</v>
      </c>
      <c r="C42" s="116" t="s">
        <v>284</v>
      </c>
      <c r="D42" s="70">
        <v>2</v>
      </c>
      <c r="E42" s="61">
        <v>4.3099999999999996</v>
      </c>
      <c r="F42" s="61">
        <v>2</v>
      </c>
      <c r="G42" s="64">
        <v>4.71</v>
      </c>
      <c r="H42" s="101">
        <v>2.1</v>
      </c>
      <c r="I42" s="105">
        <v>1</v>
      </c>
      <c r="J42" s="62">
        <v>2.1800000000000002</v>
      </c>
      <c r="K42" s="62">
        <v>1</v>
      </c>
      <c r="L42" s="64">
        <v>2.38</v>
      </c>
      <c r="M42" s="62">
        <v>7.09</v>
      </c>
      <c r="N42" s="101">
        <v>2.1800000000000002</v>
      </c>
      <c r="O42" s="110"/>
      <c r="Q42" t="s">
        <v>372</v>
      </c>
      <c r="R42" t="s">
        <v>372</v>
      </c>
    </row>
    <row r="43" spans="1:18" ht="24.95" customHeight="1" x14ac:dyDescent="0.2">
      <c r="A43" s="114">
        <v>42</v>
      </c>
      <c r="B43" s="63">
        <v>35</v>
      </c>
      <c r="C43" s="116" t="s">
        <v>263</v>
      </c>
      <c r="D43" s="70">
        <v>0</v>
      </c>
      <c r="E43" s="61">
        <v>0</v>
      </c>
      <c r="F43" s="61">
        <v>0</v>
      </c>
      <c r="G43" s="64">
        <v>0</v>
      </c>
      <c r="H43" s="101">
        <v>0</v>
      </c>
      <c r="I43" s="105">
        <v>4</v>
      </c>
      <c r="J43" s="62">
        <v>6.15</v>
      </c>
      <c r="K43" s="62">
        <v>4</v>
      </c>
      <c r="L43" s="64">
        <v>6.95</v>
      </c>
      <c r="M43" s="62">
        <v>6.95</v>
      </c>
      <c r="N43" s="101">
        <v>2.39</v>
      </c>
      <c r="O43" s="110"/>
      <c r="Q43" t="s">
        <v>372</v>
      </c>
      <c r="R43" t="s">
        <v>372</v>
      </c>
    </row>
    <row r="44" spans="1:18" ht="24.95" customHeight="1" x14ac:dyDescent="0.2">
      <c r="A44" s="114">
        <v>43</v>
      </c>
      <c r="B44" s="63">
        <v>53</v>
      </c>
      <c r="C44" s="116" t="s">
        <v>367</v>
      </c>
      <c r="D44" s="70">
        <v>1</v>
      </c>
      <c r="E44" s="61">
        <v>2.2999999999999998</v>
      </c>
      <c r="F44" s="61">
        <v>1</v>
      </c>
      <c r="G44" s="64">
        <v>2.5</v>
      </c>
      <c r="H44" s="101">
        <v>2.2999999999999998</v>
      </c>
      <c r="I44" s="105">
        <v>2</v>
      </c>
      <c r="J44" s="62">
        <v>3.86</v>
      </c>
      <c r="K44" s="62">
        <v>2</v>
      </c>
      <c r="L44" s="64">
        <v>4.26</v>
      </c>
      <c r="M44" s="62">
        <v>6.76</v>
      </c>
      <c r="N44" s="101">
        <v>1.97</v>
      </c>
      <c r="O44" s="110"/>
      <c r="Q44" t="s">
        <v>372</v>
      </c>
      <c r="R44" t="s">
        <v>372</v>
      </c>
    </row>
    <row r="45" spans="1:18" ht="24.95" customHeight="1" x14ac:dyDescent="0.2">
      <c r="A45" s="114">
        <v>44</v>
      </c>
      <c r="B45" s="63">
        <v>62</v>
      </c>
      <c r="C45" s="116" t="s">
        <v>458</v>
      </c>
      <c r="D45" s="70">
        <v>2</v>
      </c>
      <c r="E45" s="61">
        <v>4.0999999999999996</v>
      </c>
      <c r="F45" s="61">
        <v>2</v>
      </c>
      <c r="G45" s="64">
        <v>4.5</v>
      </c>
      <c r="H45" s="101">
        <v>2.1</v>
      </c>
      <c r="I45" s="105">
        <v>1</v>
      </c>
      <c r="J45" s="62">
        <v>2.04</v>
      </c>
      <c r="K45" s="62">
        <v>1</v>
      </c>
      <c r="L45" s="64">
        <v>2.2400000000000002</v>
      </c>
      <c r="M45" s="62">
        <v>6.74</v>
      </c>
      <c r="N45" s="101">
        <v>2.04</v>
      </c>
      <c r="O45" s="110"/>
      <c r="Q45" t="s">
        <v>372</v>
      </c>
      <c r="R45" t="s">
        <v>372</v>
      </c>
    </row>
    <row r="46" spans="1:18" ht="24.95" customHeight="1" x14ac:dyDescent="0.2">
      <c r="A46" s="114">
        <v>45</v>
      </c>
      <c r="B46" s="63">
        <v>66</v>
      </c>
      <c r="C46" s="116" t="s">
        <v>461</v>
      </c>
      <c r="D46" s="70">
        <v>2</v>
      </c>
      <c r="E46" s="61">
        <v>4.0599999999999996</v>
      </c>
      <c r="F46" s="61">
        <v>2</v>
      </c>
      <c r="G46" s="64">
        <v>4.46</v>
      </c>
      <c r="H46" s="101">
        <v>2.13</v>
      </c>
      <c r="I46" s="105">
        <v>1</v>
      </c>
      <c r="J46" s="62">
        <v>2</v>
      </c>
      <c r="K46" s="62">
        <v>1</v>
      </c>
      <c r="L46" s="64">
        <v>2.2000000000000002</v>
      </c>
      <c r="M46" s="62">
        <v>6.66</v>
      </c>
      <c r="N46" s="101">
        <v>2</v>
      </c>
      <c r="O46" s="110"/>
      <c r="Q46" t="s">
        <v>372</v>
      </c>
      <c r="R46" t="s">
        <v>372</v>
      </c>
    </row>
    <row r="47" spans="1:18" ht="24.95" customHeight="1" x14ac:dyDescent="0.2">
      <c r="A47" s="114">
        <v>46</v>
      </c>
      <c r="B47" s="63">
        <v>41</v>
      </c>
      <c r="C47" s="116" t="s">
        <v>447</v>
      </c>
      <c r="D47" s="70">
        <v>1</v>
      </c>
      <c r="E47" s="61">
        <v>1.95</v>
      </c>
      <c r="F47" s="61">
        <v>1</v>
      </c>
      <c r="G47" s="64">
        <v>2.15</v>
      </c>
      <c r="H47" s="101">
        <v>1.95</v>
      </c>
      <c r="I47" s="105">
        <v>2</v>
      </c>
      <c r="J47" s="62">
        <v>4.01</v>
      </c>
      <c r="K47" s="62">
        <v>2</v>
      </c>
      <c r="L47" s="64">
        <v>4.41</v>
      </c>
      <c r="M47" s="62">
        <v>6.56</v>
      </c>
      <c r="N47" s="101">
        <v>2.14</v>
      </c>
      <c r="O47" s="110"/>
      <c r="Q47" t="s">
        <v>372</v>
      </c>
      <c r="R47" t="s">
        <v>372</v>
      </c>
    </row>
    <row r="48" spans="1:18" ht="24.95" customHeight="1" x14ac:dyDescent="0.2">
      <c r="A48" s="114">
        <v>47</v>
      </c>
      <c r="B48" s="63">
        <v>74</v>
      </c>
      <c r="C48" s="116" t="s">
        <v>468</v>
      </c>
      <c r="D48" s="70">
        <v>2</v>
      </c>
      <c r="E48" s="61">
        <v>3.46</v>
      </c>
      <c r="F48" s="61">
        <v>2</v>
      </c>
      <c r="G48" s="64">
        <v>3.86</v>
      </c>
      <c r="H48" s="101">
        <v>1.8</v>
      </c>
      <c r="I48" s="105">
        <v>1</v>
      </c>
      <c r="J48" s="62">
        <v>2.25</v>
      </c>
      <c r="K48" s="62">
        <v>1</v>
      </c>
      <c r="L48" s="64">
        <v>2.4500000000000002</v>
      </c>
      <c r="M48" s="62">
        <v>6.31</v>
      </c>
      <c r="N48" s="101">
        <v>2.25</v>
      </c>
      <c r="O48" s="110"/>
      <c r="Q48" t="s">
        <v>372</v>
      </c>
      <c r="R48" t="s">
        <v>372</v>
      </c>
    </row>
    <row r="49" spans="1:18" ht="24.95" customHeight="1" x14ac:dyDescent="0.2">
      <c r="A49" s="114">
        <v>48</v>
      </c>
      <c r="B49" s="63">
        <v>27</v>
      </c>
      <c r="C49" s="116" t="s">
        <v>384</v>
      </c>
      <c r="D49" s="70">
        <v>1</v>
      </c>
      <c r="E49" s="61">
        <v>0.56000000000000005</v>
      </c>
      <c r="F49" s="61">
        <v>1</v>
      </c>
      <c r="G49" s="64">
        <v>0.76</v>
      </c>
      <c r="H49" s="101">
        <v>0.56000000000000005</v>
      </c>
      <c r="I49" s="105">
        <v>2</v>
      </c>
      <c r="J49" s="62">
        <v>4.41</v>
      </c>
      <c r="K49" s="62">
        <v>2</v>
      </c>
      <c r="L49" s="64">
        <v>4.8099999999999996</v>
      </c>
      <c r="M49" s="62">
        <v>5.57</v>
      </c>
      <c r="N49" s="101">
        <v>2.4300000000000002</v>
      </c>
      <c r="O49" s="110"/>
      <c r="Q49" t="s">
        <v>372</v>
      </c>
      <c r="R49" t="s">
        <v>372</v>
      </c>
    </row>
    <row r="50" spans="1:18" ht="24.95" customHeight="1" x14ac:dyDescent="0.2">
      <c r="A50" s="114">
        <v>49</v>
      </c>
      <c r="B50" s="63">
        <v>13</v>
      </c>
      <c r="C50" s="116" t="s">
        <v>441</v>
      </c>
      <c r="D50" s="70">
        <v>0</v>
      </c>
      <c r="E50" s="61">
        <v>0</v>
      </c>
      <c r="F50" s="61">
        <v>0</v>
      </c>
      <c r="G50" s="64">
        <v>0</v>
      </c>
      <c r="H50" s="101">
        <v>0</v>
      </c>
      <c r="I50" s="105">
        <v>2</v>
      </c>
      <c r="J50" s="62">
        <v>5.0599999999999996</v>
      </c>
      <c r="K50" s="62">
        <v>2</v>
      </c>
      <c r="L50" s="64">
        <v>5.46</v>
      </c>
      <c r="M50" s="62">
        <v>5.46</v>
      </c>
      <c r="N50" s="101">
        <v>2.67</v>
      </c>
      <c r="O50" s="110"/>
      <c r="Q50" t="s">
        <v>372</v>
      </c>
      <c r="R50" t="s">
        <v>372</v>
      </c>
    </row>
    <row r="51" spans="1:18" ht="24.95" customHeight="1" x14ac:dyDescent="0.2">
      <c r="A51" s="114">
        <v>50</v>
      </c>
      <c r="B51" s="63">
        <v>75</v>
      </c>
      <c r="C51" s="116" t="s">
        <v>472</v>
      </c>
      <c r="D51" s="70">
        <v>1</v>
      </c>
      <c r="E51" s="61">
        <v>1.64</v>
      </c>
      <c r="F51" s="61">
        <v>1</v>
      </c>
      <c r="G51" s="64">
        <v>1.84</v>
      </c>
      <c r="H51" s="101">
        <v>1.64</v>
      </c>
      <c r="I51" s="105">
        <v>1</v>
      </c>
      <c r="J51" s="62">
        <v>2.71</v>
      </c>
      <c r="K51" s="62">
        <v>1</v>
      </c>
      <c r="L51" s="64">
        <v>2.91</v>
      </c>
      <c r="M51" s="62">
        <v>4.75</v>
      </c>
      <c r="N51" s="101">
        <v>2.71</v>
      </c>
      <c r="O51" s="110"/>
      <c r="Q51" t="s">
        <v>372</v>
      </c>
      <c r="R51" t="s">
        <v>372</v>
      </c>
    </row>
    <row r="52" spans="1:18" ht="24.95" customHeight="1" x14ac:dyDescent="0.2">
      <c r="A52" s="114">
        <v>51</v>
      </c>
      <c r="B52" s="63">
        <v>29</v>
      </c>
      <c r="C52" s="116" t="s">
        <v>234</v>
      </c>
      <c r="D52" s="70">
        <v>0</v>
      </c>
      <c r="E52" s="61">
        <v>0</v>
      </c>
      <c r="F52" s="61">
        <v>0</v>
      </c>
      <c r="G52" s="64">
        <v>0</v>
      </c>
      <c r="H52" s="101">
        <v>0</v>
      </c>
      <c r="I52" s="105">
        <v>2</v>
      </c>
      <c r="J52" s="62">
        <v>4.17</v>
      </c>
      <c r="K52" s="62">
        <v>2</v>
      </c>
      <c r="L52" s="64">
        <v>4.57</v>
      </c>
      <c r="M52" s="62">
        <v>4.57</v>
      </c>
      <c r="N52" s="101">
        <v>2.09</v>
      </c>
      <c r="O52" s="110"/>
      <c r="Q52" t="s">
        <v>372</v>
      </c>
    </row>
    <row r="53" spans="1:18" ht="24.95" customHeight="1" x14ac:dyDescent="0.2">
      <c r="A53" s="114">
        <v>52</v>
      </c>
      <c r="B53" s="63">
        <v>36</v>
      </c>
      <c r="C53" s="116" t="s">
        <v>386</v>
      </c>
      <c r="D53" s="70">
        <v>2</v>
      </c>
      <c r="E53" s="61">
        <v>4.1100000000000003</v>
      </c>
      <c r="F53" s="61">
        <v>2</v>
      </c>
      <c r="G53" s="64">
        <v>4.51</v>
      </c>
      <c r="H53" s="101">
        <v>2.23</v>
      </c>
      <c r="I53" s="105">
        <v>0</v>
      </c>
      <c r="J53" s="62">
        <v>0</v>
      </c>
      <c r="K53" s="62">
        <v>0</v>
      </c>
      <c r="L53" s="64">
        <v>0</v>
      </c>
      <c r="M53" s="62">
        <v>4.51</v>
      </c>
      <c r="N53" s="101">
        <v>0</v>
      </c>
      <c r="O53" s="110"/>
    </row>
    <row r="54" spans="1:18" ht="24.95" customHeight="1" x14ac:dyDescent="0.2">
      <c r="A54" s="114">
        <v>53</v>
      </c>
      <c r="B54" s="63">
        <v>42</v>
      </c>
      <c r="C54" s="116" t="s">
        <v>411</v>
      </c>
      <c r="D54" s="70">
        <v>2</v>
      </c>
      <c r="E54" s="61">
        <v>4.01</v>
      </c>
      <c r="F54" s="61">
        <v>2</v>
      </c>
      <c r="G54" s="64">
        <v>4.41</v>
      </c>
      <c r="H54" s="101">
        <v>2.11</v>
      </c>
      <c r="I54" s="105">
        <v>0</v>
      </c>
      <c r="J54" s="62">
        <v>0</v>
      </c>
      <c r="K54" s="62">
        <v>0</v>
      </c>
      <c r="L54" s="64">
        <v>0</v>
      </c>
      <c r="M54" s="62">
        <v>4.41</v>
      </c>
      <c r="N54" s="101">
        <v>0</v>
      </c>
      <c r="O54" s="110"/>
      <c r="Q54" t="s">
        <v>372</v>
      </c>
    </row>
    <row r="55" spans="1:18" ht="24.95" customHeight="1" x14ac:dyDescent="0.2">
      <c r="A55" s="114">
        <v>54</v>
      </c>
      <c r="B55" s="63">
        <v>59</v>
      </c>
      <c r="C55" s="116" t="s">
        <v>404</v>
      </c>
      <c r="D55" s="70">
        <v>2</v>
      </c>
      <c r="E55" s="61">
        <v>4.0149999999999997</v>
      </c>
      <c r="F55" s="61">
        <v>2</v>
      </c>
      <c r="G55" s="64">
        <v>4.41</v>
      </c>
      <c r="H55" s="101">
        <v>2.2000000000000002</v>
      </c>
      <c r="I55" s="105">
        <v>0</v>
      </c>
      <c r="J55" s="62">
        <v>0</v>
      </c>
      <c r="K55" s="62">
        <v>0</v>
      </c>
      <c r="L55" s="64">
        <v>0</v>
      </c>
      <c r="M55" s="62">
        <v>4.41</v>
      </c>
      <c r="N55" s="101">
        <v>0</v>
      </c>
      <c r="O55" s="110"/>
    </row>
    <row r="56" spans="1:18" ht="24.95" customHeight="1" x14ac:dyDescent="0.2">
      <c r="A56" s="114">
        <v>55</v>
      </c>
      <c r="B56" s="63">
        <v>61</v>
      </c>
      <c r="C56" s="116" t="s">
        <v>457</v>
      </c>
      <c r="D56" s="70">
        <v>0</v>
      </c>
      <c r="E56" s="61">
        <v>0</v>
      </c>
      <c r="F56" s="61">
        <v>0</v>
      </c>
      <c r="G56" s="64">
        <v>0</v>
      </c>
      <c r="H56" s="101">
        <v>0</v>
      </c>
      <c r="I56" s="105">
        <v>2</v>
      </c>
      <c r="J56" s="62">
        <v>3.83</v>
      </c>
      <c r="K56" s="62">
        <v>2</v>
      </c>
      <c r="L56" s="64">
        <v>4.2300000000000004</v>
      </c>
      <c r="M56" s="62">
        <v>4.2300000000000004</v>
      </c>
      <c r="N56" s="101">
        <v>1.98</v>
      </c>
      <c r="O56" s="110"/>
      <c r="Q56" t="s">
        <v>372</v>
      </c>
    </row>
    <row r="57" spans="1:18" ht="24.95" customHeight="1" x14ac:dyDescent="0.2">
      <c r="A57" s="114">
        <v>56</v>
      </c>
      <c r="B57" s="63">
        <v>43</v>
      </c>
      <c r="C57" s="116" t="s">
        <v>388</v>
      </c>
      <c r="D57" s="70">
        <v>0</v>
      </c>
      <c r="E57" s="61">
        <v>0</v>
      </c>
      <c r="F57" s="61">
        <v>0</v>
      </c>
      <c r="G57" s="64">
        <v>0</v>
      </c>
      <c r="H57" s="101">
        <v>0</v>
      </c>
      <c r="I57" s="105">
        <v>2</v>
      </c>
      <c r="J57" s="62">
        <v>3.8</v>
      </c>
      <c r="K57" s="62">
        <v>2</v>
      </c>
      <c r="L57" s="64">
        <v>4.2</v>
      </c>
      <c r="M57" s="62">
        <v>4.2</v>
      </c>
      <c r="N57" s="101">
        <v>1.95</v>
      </c>
      <c r="O57" s="110"/>
    </row>
    <row r="58" spans="1:18" ht="24.95" customHeight="1" x14ac:dyDescent="0.2">
      <c r="A58" s="114">
        <v>57</v>
      </c>
      <c r="B58" s="63">
        <v>49</v>
      </c>
      <c r="C58" s="116" t="s">
        <v>451</v>
      </c>
      <c r="D58" s="70">
        <v>2</v>
      </c>
      <c r="E58" s="61">
        <v>3.72</v>
      </c>
      <c r="F58" s="61">
        <v>2</v>
      </c>
      <c r="G58" s="64">
        <v>4.12</v>
      </c>
      <c r="H58" s="101">
        <v>2</v>
      </c>
      <c r="I58" s="105">
        <v>0</v>
      </c>
      <c r="J58" s="62">
        <v>0</v>
      </c>
      <c r="K58" s="62">
        <v>0</v>
      </c>
      <c r="L58" s="64">
        <v>0</v>
      </c>
      <c r="M58" s="62">
        <v>4.12</v>
      </c>
      <c r="N58" s="101">
        <v>0</v>
      </c>
      <c r="O58" s="110"/>
      <c r="Q58" t="s">
        <v>372</v>
      </c>
      <c r="R58" t="s">
        <v>372</v>
      </c>
    </row>
    <row r="59" spans="1:18" ht="24.95" customHeight="1" x14ac:dyDescent="0.2">
      <c r="A59" s="114">
        <v>58</v>
      </c>
      <c r="B59" s="63">
        <v>70</v>
      </c>
      <c r="C59" s="116" t="s">
        <v>464</v>
      </c>
      <c r="D59" s="70">
        <v>2</v>
      </c>
      <c r="E59" s="61">
        <v>3.7</v>
      </c>
      <c r="F59" s="61">
        <v>2</v>
      </c>
      <c r="G59" s="64">
        <v>4.0999999999999996</v>
      </c>
      <c r="H59" s="101">
        <v>2.04</v>
      </c>
      <c r="I59" s="105">
        <v>0</v>
      </c>
      <c r="J59" s="62">
        <v>0</v>
      </c>
      <c r="K59" s="62">
        <v>0</v>
      </c>
      <c r="L59" s="64">
        <v>0</v>
      </c>
      <c r="M59" s="62">
        <v>4.0999999999999996</v>
      </c>
      <c r="N59" s="101">
        <v>0</v>
      </c>
      <c r="O59" s="110"/>
      <c r="Q59" t="s">
        <v>372</v>
      </c>
      <c r="R59" t="s">
        <v>372</v>
      </c>
    </row>
    <row r="60" spans="1:18" ht="24.95" customHeight="1" x14ac:dyDescent="0.2">
      <c r="A60" s="114">
        <v>59</v>
      </c>
      <c r="B60" s="63">
        <v>20</v>
      </c>
      <c r="C60" s="116" t="s">
        <v>330</v>
      </c>
      <c r="D60" s="70">
        <v>0</v>
      </c>
      <c r="E60" s="61">
        <v>0</v>
      </c>
      <c r="F60" s="61">
        <v>0</v>
      </c>
      <c r="G60" s="64">
        <v>0</v>
      </c>
      <c r="H60" s="101">
        <v>0</v>
      </c>
      <c r="I60" s="105">
        <v>2</v>
      </c>
      <c r="J60" s="62">
        <v>3.67</v>
      </c>
      <c r="K60" s="62">
        <v>2</v>
      </c>
      <c r="L60" s="64">
        <v>4.07</v>
      </c>
      <c r="M60" s="62">
        <v>4.07</v>
      </c>
      <c r="N60" s="101">
        <v>2.67</v>
      </c>
      <c r="O60" s="110"/>
      <c r="Q60" t="s">
        <v>372</v>
      </c>
    </row>
    <row r="61" spans="1:18" ht="24.95" customHeight="1" x14ac:dyDescent="0.2">
      <c r="A61" s="114">
        <v>60</v>
      </c>
      <c r="B61" s="63">
        <v>56</v>
      </c>
      <c r="C61" s="116" t="s">
        <v>453</v>
      </c>
      <c r="D61" s="70">
        <v>0</v>
      </c>
      <c r="E61" s="61">
        <v>0</v>
      </c>
      <c r="F61" s="61">
        <v>0</v>
      </c>
      <c r="G61" s="64">
        <v>0</v>
      </c>
      <c r="H61" s="101">
        <v>0</v>
      </c>
      <c r="I61" s="105">
        <v>2</v>
      </c>
      <c r="J61" s="62">
        <v>3.65</v>
      </c>
      <c r="K61" s="62">
        <v>2</v>
      </c>
      <c r="L61" s="64">
        <v>4.05</v>
      </c>
      <c r="M61" s="62">
        <v>4.05</v>
      </c>
      <c r="N61" s="101">
        <v>1.93</v>
      </c>
      <c r="O61" s="110"/>
      <c r="Q61" t="s">
        <v>372</v>
      </c>
      <c r="R61" t="s">
        <v>372</v>
      </c>
    </row>
    <row r="62" spans="1:18" ht="24.95" customHeight="1" x14ac:dyDescent="0.2">
      <c r="A62" s="114">
        <v>61</v>
      </c>
      <c r="B62" s="63">
        <v>40</v>
      </c>
      <c r="C62" s="116" t="s">
        <v>370</v>
      </c>
      <c r="D62" s="70">
        <v>1</v>
      </c>
      <c r="E62" s="61">
        <v>1.71</v>
      </c>
      <c r="F62" s="61">
        <v>1</v>
      </c>
      <c r="G62" s="64">
        <v>1.91</v>
      </c>
      <c r="H62" s="101">
        <v>1.71</v>
      </c>
      <c r="I62" s="105">
        <v>1</v>
      </c>
      <c r="J62" s="62">
        <v>1.91</v>
      </c>
      <c r="K62" s="62">
        <v>1</v>
      </c>
      <c r="L62" s="64">
        <v>2.11</v>
      </c>
      <c r="M62" s="62">
        <v>4.0199999999999996</v>
      </c>
      <c r="N62" s="101">
        <v>1.91</v>
      </c>
      <c r="O62" s="110"/>
      <c r="Q62" t="s">
        <v>372</v>
      </c>
    </row>
    <row r="63" spans="1:18" ht="24.95" customHeight="1" x14ac:dyDescent="0.2">
      <c r="A63" s="114">
        <v>62</v>
      </c>
      <c r="B63" s="63">
        <v>67</v>
      </c>
      <c r="C63" s="116" t="s">
        <v>410</v>
      </c>
      <c r="D63" s="70">
        <v>1</v>
      </c>
      <c r="E63" s="61">
        <v>1.66</v>
      </c>
      <c r="F63" s="61">
        <v>1</v>
      </c>
      <c r="G63" s="64">
        <v>1.86</v>
      </c>
      <c r="H63" s="101">
        <v>1.66</v>
      </c>
      <c r="I63" s="105">
        <v>1</v>
      </c>
      <c r="J63" s="62">
        <v>1.69</v>
      </c>
      <c r="K63" s="62">
        <v>1</v>
      </c>
      <c r="L63" s="64">
        <v>1.89</v>
      </c>
      <c r="M63" s="62">
        <v>3.75</v>
      </c>
      <c r="N63" s="101">
        <v>1.69</v>
      </c>
      <c r="O63" s="110"/>
      <c r="Q63" t="s">
        <v>372</v>
      </c>
      <c r="R63" t="s">
        <v>372</v>
      </c>
    </row>
    <row r="64" spans="1:18" ht="24.95" customHeight="1" x14ac:dyDescent="0.2">
      <c r="A64" s="114">
        <v>63</v>
      </c>
      <c r="B64" s="63">
        <v>73</v>
      </c>
      <c r="C64" s="116" t="s">
        <v>467</v>
      </c>
      <c r="D64" s="70">
        <v>1</v>
      </c>
      <c r="E64" s="61">
        <v>2.46</v>
      </c>
      <c r="F64" s="61">
        <v>1</v>
      </c>
      <c r="G64" s="64">
        <v>2.66</v>
      </c>
      <c r="H64" s="101">
        <v>2.46</v>
      </c>
      <c r="I64" s="105">
        <v>0</v>
      </c>
      <c r="J64" s="62">
        <v>0</v>
      </c>
      <c r="K64" s="62">
        <v>0</v>
      </c>
      <c r="L64" s="64">
        <v>0</v>
      </c>
      <c r="M64" s="62">
        <v>2.66</v>
      </c>
      <c r="N64" s="101">
        <v>0</v>
      </c>
      <c r="O64" s="110"/>
    </row>
    <row r="65" spans="1:18" ht="24.95" customHeight="1" x14ac:dyDescent="0.2">
      <c r="A65" s="114">
        <v>64</v>
      </c>
      <c r="B65" s="63">
        <v>57</v>
      </c>
      <c r="C65" s="116" t="s">
        <v>454</v>
      </c>
      <c r="D65" s="70">
        <v>0</v>
      </c>
      <c r="E65" s="61">
        <v>0</v>
      </c>
      <c r="F65" s="61">
        <v>0</v>
      </c>
      <c r="G65" s="64">
        <v>0</v>
      </c>
      <c r="H65" s="101">
        <v>0</v>
      </c>
      <c r="I65" s="105">
        <v>1</v>
      </c>
      <c r="J65" s="62">
        <v>2.25</v>
      </c>
      <c r="K65" s="62">
        <v>1</v>
      </c>
      <c r="L65" s="64">
        <v>2.4500000000000002</v>
      </c>
      <c r="M65" s="62">
        <v>2.4500000000000002</v>
      </c>
      <c r="N65" s="101">
        <v>2.25</v>
      </c>
      <c r="O65" s="110"/>
      <c r="Q65" t="s">
        <v>372</v>
      </c>
      <c r="R65" t="s">
        <v>372</v>
      </c>
    </row>
    <row r="66" spans="1:18" ht="24.95" customHeight="1" x14ac:dyDescent="0.2">
      <c r="A66" s="114">
        <v>65</v>
      </c>
      <c r="B66" s="63">
        <v>48</v>
      </c>
      <c r="C66" s="116" t="s">
        <v>450</v>
      </c>
      <c r="D66" s="70">
        <v>1</v>
      </c>
      <c r="E66" s="61">
        <v>1.83</v>
      </c>
      <c r="F66" s="61">
        <v>1</v>
      </c>
      <c r="G66" s="64">
        <v>2.0299999999999998</v>
      </c>
      <c r="H66" s="101">
        <v>1.83</v>
      </c>
      <c r="I66" s="105">
        <v>0</v>
      </c>
      <c r="J66" s="62">
        <v>0</v>
      </c>
      <c r="K66" s="62">
        <v>0</v>
      </c>
      <c r="L66" s="64">
        <v>0</v>
      </c>
      <c r="M66" s="62">
        <v>2.0299999999999998</v>
      </c>
      <c r="N66" s="101">
        <v>0</v>
      </c>
      <c r="O66" s="110"/>
      <c r="Q66" t="s">
        <v>372</v>
      </c>
      <c r="R66" t="s">
        <v>372</v>
      </c>
    </row>
    <row r="67" spans="1:18" ht="24.95" customHeight="1" x14ac:dyDescent="0.2">
      <c r="A67" s="114">
        <v>66</v>
      </c>
      <c r="B67" s="63">
        <v>1</v>
      </c>
      <c r="C67" s="115" t="s">
        <v>470</v>
      </c>
      <c r="D67" s="70">
        <v>1</v>
      </c>
      <c r="E67" s="61">
        <v>1.78</v>
      </c>
      <c r="F67" s="61">
        <v>1</v>
      </c>
      <c r="G67" s="64">
        <v>1.98</v>
      </c>
      <c r="H67" s="101">
        <v>1.78</v>
      </c>
      <c r="I67" s="105">
        <v>0</v>
      </c>
      <c r="J67" s="62">
        <v>0</v>
      </c>
      <c r="K67" s="62">
        <v>0</v>
      </c>
      <c r="L67" s="64">
        <v>0</v>
      </c>
      <c r="M67" s="62">
        <v>1.98</v>
      </c>
      <c r="N67" s="101">
        <v>0</v>
      </c>
      <c r="O67" s="110" t="s">
        <v>473</v>
      </c>
      <c r="Q67" t="s">
        <v>372</v>
      </c>
    </row>
    <row r="68" spans="1:18" ht="24.95" customHeight="1" x14ac:dyDescent="0.2">
      <c r="A68" s="114">
        <v>67</v>
      </c>
      <c r="B68" s="63">
        <v>50</v>
      </c>
      <c r="C68" s="116" t="s">
        <v>308</v>
      </c>
      <c r="D68" s="70">
        <v>1</v>
      </c>
      <c r="E68" s="61">
        <v>1.64</v>
      </c>
      <c r="F68" s="61">
        <v>1</v>
      </c>
      <c r="G68" s="64">
        <v>1.84</v>
      </c>
      <c r="H68" s="101">
        <v>1.64</v>
      </c>
      <c r="I68" s="105">
        <v>0</v>
      </c>
      <c r="J68" s="62">
        <v>0</v>
      </c>
      <c r="K68" s="62">
        <v>0</v>
      </c>
      <c r="L68" s="64">
        <v>0</v>
      </c>
      <c r="M68" s="62">
        <v>1.84</v>
      </c>
      <c r="N68" s="101">
        <v>0</v>
      </c>
      <c r="O68" s="110"/>
      <c r="Q68" t="s">
        <v>372</v>
      </c>
      <c r="R68" t="s">
        <v>372</v>
      </c>
    </row>
    <row r="69" spans="1:18" ht="24.95" customHeight="1" x14ac:dyDescent="0.2">
      <c r="A69" s="114">
        <v>68</v>
      </c>
      <c r="B69" s="63">
        <v>11</v>
      </c>
      <c r="C69" s="116" t="s">
        <v>392</v>
      </c>
      <c r="D69" s="70">
        <v>0</v>
      </c>
      <c r="E69" s="61">
        <v>0</v>
      </c>
      <c r="F69" s="61">
        <v>0</v>
      </c>
      <c r="G69" s="64">
        <v>0</v>
      </c>
      <c r="H69" s="101">
        <v>0</v>
      </c>
      <c r="I69" s="105">
        <v>0</v>
      </c>
      <c r="J69" s="62">
        <v>0</v>
      </c>
      <c r="K69" s="62">
        <v>0</v>
      </c>
      <c r="L69" s="64">
        <v>0</v>
      </c>
      <c r="M69" s="62">
        <v>0</v>
      </c>
      <c r="N69" s="101">
        <v>0</v>
      </c>
      <c r="O69" s="110"/>
      <c r="Q69" t="s">
        <v>372</v>
      </c>
    </row>
    <row r="70" spans="1:18" ht="24.95" customHeight="1" x14ac:dyDescent="0.2">
      <c r="A70" s="114">
        <v>69</v>
      </c>
      <c r="B70" s="63">
        <v>37</v>
      </c>
      <c r="C70" s="116" t="s">
        <v>446</v>
      </c>
      <c r="D70" s="70">
        <v>0</v>
      </c>
      <c r="E70" s="61">
        <v>0</v>
      </c>
      <c r="F70" s="61">
        <v>0</v>
      </c>
      <c r="G70" s="64">
        <v>0</v>
      </c>
      <c r="H70" s="101">
        <v>0</v>
      </c>
      <c r="I70" s="105">
        <v>0</v>
      </c>
      <c r="J70" s="62">
        <v>0</v>
      </c>
      <c r="K70" s="62">
        <v>0</v>
      </c>
      <c r="L70" s="64">
        <v>0</v>
      </c>
      <c r="M70" s="62">
        <v>0</v>
      </c>
      <c r="N70" s="101">
        <v>0</v>
      </c>
      <c r="O70" s="110"/>
      <c r="Q70" t="s">
        <v>372</v>
      </c>
    </row>
    <row r="71" spans="1:18" ht="24.95" customHeight="1" x14ac:dyDescent="0.2">
      <c r="A71" s="114">
        <v>70</v>
      </c>
      <c r="B71" s="63">
        <v>47</v>
      </c>
      <c r="C71" s="116" t="s">
        <v>449</v>
      </c>
      <c r="D71" s="70">
        <v>0</v>
      </c>
      <c r="E71" s="61">
        <v>0</v>
      </c>
      <c r="F71" s="61">
        <v>0</v>
      </c>
      <c r="G71" s="64">
        <v>0</v>
      </c>
      <c r="H71" s="101">
        <v>0</v>
      </c>
      <c r="I71" s="105">
        <v>0</v>
      </c>
      <c r="J71" s="62">
        <v>0</v>
      </c>
      <c r="K71" s="62">
        <v>0</v>
      </c>
      <c r="L71" s="64">
        <v>0</v>
      </c>
      <c r="M71" s="62">
        <v>0</v>
      </c>
      <c r="N71" s="101">
        <v>0</v>
      </c>
      <c r="O71" s="110"/>
      <c r="Q71" t="s">
        <v>372</v>
      </c>
    </row>
    <row r="72" spans="1:18" ht="24.95" customHeight="1" x14ac:dyDescent="0.2">
      <c r="A72" s="114">
        <v>71</v>
      </c>
      <c r="B72" s="63">
        <v>54</v>
      </c>
      <c r="C72" s="116" t="s">
        <v>452</v>
      </c>
      <c r="D72" s="70">
        <v>0</v>
      </c>
      <c r="E72" s="61">
        <v>0</v>
      </c>
      <c r="F72" s="61">
        <v>0</v>
      </c>
      <c r="G72" s="64">
        <v>0</v>
      </c>
      <c r="H72" s="101">
        <v>0</v>
      </c>
      <c r="I72" s="105">
        <v>0</v>
      </c>
      <c r="J72" s="62">
        <v>0</v>
      </c>
      <c r="K72" s="62">
        <v>0</v>
      </c>
      <c r="L72" s="64">
        <v>0</v>
      </c>
      <c r="M72" s="62">
        <v>0</v>
      </c>
      <c r="N72" s="101">
        <v>0</v>
      </c>
      <c r="O72" s="110"/>
      <c r="Q72" t="s">
        <v>372</v>
      </c>
      <c r="R72" t="s">
        <v>372</v>
      </c>
    </row>
    <row r="73" spans="1:18" ht="24.95" customHeight="1" x14ac:dyDescent="0.2">
      <c r="A73" s="114">
        <v>72</v>
      </c>
      <c r="B73" s="63">
        <v>58</v>
      </c>
      <c r="C73" s="116" t="s">
        <v>455</v>
      </c>
      <c r="D73" s="70">
        <v>0</v>
      </c>
      <c r="E73" s="61">
        <v>0</v>
      </c>
      <c r="F73" s="61">
        <v>0</v>
      </c>
      <c r="G73" s="64">
        <v>0</v>
      </c>
      <c r="H73" s="101">
        <v>0</v>
      </c>
      <c r="I73" s="105">
        <v>0</v>
      </c>
      <c r="J73" s="62">
        <v>0</v>
      </c>
      <c r="K73" s="62">
        <v>0</v>
      </c>
      <c r="L73" s="64">
        <v>0</v>
      </c>
      <c r="M73" s="62">
        <v>0</v>
      </c>
      <c r="N73" s="101">
        <v>0</v>
      </c>
      <c r="O73" s="110"/>
      <c r="Q73" t="s">
        <v>372</v>
      </c>
      <c r="R73" t="s">
        <v>372</v>
      </c>
    </row>
    <row r="74" spans="1:18" ht="24.95" customHeight="1" x14ac:dyDescent="0.2">
      <c r="A74" s="114">
        <v>73</v>
      </c>
      <c r="B74" s="63">
        <v>64</v>
      </c>
      <c r="C74" s="116" t="s">
        <v>460</v>
      </c>
      <c r="D74" s="70">
        <v>0</v>
      </c>
      <c r="E74" s="61">
        <v>0</v>
      </c>
      <c r="F74" s="61">
        <v>0</v>
      </c>
      <c r="G74" s="64">
        <v>0</v>
      </c>
      <c r="H74" s="101">
        <v>0</v>
      </c>
      <c r="I74" s="105">
        <v>0</v>
      </c>
      <c r="J74" s="62">
        <v>0</v>
      </c>
      <c r="K74" s="62">
        <v>0</v>
      </c>
      <c r="L74" s="64">
        <v>0</v>
      </c>
      <c r="M74" s="62">
        <v>0</v>
      </c>
      <c r="N74" s="101">
        <v>0</v>
      </c>
      <c r="O74" s="110"/>
      <c r="Q74" t="s">
        <v>372</v>
      </c>
    </row>
    <row r="75" spans="1:18" ht="24.95" customHeight="1" x14ac:dyDescent="0.2">
      <c r="A75" s="114">
        <v>74</v>
      </c>
      <c r="B75" s="63">
        <v>65</v>
      </c>
      <c r="C75" s="116" t="s">
        <v>469</v>
      </c>
      <c r="D75" s="70">
        <v>0</v>
      </c>
      <c r="E75" s="61">
        <v>0</v>
      </c>
      <c r="F75" s="61">
        <v>0</v>
      </c>
      <c r="G75" s="64">
        <v>0</v>
      </c>
      <c r="H75" s="101">
        <v>0</v>
      </c>
      <c r="I75" s="105">
        <v>0</v>
      </c>
      <c r="J75" s="62">
        <v>0</v>
      </c>
      <c r="K75" s="62">
        <v>0</v>
      </c>
      <c r="L75" s="64">
        <v>0</v>
      </c>
      <c r="M75" s="62">
        <v>0</v>
      </c>
      <c r="N75" s="101">
        <v>0</v>
      </c>
      <c r="O75" s="110"/>
      <c r="Q75" t="s">
        <v>372</v>
      </c>
    </row>
    <row r="76" spans="1:18" ht="24.95" customHeight="1" x14ac:dyDescent="0.2">
      <c r="A76" s="114">
        <v>75</v>
      </c>
      <c r="B76" s="63">
        <v>71</v>
      </c>
      <c r="C76" s="116" t="s">
        <v>465</v>
      </c>
      <c r="D76" s="70">
        <v>0</v>
      </c>
      <c r="E76" s="61">
        <v>0</v>
      </c>
      <c r="F76" s="61">
        <v>0</v>
      </c>
      <c r="G76" s="64">
        <v>0</v>
      </c>
      <c r="H76" s="101">
        <v>0</v>
      </c>
      <c r="I76" s="105">
        <v>0</v>
      </c>
      <c r="J76" s="62">
        <v>0</v>
      </c>
      <c r="K76" s="62">
        <v>0</v>
      </c>
      <c r="L76" s="64">
        <v>0</v>
      </c>
      <c r="M76" s="62">
        <v>0</v>
      </c>
      <c r="N76" s="101">
        <v>0</v>
      </c>
      <c r="O76" s="110"/>
      <c r="Q76" t="s">
        <v>372</v>
      </c>
      <c r="R76" t="s">
        <v>372</v>
      </c>
    </row>
    <row r="77" spans="1:18" ht="24.95" customHeight="1" thickBot="1" x14ac:dyDescent="0.25">
      <c r="A77" s="118"/>
      <c r="B77" s="119"/>
      <c r="C77" s="145"/>
      <c r="D77" s="71">
        <v>0</v>
      </c>
      <c r="E77" s="69">
        <v>0</v>
      </c>
      <c r="F77" s="69">
        <v>0</v>
      </c>
      <c r="G77" s="102">
        <v>0</v>
      </c>
      <c r="H77" s="103">
        <v>0</v>
      </c>
      <c r="I77" s="106">
        <v>0</v>
      </c>
      <c r="J77" s="107">
        <v>0</v>
      </c>
      <c r="K77" s="107">
        <v>0</v>
      </c>
      <c r="L77" s="102">
        <v>0</v>
      </c>
      <c r="M77" s="107">
        <v>0</v>
      </c>
      <c r="N77" s="103">
        <v>0</v>
      </c>
      <c r="O77" s="111"/>
    </row>
    <row r="78" spans="1:18" ht="24.95" customHeight="1" x14ac:dyDescent="0.2">
      <c r="A78" s="49"/>
      <c r="B78" s="50"/>
      <c r="C78" s="53"/>
      <c r="D78" s="49"/>
      <c r="E78" s="49"/>
      <c r="F78" s="49"/>
      <c r="G78" s="57"/>
      <c r="H78" s="58"/>
      <c r="I78" s="53"/>
      <c r="J78" s="53"/>
      <c r="K78" s="53"/>
      <c r="L78" s="57"/>
      <c r="M78" s="53"/>
      <c r="N78" s="58"/>
      <c r="O78" s="31"/>
    </row>
    <row r="79" spans="1:18" ht="24.95" customHeight="1" x14ac:dyDescent="0.2">
      <c r="A79" s="61"/>
      <c r="B79" s="63"/>
      <c r="C79" s="62"/>
      <c r="D79" s="61"/>
      <c r="E79" s="61"/>
      <c r="F79" s="61"/>
      <c r="G79" s="64"/>
      <c r="H79" s="65"/>
      <c r="I79" s="62"/>
      <c r="J79" s="62"/>
      <c r="K79" s="62"/>
      <c r="L79" s="64"/>
      <c r="M79" s="62"/>
      <c r="N79" s="65"/>
      <c r="O79" s="27"/>
    </row>
    <row r="80" spans="1:18" ht="24.95" customHeight="1" x14ac:dyDescent="0.2">
      <c r="A80" s="61"/>
      <c r="B80" s="63"/>
      <c r="C80" s="62"/>
      <c r="D80" s="61"/>
      <c r="E80" s="61"/>
      <c r="F80" s="61"/>
      <c r="G80" s="64"/>
      <c r="H80" s="65"/>
      <c r="I80" s="62"/>
      <c r="J80" s="62"/>
      <c r="K80" s="62"/>
      <c r="L80" s="64"/>
      <c r="M80" s="62"/>
      <c r="N80" s="65"/>
      <c r="O80" s="27"/>
    </row>
    <row r="81" spans="1:15" ht="24.95" customHeight="1" x14ac:dyDescent="0.2">
      <c r="A81" s="61"/>
      <c r="B81" s="63"/>
      <c r="C81" s="62"/>
      <c r="D81" s="61"/>
      <c r="E81" s="61"/>
      <c r="F81" s="61"/>
      <c r="G81" s="64"/>
      <c r="H81" s="65"/>
      <c r="I81" s="62"/>
      <c r="J81" s="62"/>
      <c r="K81" s="62"/>
      <c r="L81" s="64"/>
      <c r="M81" s="62"/>
      <c r="N81" s="65"/>
      <c r="O81" s="27"/>
    </row>
    <row r="82" spans="1:15" ht="24.95" customHeight="1" x14ac:dyDescent="0.2">
      <c r="A82" s="61"/>
      <c r="B82" s="63"/>
      <c r="C82" s="61"/>
      <c r="D82" s="61"/>
      <c r="E82" s="61"/>
      <c r="F82" s="61"/>
      <c r="G82" s="64"/>
      <c r="H82" s="65"/>
      <c r="I82" s="62"/>
      <c r="J82" s="62"/>
      <c r="K82" s="62"/>
      <c r="L82" s="64"/>
      <c r="M82" s="62"/>
      <c r="N82" s="65"/>
      <c r="O82" s="27"/>
    </row>
    <row r="83" spans="1:15" ht="24.95" customHeight="1" x14ac:dyDescent="0.2">
      <c r="A83" s="61"/>
      <c r="B83" s="63"/>
      <c r="C83" s="61"/>
      <c r="D83" s="61"/>
      <c r="E83" s="61"/>
      <c r="F83" s="61"/>
      <c r="G83" s="64"/>
      <c r="H83" s="65"/>
      <c r="I83" s="62"/>
      <c r="J83" s="62"/>
      <c r="K83" s="62"/>
      <c r="L83" s="64"/>
      <c r="M83" s="62"/>
      <c r="N83" s="65"/>
      <c r="O83" s="27"/>
    </row>
    <row r="84" spans="1:15" ht="24.95" customHeight="1" x14ac:dyDescent="0.2">
      <c r="A84" s="61"/>
      <c r="B84" s="63"/>
      <c r="C84" s="61"/>
      <c r="D84" s="61"/>
      <c r="E84" s="61"/>
      <c r="F84" s="61"/>
      <c r="G84" s="64"/>
      <c r="H84" s="65"/>
      <c r="I84" s="62"/>
      <c r="J84" s="62"/>
      <c r="K84" s="62"/>
      <c r="L84" s="64"/>
      <c r="M84" s="62"/>
      <c r="N84" s="65"/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6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6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6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6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6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6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6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6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6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6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6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6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6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pageMargins left="0.7" right="0.7" top="0.75" bottom="0.75" header="0.3" footer="0.3"/>
  <pageSetup scale="65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AB0C1-F28A-4D86-996E-4B058C4223B8}">
  <sheetPr codeName="Sheet17">
    <tabColor rgb="FFFF0000"/>
  </sheetPr>
  <dimension ref="A1:S651"/>
  <sheetViews>
    <sheetView zoomScaleNormal="100" workbookViewId="0">
      <selection activeCell="A2" sqref="A2:O84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9.140625" style="24"/>
  </cols>
  <sheetData>
    <row r="1" spans="1:19" ht="38.2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Q1" s="60"/>
      <c r="R1" s="1"/>
      <c r="S1" s="1"/>
    </row>
    <row r="2" spans="1:19" ht="24.95" customHeight="1" x14ac:dyDescent="0.2">
      <c r="A2" s="113">
        <v>13</v>
      </c>
      <c r="B2" s="50">
        <v>1</v>
      </c>
      <c r="C2" s="133" t="s">
        <v>344</v>
      </c>
      <c r="D2" s="92">
        <v>3</v>
      </c>
      <c r="E2" s="49">
        <v>4.8899999999999997</v>
      </c>
      <c r="F2" s="49">
        <v>3</v>
      </c>
      <c r="G2" s="57">
        <v>5.49</v>
      </c>
      <c r="H2" s="100">
        <v>2.71</v>
      </c>
      <c r="I2" s="104">
        <v>3</v>
      </c>
      <c r="J2" s="53">
        <v>4.88</v>
      </c>
      <c r="K2" s="53">
        <v>3</v>
      </c>
      <c r="L2" s="57">
        <v>5.48</v>
      </c>
      <c r="M2" s="53">
        <v>10.97</v>
      </c>
      <c r="N2" s="100">
        <v>2.38</v>
      </c>
      <c r="O2" s="109"/>
      <c r="Q2" t="s">
        <v>372</v>
      </c>
    </row>
    <row r="3" spans="1:19" ht="24.95" customHeight="1" x14ac:dyDescent="0.2">
      <c r="A3" s="70">
        <v>75</v>
      </c>
      <c r="B3" s="63">
        <v>1</v>
      </c>
      <c r="C3" s="116" t="s">
        <v>436</v>
      </c>
      <c r="D3" s="70">
        <v>0</v>
      </c>
      <c r="E3" s="61">
        <v>0</v>
      </c>
      <c r="F3" s="61">
        <v>0</v>
      </c>
      <c r="G3" s="64">
        <v>0</v>
      </c>
      <c r="H3" s="101">
        <v>0</v>
      </c>
      <c r="I3" s="105">
        <v>0</v>
      </c>
      <c r="J3" s="62">
        <v>0</v>
      </c>
      <c r="K3" s="62">
        <v>0</v>
      </c>
      <c r="L3" s="64">
        <v>0</v>
      </c>
      <c r="M3" s="62">
        <v>0</v>
      </c>
      <c r="N3" s="101">
        <v>0</v>
      </c>
      <c r="O3" s="110"/>
    </row>
    <row r="4" spans="1:19" ht="24.95" customHeight="1" x14ac:dyDescent="0.2">
      <c r="A4" s="70">
        <v>83</v>
      </c>
      <c r="B4" s="63">
        <v>1</v>
      </c>
      <c r="C4" s="116" t="s">
        <v>437</v>
      </c>
      <c r="D4" s="70">
        <v>0</v>
      </c>
      <c r="E4" s="61">
        <v>0</v>
      </c>
      <c r="F4" s="61">
        <v>0</v>
      </c>
      <c r="G4" s="64">
        <v>0</v>
      </c>
      <c r="H4" s="101">
        <v>0</v>
      </c>
      <c r="I4" s="105">
        <v>0</v>
      </c>
      <c r="J4" s="62">
        <v>0</v>
      </c>
      <c r="K4" s="62">
        <v>0</v>
      </c>
      <c r="L4" s="64">
        <v>0</v>
      </c>
      <c r="M4" s="62">
        <v>0</v>
      </c>
      <c r="N4" s="101">
        <v>0</v>
      </c>
      <c r="O4" s="110"/>
      <c r="Q4" t="s">
        <v>372</v>
      </c>
    </row>
    <row r="5" spans="1:19" ht="24.95" customHeight="1" x14ac:dyDescent="0.2">
      <c r="A5" s="114">
        <v>16</v>
      </c>
      <c r="B5" s="63">
        <v>2</v>
      </c>
      <c r="C5" s="116" t="s">
        <v>379</v>
      </c>
      <c r="D5" s="70">
        <v>2</v>
      </c>
      <c r="E5" s="61">
        <v>4.1399999999999997</v>
      </c>
      <c r="F5" s="61">
        <v>2</v>
      </c>
      <c r="G5" s="64">
        <v>4.54</v>
      </c>
      <c r="H5" s="101">
        <v>2.09</v>
      </c>
      <c r="I5" s="105">
        <v>3</v>
      </c>
      <c r="J5" s="62">
        <v>5.19</v>
      </c>
      <c r="K5" s="62">
        <v>3</v>
      </c>
      <c r="L5" s="64">
        <v>5.79</v>
      </c>
      <c r="M5" s="62">
        <v>10.33</v>
      </c>
      <c r="N5" s="101">
        <v>2.25</v>
      </c>
      <c r="O5" s="110"/>
    </row>
    <row r="6" spans="1:19" ht="24.95" customHeight="1" x14ac:dyDescent="0.2">
      <c r="A6" s="70">
        <v>76</v>
      </c>
      <c r="B6" s="63">
        <v>2</v>
      </c>
      <c r="C6" s="116" t="s">
        <v>397</v>
      </c>
      <c r="D6" s="70">
        <v>0</v>
      </c>
      <c r="E6" s="61">
        <v>0</v>
      </c>
      <c r="F6" s="61">
        <v>0</v>
      </c>
      <c r="G6" s="64">
        <v>0</v>
      </c>
      <c r="H6" s="101">
        <v>0</v>
      </c>
      <c r="I6" s="105">
        <v>0</v>
      </c>
      <c r="J6" s="62">
        <v>0</v>
      </c>
      <c r="K6" s="62">
        <v>0</v>
      </c>
      <c r="L6" s="64">
        <v>0</v>
      </c>
      <c r="M6" s="62">
        <v>0</v>
      </c>
      <c r="N6" s="101">
        <v>0</v>
      </c>
      <c r="O6" s="110"/>
      <c r="Q6" t="s">
        <v>372</v>
      </c>
    </row>
    <row r="7" spans="1:19" ht="24.95" customHeight="1" x14ac:dyDescent="0.2">
      <c r="A7" s="114">
        <v>58</v>
      </c>
      <c r="B7" s="63">
        <v>3</v>
      </c>
      <c r="C7" s="116" t="s">
        <v>380</v>
      </c>
      <c r="D7" s="70">
        <v>0</v>
      </c>
      <c r="E7" s="61">
        <v>0</v>
      </c>
      <c r="F7" s="61">
        <v>0</v>
      </c>
      <c r="G7" s="64">
        <v>0</v>
      </c>
      <c r="H7" s="101">
        <v>0</v>
      </c>
      <c r="I7" s="105">
        <v>3</v>
      </c>
      <c r="J7" s="62">
        <v>4.49</v>
      </c>
      <c r="K7" s="62">
        <v>3</v>
      </c>
      <c r="L7" s="64">
        <v>5.09</v>
      </c>
      <c r="M7" s="62">
        <v>5.09</v>
      </c>
      <c r="N7" s="101">
        <v>2</v>
      </c>
      <c r="O7" s="110"/>
    </row>
    <row r="8" spans="1:19" ht="24.95" customHeight="1" x14ac:dyDescent="0.2">
      <c r="A8" s="114">
        <v>15</v>
      </c>
      <c r="B8" s="63">
        <v>4</v>
      </c>
      <c r="C8" s="115" t="s">
        <v>365</v>
      </c>
      <c r="D8" s="70">
        <v>2</v>
      </c>
      <c r="E8" s="61">
        <v>5.2</v>
      </c>
      <c r="F8" s="61">
        <v>2</v>
      </c>
      <c r="G8" s="64">
        <v>5.6</v>
      </c>
      <c r="H8" s="101">
        <v>2.63</v>
      </c>
      <c r="I8" s="105">
        <v>2</v>
      </c>
      <c r="J8" s="62">
        <v>4.66</v>
      </c>
      <c r="K8" s="62">
        <v>2</v>
      </c>
      <c r="L8" s="64">
        <v>5.0599999999999996</v>
      </c>
      <c r="M8" s="62">
        <v>10.66</v>
      </c>
      <c r="N8" s="101">
        <v>2.42</v>
      </c>
      <c r="O8" s="110"/>
    </row>
    <row r="9" spans="1:19" ht="24.95" customHeight="1" x14ac:dyDescent="0.2">
      <c r="A9" s="114">
        <v>10</v>
      </c>
      <c r="B9" s="63">
        <v>5</v>
      </c>
      <c r="C9" s="116" t="s">
        <v>197</v>
      </c>
      <c r="D9" s="70">
        <v>2</v>
      </c>
      <c r="E9" s="61">
        <v>3.41</v>
      </c>
      <c r="F9" s="61">
        <v>2</v>
      </c>
      <c r="G9" s="64">
        <v>3.81</v>
      </c>
      <c r="H9" s="101">
        <v>1.78</v>
      </c>
      <c r="I9" s="105">
        <v>5</v>
      </c>
      <c r="J9" s="62">
        <v>6.7</v>
      </c>
      <c r="K9" s="62">
        <v>5</v>
      </c>
      <c r="L9" s="64">
        <v>7.7</v>
      </c>
      <c r="M9" s="62">
        <v>11.51</v>
      </c>
      <c r="N9" s="101">
        <v>2.02</v>
      </c>
      <c r="O9" s="110"/>
    </row>
    <row r="10" spans="1:19" ht="24.95" customHeight="1" x14ac:dyDescent="0.2">
      <c r="A10" s="114">
        <v>26</v>
      </c>
      <c r="B10" s="63">
        <v>6</v>
      </c>
      <c r="C10" s="115" t="s">
        <v>330</v>
      </c>
      <c r="D10" s="70">
        <v>2</v>
      </c>
      <c r="E10" s="61">
        <v>4.12</v>
      </c>
      <c r="F10" s="61">
        <v>2</v>
      </c>
      <c r="G10" s="64">
        <v>4.5199999999999996</v>
      </c>
      <c r="H10" s="101">
        <v>2.92</v>
      </c>
      <c r="I10" s="105">
        <v>2</v>
      </c>
      <c r="J10" s="62">
        <v>4.41</v>
      </c>
      <c r="K10" s="62">
        <v>2</v>
      </c>
      <c r="L10" s="64">
        <v>4.8099999999999996</v>
      </c>
      <c r="M10" s="62">
        <v>9.33</v>
      </c>
      <c r="N10" s="101">
        <v>2.37</v>
      </c>
      <c r="O10" s="110"/>
      <c r="Q10" t="s">
        <v>372</v>
      </c>
    </row>
    <row r="11" spans="1:19" ht="24.95" customHeight="1" x14ac:dyDescent="0.2">
      <c r="A11" s="114">
        <v>4</v>
      </c>
      <c r="B11" s="63">
        <v>7</v>
      </c>
      <c r="C11" s="116" t="s">
        <v>201</v>
      </c>
      <c r="D11" s="70">
        <v>5</v>
      </c>
      <c r="E11" s="61">
        <v>6.49</v>
      </c>
      <c r="F11" s="61">
        <v>5</v>
      </c>
      <c r="G11" s="64">
        <v>7.49</v>
      </c>
      <c r="H11" s="101">
        <v>2.04</v>
      </c>
      <c r="I11" s="105">
        <v>3</v>
      </c>
      <c r="J11" s="62">
        <v>4.68</v>
      </c>
      <c r="K11" s="62">
        <v>3</v>
      </c>
      <c r="L11" s="64">
        <v>5.28</v>
      </c>
      <c r="M11" s="62">
        <v>12.77</v>
      </c>
      <c r="N11" s="101">
        <v>2.02</v>
      </c>
      <c r="O11" s="110"/>
    </row>
    <row r="12" spans="1:19" ht="24.95" customHeight="1" x14ac:dyDescent="0.2">
      <c r="A12" s="114">
        <v>11</v>
      </c>
      <c r="B12" s="63">
        <v>8</v>
      </c>
      <c r="C12" s="115" t="s">
        <v>238</v>
      </c>
      <c r="D12" s="70">
        <v>4</v>
      </c>
      <c r="E12" s="61">
        <v>6.26</v>
      </c>
      <c r="F12" s="61">
        <v>4</v>
      </c>
      <c r="G12" s="64">
        <v>7.06</v>
      </c>
      <c r="H12" s="101">
        <v>2.36</v>
      </c>
      <c r="I12" s="105">
        <v>2</v>
      </c>
      <c r="J12" s="62">
        <v>3.87</v>
      </c>
      <c r="K12" s="62">
        <v>2</v>
      </c>
      <c r="L12" s="64">
        <v>4.2699999999999996</v>
      </c>
      <c r="M12" s="62">
        <v>11.33</v>
      </c>
      <c r="N12" s="101">
        <v>2.0099999999999998</v>
      </c>
      <c r="O12" s="110"/>
      <c r="Q12" t="s">
        <v>372</v>
      </c>
    </row>
    <row r="13" spans="1:19" ht="24.95" customHeight="1" x14ac:dyDescent="0.2">
      <c r="A13" s="114">
        <v>74</v>
      </c>
      <c r="B13" s="63">
        <v>9</v>
      </c>
      <c r="C13" s="115" t="s">
        <v>381</v>
      </c>
      <c r="D13" s="70">
        <v>1</v>
      </c>
      <c r="E13" s="61">
        <v>0.96</v>
      </c>
      <c r="F13" s="61">
        <v>1</v>
      </c>
      <c r="G13" s="64">
        <v>1.1599999999999999</v>
      </c>
      <c r="H13" s="101">
        <v>0.96</v>
      </c>
      <c r="I13" s="105">
        <v>0</v>
      </c>
      <c r="J13" s="62">
        <v>0</v>
      </c>
      <c r="K13" s="62">
        <v>0</v>
      </c>
      <c r="L13" s="64">
        <v>0</v>
      </c>
      <c r="M13" s="62">
        <v>1.1599999999999999</v>
      </c>
      <c r="N13" s="101">
        <v>0</v>
      </c>
      <c r="O13" s="110"/>
    </row>
    <row r="14" spans="1:19" ht="24.95" customHeight="1" x14ac:dyDescent="0.2">
      <c r="A14" s="114">
        <v>53</v>
      </c>
      <c r="B14" s="63">
        <v>10</v>
      </c>
      <c r="C14" s="116" t="s">
        <v>382</v>
      </c>
      <c r="D14" s="70">
        <v>2</v>
      </c>
      <c r="E14" s="61">
        <v>3.57</v>
      </c>
      <c r="F14" s="61">
        <v>2</v>
      </c>
      <c r="G14" s="64">
        <v>3.97</v>
      </c>
      <c r="H14" s="101">
        <v>1.83</v>
      </c>
      <c r="I14" s="105">
        <v>2</v>
      </c>
      <c r="J14" s="62">
        <v>1.46</v>
      </c>
      <c r="K14" s="62">
        <v>2</v>
      </c>
      <c r="L14" s="64">
        <v>1.86</v>
      </c>
      <c r="M14" s="62">
        <v>5.83</v>
      </c>
      <c r="N14" s="101">
        <v>0.74</v>
      </c>
      <c r="O14" s="110"/>
    </row>
    <row r="15" spans="1:19" ht="24.95" customHeight="1" x14ac:dyDescent="0.2">
      <c r="A15" s="114">
        <v>25</v>
      </c>
      <c r="B15" s="63">
        <v>11</v>
      </c>
      <c r="C15" s="116" t="s">
        <v>298</v>
      </c>
      <c r="D15" s="70">
        <v>2</v>
      </c>
      <c r="E15" s="61">
        <v>1.9</v>
      </c>
      <c r="F15" s="61">
        <v>2</v>
      </c>
      <c r="G15" s="64">
        <v>2.2999999999999998</v>
      </c>
      <c r="H15" s="101">
        <v>0.99</v>
      </c>
      <c r="I15" s="105">
        <v>5</v>
      </c>
      <c r="J15" s="62">
        <v>6.1</v>
      </c>
      <c r="K15" s="62">
        <v>5</v>
      </c>
      <c r="L15" s="64">
        <v>7.1</v>
      </c>
      <c r="M15" s="62">
        <v>9.4</v>
      </c>
      <c r="N15" s="101">
        <v>1.76</v>
      </c>
      <c r="O15" s="110"/>
    </row>
    <row r="16" spans="1:19" ht="24.95" customHeight="1" x14ac:dyDescent="0.2">
      <c r="A16" s="114">
        <v>5</v>
      </c>
      <c r="B16" s="63">
        <v>12</v>
      </c>
      <c r="C16" s="116" t="s">
        <v>341</v>
      </c>
      <c r="D16" s="70">
        <v>5</v>
      </c>
      <c r="E16" s="61">
        <v>7.12</v>
      </c>
      <c r="F16" s="61">
        <v>5</v>
      </c>
      <c r="G16" s="64">
        <v>8.1199999999999992</v>
      </c>
      <c r="H16" s="101">
        <v>2.4300000000000002</v>
      </c>
      <c r="I16" s="105">
        <v>2</v>
      </c>
      <c r="J16" s="62">
        <v>3.95</v>
      </c>
      <c r="K16" s="62">
        <v>2</v>
      </c>
      <c r="L16" s="64">
        <v>4.3499999999999996</v>
      </c>
      <c r="M16" s="62">
        <v>12.47</v>
      </c>
      <c r="N16" s="101">
        <v>2.04</v>
      </c>
      <c r="O16" s="110"/>
    </row>
    <row r="17" spans="1:18" ht="24.95" customHeight="1" x14ac:dyDescent="0.2">
      <c r="A17" s="114">
        <v>77</v>
      </c>
      <c r="B17" s="63">
        <v>13</v>
      </c>
      <c r="C17" s="116" t="s">
        <v>383</v>
      </c>
      <c r="D17" s="70">
        <v>0</v>
      </c>
      <c r="E17" s="61">
        <v>0</v>
      </c>
      <c r="F17" s="61">
        <v>0</v>
      </c>
      <c r="G17" s="64">
        <v>0</v>
      </c>
      <c r="H17" s="101">
        <v>0</v>
      </c>
      <c r="I17" s="105">
        <v>0</v>
      </c>
      <c r="J17" s="62">
        <v>0</v>
      </c>
      <c r="K17" s="62">
        <v>0</v>
      </c>
      <c r="L17" s="64">
        <v>0</v>
      </c>
      <c r="M17" s="62">
        <v>0</v>
      </c>
      <c r="N17" s="101">
        <v>0</v>
      </c>
      <c r="O17" s="110"/>
    </row>
    <row r="18" spans="1:18" ht="24.95" customHeight="1" x14ac:dyDescent="0.2">
      <c r="A18" s="114">
        <v>37</v>
      </c>
      <c r="B18" s="63">
        <v>14</v>
      </c>
      <c r="C18" s="116" t="s">
        <v>326</v>
      </c>
      <c r="D18" s="70">
        <v>2</v>
      </c>
      <c r="E18" s="61">
        <v>3.88</v>
      </c>
      <c r="F18" s="61">
        <v>2</v>
      </c>
      <c r="G18" s="64">
        <v>4.28</v>
      </c>
      <c r="H18" s="101">
        <v>2.02</v>
      </c>
      <c r="I18" s="105">
        <v>2</v>
      </c>
      <c r="J18" s="62">
        <v>3.6</v>
      </c>
      <c r="K18" s="62">
        <v>2</v>
      </c>
      <c r="L18" s="64">
        <v>4</v>
      </c>
      <c r="M18" s="62">
        <v>8.2799999999999994</v>
      </c>
      <c r="N18" s="101">
        <v>1.87</v>
      </c>
      <c r="O18" s="110"/>
      <c r="Q18" t="s">
        <v>372</v>
      </c>
    </row>
    <row r="19" spans="1:18" ht="24.95" customHeight="1" x14ac:dyDescent="0.2">
      <c r="A19" s="114">
        <v>2</v>
      </c>
      <c r="B19" s="63">
        <v>15</v>
      </c>
      <c r="C19" s="116" t="s">
        <v>212</v>
      </c>
      <c r="D19" s="70">
        <v>2</v>
      </c>
      <c r="E19" s="61">
        <v>4.32</v>
      </c>
      <c r="F19" s="61">
        <v>2</v>
      </c>
      <c r="G19" s="64">
        <v>4.72</v>
      </c>
      <c r="H19" s="101">
        <v>2.35</v>
      </c>
      <c r="I19" s="105">
        <v>7</v>
      </c>
      <c r="J19" s="62">
        <v>8.18</v>
      </c>
      <c r="K19" s="62">
        <v>7</v>
      </c>
      <c r="L19" s="64">
        <v>9.58</v>
      </c>
      <c r="M19" s="62">
        <v>14.3</v>
      </c>
      <c r="N19" s="101">
        <v>2.14</v>
      </c>
      <c r="O19" s="110"/>
    </row>
    <row r="20" spans="1:18" ht="24.95" customHeight="1" x14ac:dyDescent="0.2">
      <c r="A20" s="114">
        <v>78</v>
      </c>
      <c r="B20" s="63">
        <v>16</v>
      </c>
      <c r="C20" s="116" t="s">
        <v>346</v>
      </c>
      <c r="D20" s="70">
        <v>0</v>
      </c>
      <c r="E20" s="61">
        <v>0</v>
      </c>
      <c r="F20" s="61">
        <v>0</v>
      </c>
      <c r="G20" s="64">
        <v>0</v>
      </c>
      <c r="H20" s="101">
        <v>0</v>
      </c>
      <c r="I20" s="105">
        <v>0</v>
      </c>
      <c r="J20" s="62">
        <v>0</v>
      </c>
      <c r="K20" s="62">
        <v>0</v>
      </c>
      <c r="L20" s="64">
        <v>0</v>
      </c>
      <c r="M20" s="62">
        <v>0</v>
      </c>
      <c r="N20" s="101">
        <v>0</v>
      </c>
      <c r="O20" s="110"/>
      <c r="Q20" t="s">
        <v>372</v>
      </c>
    </row>
    <row r="21" spans="1:18" ht="24.95" customHeight="1" x14ac:dyDescent="0.2">
      <c r="A21" s="114">
        <v>36</v>
      </c>
      <c r="B21" s="63">
        <v>17</v>
      </c>
      <c r="C21" s="116" t="s">
        <v>384</v>
      </c>
      <c r="D21" s="70">
        <v>2</v>
      </c>
      <c r="E21" s="61">
        <v>4.18</v>
      </c>
      <c r="F21" s="61">
        <v>2</v>
      </c>
      <c r="G21" s="64">
        <v>4.58</v>
      </c>
      <c r="H21" s="101">
        <v>2.2400000000000002</v>
      </c>
      <c r="I21" s="105">
        <v>2</v>
      </c>
      <c r="J21" s="62">
        <v>3.39</v>
      </c>
      <c r="K21" s="62">
        <v>2</v>
      </c>
      <c r="L21" s="64">
        <v>3.79</v>
      </c>
      <c r="M21" s="62">
        <v>8.3699999999999992</v>
      </c>
      <c r="N21" s="101">
        <v>2.4900000000000002</v>
      </c>
      <c r="O21" s="110"/>
      <c r="Q21" t="s">
        <v>372</v>
      </c>
    </row>
    <row r="22" spans="1:18" ht="24.95" customHeight="1" x14ac:dyDescent="0.2">
      <c r="A22" s="114">
        <v>50</v>
      </c>
      <c r="B22" s="63">
        <v>18</v>
      </c>
      <c r="C22" s="116" t="s">
        <v>385</v>
      </c>
      <c r="D22" s="70">
        <v>1</v>
      </c>
      <c r="E22" s="61">
        <v>1.68</v>
      </c>
      <c r="F22" s="61">
        <v>1</v>
      </c>
      <c r="G22" s="64">
        <v>1.88</v>
      </c>
      <c r="H22" s="101">
        <v>1.68</v>
      </c>
      <c r="I22" s="105">
        <v>2</v>
      </c>
      <c r="J22" s="62">
        <v>3.88</v>
      </c>
      <c r="K22" s="62">
        <v>2</v>
      </c>
      <c r="L22" s="64">
        <v>4.28</v>
      </c>
      <c r="M22" s="62">
        <v>6.16</v>
      </c>
      <c r="N22" s="101">
        <v>2</v>
      </c>
      <c r="O22" s="110"/>
      <c r="Q22" t="s">
        <v>372</v>
      </c>
    </row>
    <row r="23" spans="1:18" ht="24.95" customHeight="1" x14ac:dyDescent="0.2">
      <c r="A23" s="114">
        <v>8</v>
      </c>
      <c r="B23" s="63">
        <v>19</v>
      </c>
      <c r="C23" s="116" t="s">
        <v>347</v>
      </c>
      <c r="D23" s="70">
        <v>5</v>
      </c>
      <c r="E23" s="61">
        <v>6.47</v>
      </c>
      <c r="F23" s="61">
        <v>5</v>
      </c>
      <c r="G23" s="64">
        <v>7.47</v>
      </c>
      <c r="H23" s="101">
        <v>1.93</v>
      </c>
      <c r="I23" s="105">
        <v>2</v>
      </c>
      <c r="J23" s="62">
        <v>3.85</v>
      </c>
      <c r="K23" s="62">
        <v>2</v>
      </c>
      <c r="L23" s="64">
        <v>4.25</v>
      </c>
      <c r="M23" s="62">
        <v>11.72</v>
      </c>
      <c r="N23" s="101">
        <v>2.0299999999999998</v>
      </c>
      <c r="O23" s="110"/>
      <c r="Q23" t="s">
        <v>372</v>
      </c>
      <c r="R23" t="s">
        <v>372</v>
      </c>
    </row>
    <row r="24" spans="1:18" ht="24.95" customHeight="1" x14ac:dyDescent="0.2">
      <c r="A24" s="114">
        <v>51</v>
      </c>
      <c r="B24" s="63">
        <v>20</v>
      </c>
      <c r="C24" s="116" t="s">
        <v>386</v>
      </c>
      <c r="D24" s="70">
        <v>2</v>
      </c>
      <c r="E24" s="61">
        <v>3.45</v>
      </c>
      <c r="F24" s="61">
        <v>2</v>
      </c>
      <c r="G24" s="64">
        <v>3.85</v>
      </c>
      <c r="H24" s="101">
        <v>1.84</v>
      </c>
      <c r="I24" s="105">
        <v>1</v>
      </c>
      <c r="J24" s="62">
        <v>1.93</v>
      </c>
      <c r="K24" s="62">
        <v>1</v>
      </c>
      <c r="L24" s="64">
        <v>2.13</v>
      </c>
      <c r="M24" s="62">
        <v>5.98</v>
      </c>
      <c r="N24" s="101">
        <v>1.93</v>
      </c>
      <c r="O24" s="110"/>
      <c r="Q24" t="s">
        <v>372</v>
      </c>
    </row>
    <row r="25" spans="1:18" ht="24.95" customHeight="1" x14ac:dyDescent="0.2">
      <c r="A25" s="114">
        <v>29</v>
      </c>
      <c r="B25" s="63">
        <v>21</v>
      </c>
      <c r="C25" s="116" t="s">
        <v>210</v>
      </c>
      <c r="D25" s="70">
        <v>3</v>
      </c>
      <c r="E25" s="61">
        <v>4.5199999999999996</v>
      </c>
      <c r="F25" s="61">
        <v>3</v>
      </c>
      <c r="G25" s="64">
        <v>5.12</v>
      </c>
      <c r="H25" s="101">
        <v>2.36</v>
      </c>
      <c r="I25" s="105">
        <v>2</v>
      </c>
      <c r="J25" s="62">
        <v>3.52</v>
      </c>
      <c r="K25" s="62">
        <v>2</v>
      </c>
      <c r="L25" s="64">
        <v>3.92</v>
      </c>
      <c r="M25" s="62">
        <v>9.0399999999999991</v>
      </c>
      <c r="N25" s="101">
        <v>1.87</v>
      </c>
      <c r="O25" s="110"/>
    </row>
    <row r="26" spans="1:18" ht="24.95" customHeight="1" x14ac:dyDescent="0.2">
      <c r="A26" s="114">
        <v>55</v>
      </c>
      <c r="B26" s="63">
        <v>22</v>
      </c>
      <c r="C26" s="116" t="s">
        <v>370</v>
      </c>
      <c r="D26" s="70">
        <v>3</v>
      </c>
      <c r="E26" s="61">
        <v>4.79</v>
      </c>
      <c r="F26" s="61">
        <v>3</v>
      </c>
      <c r="G26" s="64">
        <v>5.39</v>
      </c>
      <c r="H26" s="101">
        <v>1.84</v>
      </c>
      <c r="I26" s="105">
        <v>0</v>
      </c>
      <c r="J26" s="62">
        <v>0</v>
      </c>
      <c r="K26" s="62">
        <v>0</v>
      </c>
      <c r="L26" s="64">
        <v>0</v>
      </c>
      <c r="M26" s="62">
        <v>5.39</v>
      </c>
      <c r="N26" s="101">
        <v>0</v>
      </c>
      <c r="O26" s="110"/>
    </row>
    <row r="27" spans="1:18" ht="24.95" customHeight="1" x14ac:dyDescent="0.2">
      <c r="A27" s="114">
        <v>6</v>
      </c>
      <c r="B27" s="63">
        <v>23</v>
      </c>
      <c r="C27" s="116" t="s">
        <v>387</v>
      </c>
      <c r="D27" s="70">
        <v>3</v>
      </c>
      <c r="E27" s="61">
        <v>5.04</v>
      </c>
      <c r="F27" s="61">
        <v>3</v>
      </c>
      <c r="G27" s="64">
        <v>5.64</v>
      </c>
      <c r="H27" s="101">
        <v>2.14</v>
      </c>
      <c r="I27" s="105">
        <v>4</v>
      </c>
      <c r="J27" s="62">
        <v>5.65</v>
      </c>
      <c r="K27" s="62">
        <v>4</v>
      </c>
      <c r="L27" s="64">
        <v>6.45</v>
      </c>
      <c r="M27" s="62">
        <v>12.09</v>
      </c>
      <c r="N27" s="101">
        <v>2.04</v>
      </c>
      <c r="O27" s="110"/>
    </row>
    <row r="28" spans="1:18" ht="24.95" customHeight="1" x14ac:dyDescent="0.2">
      <c r="A28" s="114">
        <v>59</v>
      </c>
      <c r="B28" s="63">
        <v>24</v>
      </c>
      <c r="C28" s="116" t="s">
        <v>253</v>
      </c>
      <c r="D28" s="70">
        <v>3</v>
      </c>
      <c r="E28" s="61">
        <v>4.34</v>
      </c>
      <c r="F28" s="61">
        <v>3</v>
      </c>
      <c r="G28" s="64">
        <v>4.9400000000000004</v>
      </c>
      <c r="H28" s="101">
        <v>1.8</v>
      </c>
      <c r="I28" s="105">
        <v>0</v>
      </c>
      <c r="J28" s="62">
        <v>0</v>
      </c>
      <c r="K28" s="62">
        <v>0</v>
      </c>
      <c r="L28" s="64">
        <v>0</v>
      </c>
      <c r="M28" s="62">
        <v>4.9400000000000004</v>
      </c>
      <c r="N28" s="101">
        <v>0</v>
      </c>
      <c r="O28" s="110"/>
      <c r="Q28" t="s">
        <v>372</v>
      </c>
      <c r="R28" t="s">
        <v>372</v>
      </c>
    </row>
    <row r="29" spans="1:18" ht="24.95" customHeight="1" x14ac:dyDescent="0.2">
      <c r="A29" s="114">
        <v>38</v>
      </c>
      <c r="B29" s="63">
        <v>25</v>
      </c>
      <c r="C29" s="116" t="s">
        <v>234</v>
      </c>
      <c r="D29" s="70">
        <v>2</v>
      </c>
      <c r="E29" s="61">
        <v>3.54</v>
      </c>
      <c r="F29" s="61">
        <v>2</v>
      </c>
      <c r="G29" s="64">
        <v>3.94</v>
      </c>
      <c r="H29" s="101">
        <v>1.8</v>
      </c>
      <c r="I29" s="105">
        <v>2</v>
      </c>
      <c r="J29" s="62">
        <v>3.76</v>
      </c>
      <c r="K29" s="62">
        <v>2</v>
      </c>
      <c r="L29" s="64">
        <v>4.16</v>
      </c>
      <c r="M29" s="62">
        <v>8.1</v>
      </c>
      <c r="N29" s="101">
        <v>1.93</v>
      </c>
      <c r="O29" s="110"/>
      <c r="Q29" t="s">
        <v>372</v>
      </c>
      <c r="R29" t="s">
        <v>372</v>
      </c>
    </row>
    <row r="30" spans="1:18" ht="24.95" customHeight="1" x14ac:dyDescent="0.2">
      <c r="A30" s="114">
        <v>67</v>
      </c>
      <c r="B30" s="63">
        <v>26</v>
      </c>
      <c r="C30" s="116" t="s">
        <v>419</v>
      </c>
      <c r="D30" s="70">
        <v>2</v>
      </c>
      <c r="E30" s="61">
        <v>2.69</v>
      </c>
      <c r="F30" s="61">
        <v>2</v>
      </c>
      <c r="G30" s="64">
        <v>3.09</v>
      </c>
      <c r="H30" s="101">
        <v>1.63</v>
      </c>
      <c r="I30" s="105">
        <v>0</v>
      </c>
      <c r="J30" s="62">
        <v>0</v>
      </c>
      <c r="K30" s="62">
        <v>0</v>
      </c>
      <c r="L30" s="64">
        <v>0</v>
      </c>
      <c r="M30" s="62">
        <v>3.09</v>
      </c>
      <c r="N30" s="101">
        <v>0</v>
      </c>
      <c r="O30" s="110"/>
      <c r="Q30" t="s">
        <v>372</v>
      </c>
      <c r="R30" t="s">
        <v>372</v>
      </c>
    </row>
    <row r="31" spans="1:18" ht="24.95" customHeight="1" x14ac:dyDescent="0.2">
      <c r="A31" s="114">
        <v>57</v>
      </c>
      <c r="B31" s="63">
        <v>27</v>
      </c>
      <c r="C31" s="116" t="s">
        <v>388</v>
      </c>
      <c r="D31" s="70">
        <v>2</v>
      </c>
      <c r="E31" s="61">
        <v>3.84</v>
      </c>
      <c r="F31" s="61">
        <v>2</v>
      </c>
      <c r="G31" s="64">
        <v>4.24</v>
      </c>
      <c r="H31" s="101">
        <v>1.95</v>
      </c>
      <c r="I31" s="105">
        <v>1</v>
      </c>
      <c r="J31" s="62">
        <v>0.72</v>
      </c>
      <c r="K31" s="62">
        <v>1</v>
      </c>
      <c r="L31" s="64">
        <v>0.92</v>
      </c>
      <c r="M31" s="62">
        <v>5.16</v>
      </c>
      <c r="N31" s="101">
        <v>0.72</v>
      </c>
      <c r="O31" s="110"/>
      <c r="Q31" t="s">
        <v>372</v>
      </c>
      <c r="R31" t="s">
        <v>372</v>
      </c>
    </row>
    <row r="32" spans="1:18" ht="24.95" customHeight="1" x14ac:dyDescent="0.2">
      <c r="A32" s="114">
        <v>33</v>
      </c>
      <c r="B32" s="63">
        <v>28</v>
      </c>
      <c r="C32" s="116" t="s">
        <v>310</v>
      </c>
      <c r="D32" s="70">
        <v>2</v>
      </c>
      <c r="E32" s="61">
        <v>4.46</v>
      </c>
      <c r="F32" s="61">
        <v>2</v>
      </c>
      <c r="G32" s="64">
        <v>4.8600000000000003</v>
      </c>
      <c r="H32" s="101">
        <v>2.31</v>
      </c>
      <c r="I32" s="105">
        <v>2</v>
      </c>
      <c r="J32" s="62">
        <v>3.79</v>
      </c>
      <c r="K32" s="62">
        <v>0</v>
      </c>
      <c r="L32" s="64">
        <v>3.79</v>
      </c>
      <c r="M32" s="62">
        <v>8.65</v>
      </c>
      <c r="N32" s="101">
        <v>2.04</v>
      </c>
      <c r="O32" s="110"/>
      <c r="Q32" t="s">
        <v>372</v>
      </c>
      <c r="R32" t="s">
        <v>372</v>
      </c>
    </row>
    <row r="33" spans="1:18" ht="24.95" customHeight="1" x14ac:dyDescent="0.2">
      <c r="A33" s="114">
        <v>45</v>
      </c>
      <c r="B33" s="63">
        <v>29</v>
      </c>
      <c r="C33" s="116" t="s">
        <v>366</v>
      </c>
      <c r="D33" s="70">
        <v>1</v>
      </c>
      <c r="E33" s="61">
        <v>1.52</v>
      </c>
      <c r="F33" s="61">
        <v>1</v>
      </c>
      <c r="G33" s="64">
        <v>1.72</v>
      </c>
      <c r="H33" s="101">
        <v>1.52</v>
      </c>
      <c r="I33" s="105">
        <v>3</v>
      </c>
      <c r="J33" s="62">
        <v>4.55</v>
      </c>
      <c r="K33" s="62">
        <v>3</v>
      </c>
      <c r="L33" s="64">
        <v>5.15</v>
      </c>
      <c r="M33" s="62">
        <v>6.87</v>
      </c>
      <c r="N33" s="101">
        <v>1.88</v>
      </c>
      <c r="O33" s="110"/>
      <c r="Q33" t="s">
        <v>372</v>
      </c>
    </row>
    <row r="34" spans="1:18" ht="24.95" customHeight="1" x14ac:dyDescent="0.2">
      <c r="A34" s="114">
        <v>34</v>
      </c>
      <c r="B34" s="63">
        <v>30</v>
      </c>
      <c r="C34" s="116" t="s">
        <v>284</v>
      </c>
      <c r="D34" s="70">
        <v>2</v>
      </c>
      <c r="E34" s="61">
        <v>4.0599999999999996</v>
      </c>
      <c r="F34" s="61">
        <v>2</v>
      </c>
      <c r="G34" s="64">
        <v>4.46</v>
      </c>
      <c r="H34" s="101">
        <v>2.13</v>
      </c>
      <c r="I34" s="105">
        <v>2</v>
      </c>
      <c r="J34" s="62">
        <v>3.77</v>
      </c>
      <c r="K34" s="62">
        <v>2</v>
      </c>
      <c r="L34" s="64">
        <v>4.17</v>
      </c>
      <c r="M34" s="62">
        <v>8.6300000000000008</v>
      </c>
      <c r="N34" s="101">
        <v>2.33</v>
      </c>
      <c r="O34" s="110"/>
    </row>
    <row r="35" spans="1:18" ht="24.95" customHeight="1" x14ac:dyDescent="0.2">
      <c r="A35" s="114">
        <v>31</v>
      </c>
      <c r="B35" s="63">
        <v>31</v>
      </c>
      <c r="C35" s="116" t="s">
        <v>302</v>
      </c>
      <c r="D35" s="70">
        <v>2</v>
      </c>
      <c r="E35" s="61">
        <v>3.87</v>
      </c>
      <c r="F35" s="61">
        <v>2</v>
      </c>
      <c r="G35" s="64">
        <v>4.2699999999999996</v>
      </c>
      <c r="H35" s="101">
        <v>2.13</v>
      </c>
      <c r="I35" s="105">
        <v>2</v>
      </c>
      <c r="J35" s="62">
        <v>4.18</v>
      </c>
      <c r="K35" s="62">
        <v>2</v>
      </c>
      <c r="L35" s="64">
        <v>4.58</v>
      </c>
      <c r="M35" s="62">
        <v>8.85</v>
      </c>
      <c r="N35" s="101">
        <v>2.1</v>
      </c>
      <c r="O35" s="110"/>
      <c r="Q35" t="s">
        <v>372</v>
      </c>
    </row>
    <row r="36" spans="1:18" ht="24.95" customHeight="1" x14ac:dyDescent="0.2">
      <c r="A36" s="114">
        <v>24</v>
      </c>
      <c r="B36" s="63">
        <v>32</v>
      </c>
      <c r="C36" s="116" t="s">
        <v>363</v>
      </c>
      <c r="D36" s="70">
        <v>3</v>
      </c>
      <c r="E36" s="61">
        <v>4.71</v>
      </c>
      <c r="F36" s="61">
        <v>3</v>
      </c>
      <c r="G36" s="64">
        <v>5.31</v>
      </c>
      <c r="H36" s="101">
        <v>1.9</v>
      </c>
      <c r="I36" s="105">
        <v>2</v>
      </c>
      <c r="J36" s="62">
        <v>3.87</v>
      </c>
      <c r="K36" s="62">
        <v>2</v>
      </c>
      <c r="L36" s="64">
        <v>4.2699999999999996</v>
      </c>
      <c r="M36" s="62">
        <v>9.58</v>
      </c>
      <c r="N36" s="101">
        <v>2.04</v>
      </c>
      <c r="O36" s="110"/>
      <c r="Q36" t="s">
        <v>372</v>
      </c>
      <c r="R36" t="s">
        <v>372</v>
      </c>
    </row>
    <row r="37" spans="1:18" ht="24.95" customHeight="1" x14ac:dyDescent="0.2">
      <c r="A37" s="114">
        <v>48</v>
      </c>
      <c r="B37" s="63">
        <v>33</v>
      </c>
      <c r="C37" s="116" t="s">
        <v>263</v>
      </c>
      <c r="D37" s="70">
        <v>2</v>
      </c>
      <c r="E37" s="61">
        <v>4.13</v>
      </c>
      <c r="F37" s="61">
        <v>2</v>
      </c>
      <c r="G37" s="64">
        <v>4.53</v>
      </c>
      <c r="H37" s="101">
        <v>2.0699999999999998</v>
      </c>
      <c r="I37" s="105">
        <v>1</v>
      </c>
      <c r="J37" s="62">
        <v>1.9</v>
      </c>
      <c r="K37" s="62">
        <v>1</v>
      </c>
      <c r="L37" s="64">
        <v>2.1</v>
      </c>
      <c r="M37" s="62">
        <v>6.63</v>
      </c>
      <c r="N37" s="101">
        <v>1.9</v>
      </c>
      <c r="O37" s="110"/>
      <c r="Q37" t="s">
        <v>372</v>
      </c>
      <c r="R37" t="s">
        <v>372</v>
      </c>
    </row>
    <row r="38" spans="1:18" ht="24.95" customHeight="1" x14ac:dyDescent="0.2">
      <c r="A38" s="114">
        <v>42</v>
      </c>
      <c r="B38" s="63">
        <v>34</v>
      </c>
      <c r="C38" s="116" t="s">
        <v>389</v>
      </c>
      <c r="D38" s="70">
        <v>1</v>
      </c>
      <c r="E38" s="61">
        <v>2.56</v>
      </c>
      <c r="F38" s="61">
        <v>1</v>
      </c>
      <c r="G38" s="64">
        <v>2.76</v>
      </c>
      <c r="H38" s="101">
        <v>2.56</v>
      </c>
      <c r="I38" s="105">
        <v>2</v>
      </c>
      <c r="J38" s="62">
        <v>3.98</v>
      </c>
      <c r="K38" s="62">
        <v>2</v>
      </c>
      <c r="L38" s="64">
        <v>4.38</v>
      </c>
      <c r="M38" s="62">
        <v>7.14</v>
      </c>
      <c r="N38" s="101">
        <v>2.35</v>
      </c>
      <c r="O38" s="110"/>
      <c r="Q38" t="s">
        <v>372</v>
      </c>
      <c r="R38" t="s">
        <v>372</v>
      </c>
    </row>
    <row r="39" spans="1:18" ht="24.95" customHeight="1" x14ac:dyDescent="0.2">
      <c r="A39" s="114">
        <v>46</v>
      </c>
      <c r="B39" s="63">
        <v>35</v>
      </c>
      <c r="C39" s="116" t="s">
        <v>390</v>
      </c>
      <c r="D39" s="70">
        <v>1</v>
      </c>
      <c r="E39" s="61">
        <v>2.16</v>
      </c>
      <c r="F39" s="61">
        <v>1</v>
      </c>
      <c r="G39" s="64">
        <v>2.36</v>
      </c>
      <c r="H39" s="101">
        <v>2.16</v>
      </c>
      <c r="I39" s="105">
        <v>2</v>
      </c>
      <c r="J39" s="62">
        <v>3.94</v>
      </c>
      <c r="K39" s="62">
        <v>2</v>
      </c>
      <c r="L39" s="64">
        <v>4.34</v>
      </c>
      <c r="M39" s="62">
        <v>6.7</v>
      </c>
      <c r="N39" s="101">
        <v>2.3199999999999998</v>
      </c>
      <c r="O39" s="110"/>
      <c r="Q39" t="s">
        <v>372</v>
      </c>
    </row>
    <row r="40" spans="1:18" ht="24.95" customHeight="1" x14ac:dyDescent="0.2">
      <c r="A40" s="114">
        <v>18</v>
      </c>
      <c r="B40" s="63">
        <v>36</v>
      </c>
      <c r="C40" s="116" t="s">
        <v>313</v>
      </c>
      <c r="D40" s="70">
        <v>4</v>
      </c>
      <c r="E40" s="61">
        <v>5.03</v>
      </c>
      <c r="F40" s="61">
        <v>4</v>
      </c>
      <c r="G40" s="64">
        <v>5.83</v>
      </c>
      <c r="H40" s="101">
        <v>1.58</v>
      </c>
      <c r="I40" s="105">
        <v>2</v>
      </c>
      <c r="J40" s="62">
        <v>3.95</v>
      </c>
      <c r="K40" s="62">
        <v>2</v>
      </c>
      <c r="L40" s="64">
        <v>4.3499999999999996</v>
      </c>
      <c r="M40" s="62">
        <v>10.18</v>
      </c>
      <c r="N40" s="101">
        <v>2.04</v>
      </c>
      <c r="O40" s="110"/>
      <c r="Q40" t="s">
        <v>372</v>
      </c>
      <c r="R40" t="s">
        <v>372</v>
      </c>
    </row>
    <row r="41" spans="1:18" ht="24.95" customHeight="1" x14ac:dyDescent="0.2">
      <c r="A41" s="114">
        <v>32</v>
      </c>
      <c r="B41" s="63">
        <v>37</v>
      </c>
      <c r="C41" s="116" t="s">
        <v>391</v>
      </c>
      <c r="D41" s="70">
        <v>2</v>
      </c>
      <c r="E41" s="61">
        <v>3.96</v>
      </c>
      <c r="F41" s="61">
        <v>2</v>
      </c>
      <c r="G41" s="64">
        <v>4.3600000000000003</v>
      </c>
      <c r="H41" s="101">
        <v>2.2000000000000002</v>
      </c>
      <c r="I41" s="105">
        <v>3</v>
      </c>
      <c r="J41" s="62">
        <v>3.72</v>
      </c>
      <c r="K41" s="62">
        <v>3</v>
      </c>
      <c r="L41" s="64">
        <v>4.32</v>
      </c>
      <c r="M41" s="62">
        <v>8.68</v>
      </c>
      <c r="N41" s="101">
        <v>2.1</v>
      </c>
      <c r="O41" s="110"/>
      <c r="Q41" t="s">
        <v>372</v>
      </c>
      <c r="R41" t="s">
        <v>372</v>
      </c>
    </row>
    <row r="42" spans="1:18" ht="24.95" customHeight="1" x14ac:dyDescent="0.2">
      <c r="A42" s="114">
        <v>12</v>
      </c>
      <c r="B42" s="63">
        <v>38</v>
      </c>
      <c r="C42" s="116" t="s">
        <v>392</v>
      </c>
      <c r="D42" s="70">
        <v>4</v>
      </c>
      <c r="E42" s="61">
        <v>5.55</v>
      </c>
      <c r="F42" s="61">
        <v>4</v>
      </c>
      <c r="G42" s="64">
        <v>6.35</v>
      </c>
      <c r="H42" s="101">
        <v>1.97</v>
      </c>
      <c r="I42" s="105">
        <v>2</v>
      </c>
      <c r="J42" s="62">
        <v>4.38</v>
      </c>
      <c r="K42" s="62">
        <v>2</v>
      </c>
      <c r="L42" s="64">
        <v>4.78</v>
      </c>
      <c r="M42" s="62">
        <v>11.13</v>
      </c>
      <c r="N42" s="101">
        <v>2.31</v>
      </c>
      <c r="O42" s="110"/>
    </row>
    <row r="43" spans="1:18" ht="24.95" customHeight="1" x14ac:dyDescent="0.2">
      <c r="A43" s="114">
        <v>39</v>
      </c>
      <c r="B43" s="63">
        <v>39</v>
      </c>
      <c r="C43" s="116" t="s">
        <v>219</v>
      </c>
      <c r="D43" s="70">
        <v>2</v>
      </c>
      <c r="E43" s="61">
        <v>3.45</v>
      </c>
      <c r="F43" s="61">
        <v>2</v>
      </c>
      <c r="G43" s="64">
        <v>3.85</v>
      </c>
      <c r="H43" s="101">
        <v>1.75</v>
      </c>
      <c r="I43" s="105">
        <v>2</v>
      </c>
      <c r="J43" s="62">
        <v>3.8</v>
      </c>
      <c r="K43" s="62">
        <v>2</v>
      </c>
      <c r="L43" s="64">
        <v>4.2</v>
      </c>
      <c r="M43" s="62">
        <v>8.0500000000000007</v>
      </c>
      <c r="N43" s="101">
        <v>2.09</v>
      </c>
      <c r="O43" s="110"/>
      <c r="Q43" t="s">
        <v>372</v>
      </c>
      <c r="R43" t="s">
        <v>372</v>
      </c>
    </row>
    <row r="44" spans="1:18" ht="24.95" customHeight="1" x14ac:dyDescent="0.2">
      <c r="A44" s="114">
        <v>14</v>
      </c>
      <c r="B44" s="63">
        <v>40</v>
      </c>
      <c r="C44" s="116" t="s">
        <v>393</v>
      </c>
      <c r="D44" s="70">
        <v>2</v>
      </c>
      <c r="E44" s="61">
        <v>3.59</v>
      </c>
      <c r="F44" s="61">
        <v>2</v>
      </c>
      <c r="G44" s="64">
        <v>3.99</v>
      </c>
      <c r="H44" s="101">
        <v>1.84</v>
      </c>
      <c r="I44" s="105">
        <v>4</v>
      </c>
      <c r="J44" s="62">
        <v>6.07</v>
      </c>
      <c r="K44" s="62">
        <v>4</v>
      </c>
      <c r="L44" s="64">
        <v>6.87</v>
      </c>
      <c r="M44" s="62">
        <v>10.86</v>
      </c>
      <c r="N44" s="101">
        <v>2.38</v>
      </c>
      <c r="O44" s="110"/>
      <c r="Q44" t="s">
        <v>372</v>
      </c>
      <c r="R44" t="s">
        <v>372</v>
      </c>
    </row>
    <row r="45" spans="1:18" ht="24.95" customHeight="1" x14ac:dyDescent="0.2">
      <c r="A45" s="114">
        <v>19</v>
      </c>
      <c r="B45" s="63">
        <v>41</v>
      </c>
      <c r="C45" s="116" t="s">
        <v>349</v>
      </c>
      <c r="D45" s="70">
        <v>2</v>
      </c>
      <c r="E45" s="61">
        <v>3.56</v>
      </c>
      <c r="F45" s="61">
        <v>1</v>
      </c>
      <c r="G45" s="64">
        <v>3.76</v>
      </c>
      <c r="H45" s="101">
        <v>1.8</v>
      </c>
      <c r="I45" s="105">
        <v>3</v>
      </c>
      <c r="J45" s="62">
        <v>5.73</v>
      </c>
      <c r="K45" s="62">
        <v>3</v>
      </c>
      <c r="L45" s="64">
        <v>6.33</v>
      </c>
      <c r="M45" s="62">
        <v>10.09</v>
      </c>
      <c r="N45" s="101">
        <v>3.04</v>
      </c>
      <c r="O45" s="110"/>
      <c r="Q45" t="s">
        <v>372</v>
      </c>
      <c r="R45" t="s">
        <v>372</v>
      </c>
    </row>
    <row r="46" spans="1:18" ht="24.95" customHeight="1" x14ac:dyDescent="0.2">
      <c r="A46" s="114">
        <v>17</v>
      </c>
      <c r="B46" s="63">
        <v>42</v>
      </c>
      <c r="C46" s="116" t="s">
        <v>323</v>
      </c>
      <c r="D46" s="70">
        <v>4</v>
      </c>
      <c r="E46" s="61">
        <v>5.23</v>
      </c>
      <c r="F46" s="61">
        <v>4</v>
      </c>
      <c r="G46" s="64">
        <v>6.03</v>
      </c>
      <c r="H46" s="101">
        <v>1.84</v>
      </c>
      <c r="I46" s="105">
        <v>3</v>
      </c>
      <c r="J46" s="62">
        <v>3.58</v>
      </c>
      <c r="K46" s="62">
        <v>3</v>
      </c>
      <c r="L46" s="64">
        <v>4.18</v>
      </c>
      <c r="M46" s="62">
        <v>10.210000000000001</v>
      </c>
      <c r="N46" s="101">
        <v>1.82</v>
      </c>
      <c r="O46" s="110"/>
      <c r="Q46" t="s">
        <v>372</v>
      </c>
      <c r="R46" t="s">
        <v>372</v>
      </c>
    </row>
    <row r="47" spans="1:18" ht="24.95" customHeight="1" x14ac:dyDescent="0.2">
      <c r="A47" s="114">
        <v>35</v>
      </c>
      <c r="B47" s="63">
        <v>43</v>
      </c>
      <c r="C47" s="116" t="s">
        <v>394</v>
      </c>
      <c r="D47" s="70">
        <v>2</v>
      </c>
      <c r="E47" s="61">
        <v>3.87</v>
      </c>
      <c r="F47" s="61">
        <v>2</v>
      </c>
      <c r="G47" s="64">
        <v>4.2699999999999996</v>
      </c>
      <c r="H47" s="101">
        <v>2.02</v>
      </c>
      <c r="I47" s="105">
        <v>2</v>
      </c>
      <c r="J47" s="62">
        <v>3.72</v>
      </c>
      <c r="K47" s="62">
        <v>2</v>
      </c>
      <c r="L47" s="64">
        <v>4.12</v>
      </c>
      <c r="M47" s="62">
        <v>8.39</v>
      </c>
      <c r="N47" s="101">
        <v>2.0099999999999998</v>
      </c>
      <c r="O47" s="110"/>
      <c r="Q47" t="s">
        <v>372</v>
      </c>
      <c r="R47" t="s">
        <v>372</v>
      </c>
    </row>
    <row r="48" spans="1:18" ht="24.95" customHeight="1" x14ac:dyDescent="0.2">
      <c r="A48" s="114">
        <v>30</v>
      </c>
      <c r="B48" s="63">
        <v>44</v>
      </c>
      <c r="C48" s="116" t="s">
        <v>287</v>
      </c>
      <c r="D48" s="70">
        <v>2</v>
      </c>
      <c r="E48" s="61">
        <v>3.54</v>
      </c>
      <c r="F48" s="61">
        <v>2</v>
      </c>
      <c r="G48" s="64">
        <v>3.94</v>
      </c>
      <c r="H48" s="101">
        <v>1.8</v>
      </c>
      <c r="I48" s="105">
        <v>3</v>
      </c>
      <c r="J48" s="62">
        <v>4.32</v>
      </c>
      <c r="K48" s="62">
        <v>3</v>
      </c>
      <c r="L48" s="64">
        <v>4.92</v>
      </c>
      <c r="M48" s="62">
        <v>8.86</v>
      </c>
      <c r="N48" s="101">
        <v>1.75</v>
      </c>
      <c r="O48" s="110"/>
      <c r="Q48" t="s">
        <v>372</v>
      </c>
      <c r="R48" t="s">
        <v>372</v>
      </c>
    </row>
    <row r="49" spans="1:18" ht="24.95" customHeight="1" x14ac:dyDescent="0.2">
      <c r="A49" s="114">
        <v>65</v>
      </c>
      <c r="B49" s="63">
        <v>45</v>
      </c>
      <c r="C49" s="116" t="s">
        <v>395</v>
      </c>
      <c r="D49" s="70">
        <v>2</v>
      </c>
      <c r="E49" s="61">
        <v>2.59</v>
      </c>
      <c r="F49" s="61">
        <v>2</v>
      </c>
      <c r="G49" s="64">
        <v>2.99</v>
      </c>
      <c r="H49" s="101">
        <v>2</v>
      </c>
      <c r="I49" s="105">
        <v>1</v>
      </c>
      <c r="J49" s="62">
        <v>0.65</v>
      </c>
      <c r="K49" s="62">
        <v>1</v>
      </c>
      <c r="L49" s="64">
        <v>0.85</v>
      </c>
      <c r="M49" s="62">
        <v>3.84</v>
      </c>
      <c r="N49" s="101">
        <v>0.65</v>
      </c>
      <c r="O49" s="110"/>
      <c r="Q49" t="s">
        <v>372</v>
      </c>
      <c r="R49" t="s">
        <v>372</v>
      </c>
    </row>
    <row r="50" spans="1:18" ht="24.95" customHeight="1" x14ac:dyDescent="0.2">
      <c r="A50" s="114">
        <v>1</v>
      </c>
      <c r="B50" s="63">
        <v>46</v>
      </c>
      <c r="C50" s="116" t="s">
        <v>396</v>
      </c>
      <c r="D50" s="70">
        <v>7</v>
      </c>
      <c r="E50" s="61">
        <v>8.4600000000000009</v>
      </c>
      <c r="F50" s="61">
        <v>7</v>
      </c>
      <c r="G50" s="64">
        <v>9.86</v>
      </c>
      <c r="H50" s="101">
        <v>2.35</v>
      </c>
      <c r="I50" s="105">
        <v>7</v>
      </c>
      <c r="J50" s="62">
        <v>8.9</v>
      </c>
      <c r="K50" s="62">
        <v>7</v>
      </c>
      <c r="L50" s="64">
        <v>10.3</v>
      </c>
      <c r="M50" s="62">
        <v>20.16</v>
      </c>
      <c r="N50" s="101">
        <v>2.52</v>
      </c>
      <c r="O50" s="110"/>
      <c r="Q50" t="s">
        <v>372</v>
      </c>
    </row>
    <row r="51" spans="1:18" ht="24.95" customHeight="1" x14ac:dyDescent="0.2">
      <c r="A51" s="114">
        <v>79</v>
      </c>
      <c r="B51" s="63">
        <v>47</v>
      </c>
      <c r="C51" s="116" t="s">
        <v>418</v>
      </c>
      <c r="D51" s="70">
        <v>0</v>
      </c>
      <c r="E51" s="61">
        <v>0</v>
      </c>
      <c r="F51" s="61">
        <v>0</v>
      </c>
      <c r="G51" s="64">
        <v>0</v>
      </c>
      <c r="H51" s="101">
        <v>0</v>
      </c>
      <c r="I51" s="105">
        <v>0</v>
      </c>
      <c r="J51" s="62">
        <v>0</v>
      </c>
      <c r="K51" s="62">
        <v>0</v>
      </c>
      <c r="L51" s="64">
        <v>0</v>
      </c>
      <c r="M51" s="62">
        <v>0</v>
      </c>
      <c r="N51" s="101">
        <v>0</v>
      </c>
      <c r="O51" s="110"/>
    </row>
    <row r="52" spans="1:18" ht="24.95" customHeight="1" x14ac:dyDescent="0.2">
      <c r="A52" s="114">
        <v>49</v>
      </c>
      <c r="B52" s="63">
        <v>48</v>
      </c>
      <c r="C52" s="116" t="s">
        <v>296</v>
      </c>
      <c r="D52" s="70">
        <v>1</v>
      </c>
      <c r="E52" s="61">
        <v>1.98</v>
      </c>
      <c r="F52" s="61">
        <v>1</v>
      </c>
      <c r="G52" s="64">
        <v>2.1800000000000002</v>
      </c>
      <c r="H52" s="101">
        <v>1.98</v>
      </c>
      <c r="I52" s="105">
        <v>2</v>
      </c>
      <c r="J52" s="62">
        <v>3.65</v>
      </c>
      <c r="K52" s="62">
        <v>2</v>
      </c>
      <c r="L52" s="64">
        <v>4.05</v>
      </c>
      <c r="M52" s="62">
        <v>6.23</v>
      </c>
      <c r="N52" s="101">
        <v>1.89</v>
      </c>
      <c r="O52" s="110"/>
      <c r="Q52" t="s">
        <v>372</v>
      </c>
    </row>
    <row r="53" spans="1:18" ht="24.95" customHeight="1" x14ac:dyDescent="0.2">
      <c r="A53" s="114">
        <v>21</v>
      </c>
      <c r="B53" s="63">
        <v>49</v>
      </c>
      <c r="C53" s="116" t="s">
        <v>226</v>
      </c>
      <c r="D53" s="70">
        <v>2</v>
      </c>
      <c r="E53" s="61">
        <v>3.78</v>
      </c>
      <c r="F53" s="61">
        <v>2</v>
      </c>
      <c r="G53" s="64">
        <v>4.18</v>
      </c>
      <c r="H53" s="101">
        <v>1.91</v>
      </c>
      <c r="I53" s="105">
        <v>3</v>
      </c>
      <c r="J53" s="62">
        <v>5.07</v>
      </c>
      <c r="K53" s="62">
        <v>3</v>
      </c>
      <c r="L53" s="64">
        <v>5.67</v>
      </c>
      <c r="M53" s="62">
        <v>9.85</v>
      </c>
      <c r="N53" s="101">
        <v>2.15</v>
      </c>
      <c r="O53" s="110"/>
      <c r="Q53" t="s">
        <v>372</v>
      </c>
      <c r="R53" t="s">
        <v>372</v>
      </c>
    </row>
    <row r="54" spans="1:18" ht="24.95" customHeight="1" x14ac:dyDescent="0.2">
      <c r="A54" s="114">
        <v>40</v>
      </c>
      <c r="B54" s="63">
        <v>50</v>
      </c>
      <c r="C54" s="116" t="s">
        <v>342</v>
      </c>
      <c r="D54" s="70">
        <v>2</v>
      </c>
      <c r="E54" s="61">
        <v>3.49</v>
      </c>
      <c r="F54" s="61">
        <v>2</v>
      </c>
      <c r="G54" s="64">
        <v>3.89</v>
      </c>
      <c r="H54" s="101">
        <v>1.89</v>
      </c>
      <c r="I54" s="105">
        <v>2</v>
      </c>
      <c r="J54" s="62">
        <v>3.64</v>
      </c>
      <c r="K54" s="62">
        <v>2</v>
      </c>
      <c r="L54" s="64">
        <v>4.04</v>
      </c>
      <c r="M54" s="62">
        <v>7.93</v>
      </c>
      <c r="N54" s="101">
        <v>1.86</v>
      </c>
      <c r="O54" s="110"/>
      <c r="Q54" t="s">
        <v>372</v>
      </c>
      <c r="R54" t="s">
        <v>372</v>
      </c>
    </row>
    <row r="55" spans="1:18" ht="24.95" customHeight="1" x14ac:dyDescent="0.2">
      <c r="A55" s="114">
        <v>60</v>
      </c>
      <c r="B55" s="63">
        <v>51</v>
      </c>
      <c r="C55" s="116" t="s">
        <v>354</v>
      </c>
      <c r="D55" s="70">
        <v>1</v>
      </c>
      <c r="E55" s="61">
        <v>2.38</v>
      </c>
      <c r="F55" s="61">
        <v>1</v>
      </c>
      <c r="G55" s="64">
        <v>2.58</v>
      </c>
      <c r="H55" s="101">
        <v>2.38</v>
      </c>
      <c r="I55" s="105">
        <v>1</v>
      </c>
      <c r="J55" s="62">
        <v>1.65</v>
      </c>
      <c r="K55" s="62">
        <v>1</v>
      </c>
      <c r="L55" s="64">
        <v>1.85</v>
      </c>
      <c r="M55" s="62">
        <v>4.43</v>
      </c>
      <c r="N55" s="101">
        <v>1.65</v>
      </c>
      <c r="O55" s="110"/>
      <c r="Q55" t="s">
        <v>372</v>
      </c>
      <c r="R55" t="s">
        <v>372</v>
      </c>
    </row>
    <row r="56" spans="1:18" ht="24.95" customHeight="1" x14ac:dyDescent="0.2">
      <c r="A56" s="114">
        <v>47</v>
      </c>
      <c r="B56" s="63">
        <v>52</v>
      </c>
      <c r="C56" s="116" t="s">
        <v>258</v>
      </c>
      <c r="D56" s="70">
        <v>2</v>
      </c>
      <c r="E56" s="61">
        <v>4.0599999999999996</v>
      </c>
      <c r="F56" s="61">
        <v>2</v>
      </c>
      <c r="G56" s="64">
        <v>4.46</v>
      </c>
      <c r="H56" s="101">
        <v>2.1</v>
      </c>
      <c r="I56" s="105">
        <v>1</v>
      </c>
      <c r="J56" s="62">
        <v>1.98</v>
      </c>
      <c r="K56" s="62">
        <v>1</v>
      </c>
      <c r="L56" s="64">
        <v>2.1800000000000002</v>
      </c>
      <c r="M56" s="62">
        <v>6.64</v>
      </c>
      <c r="N56" s="101">
        <v>1.98</v>
      </c>
      <c r="O56" s="110"/>
      <c r="Q56" t="s">
        <v>372</v>
      </c>
    </row>
    <row r="57" spans="1:18" ht="24.95" customHeight="1" x14ac:dyDescent="0.2">
      <c r="A57" s="114">
        <v>9</v>
      </c>
      <c r="B57" s="63">
        <v>53</v>
      </c>
      <c r="C57" s="116" t="s">
        <v>246</v>
      </c>
      <c r="D57" s="70">
        <v>3</v>
      </c>
      <c r="E57" s="61">
        <v>5.59</v>
      </c>
      <c r="F57" s="61">
        <v>3</v>
      </c>
      <c r="G57" s="64">
        <v>6.19</v>
      </c>
      <c r="H57" s="101">
        <v>2.72</v>
      </c>
      <c r="I57" s="105">
        <v>3</v>
      </c>
      <c r="J57" s="62">
        <v>4.75</v>
      </c>
      <c r="K57" s="62">
        <v>3</v>
      </c>
      <c r="L57" s="64">
        <v>5.35</v>
      </c>
      <c r="M57" s="62">
        <v>11.54</v>
      </c>
      <c r="N57" s="101">
        <v>2.0099999999999998</v>
      </c>
      <c r="O57" s="110"/>
      <c r="Q57" t="s">
        <v>372</v>
      </c>
      <c r="R57" t="s">
        <v>372</v>
      </c>
    </row>
    <row r="58" spans="1:18" ht="24.95" customHeight="1" x14ac:dyDescent="0.2">
      <c r="A58" s="114">
        <v>3</v>
      </c>
      <c r="B58" s="63">
        <v>54</v>
      </c>
      <c r="C58" s="116" t="s">
        <v>397</v>
      </c>
      <c r="D58" s="70">
        <v>2</v>
      </c>
      <c r="E58" s="61">
        <v>8.68</v>
      </c>
      <c r="F58" s="61">
        <v>2</v>
      </c>
      <c r="G58" s="64">
        <v>9.08</v>
      </c>
      <c r="H58" s="101">
        <v>6.64</v>
      </c>
      <c r="I58" s="105">
        <v>3</v>
      </c>
      <c r="J58" s="62">
        <v>4.5199999999999996</v>
      </c>
      <c r="K58" s="62">
        <v>3</v>
      </c>
      <c r="L58" s="64">
        <v>5.12</v>
      </c>
      <c r="M58" s="62">
        <v>14.2</v>
      </c>
      <c r="N58" s="101">
        <v>1.85</v>
      </c>
      <c r="O58" s="110"/>
      <c r="Q58" t="s">
        <v>372</v>
      </c>
    </row>
    <row r="59" spans="1:18" ht="24.95" customHeight="1" x14ac:dyDescent="0.2">
      <c r="A59" s="114">
        <v>68</v>
      </c>
      <c r="B59" s="63">
        <v>55</v>
      </c>
      <c r="C59" s="116" t="s">
        <v>398</v>
      </c>
      <c r="D59" s="70">
        <v>1</v>
      </c>
      <c r="E59" s="61">
        <v>2.41</v>
      </c>
      <c r="F59" s="61">
        <v>1</v>
      </c>
      <c r="G59" s="64">
        <v>2.61</v>
      </c>
      <c r="H59" s="101">
        <v>2.41</v>
      </c>
      <c r="I59" s="105">
        <v>0</v>
      </c>
      <c r="J59" s="62">
        <v>0</v>
      </c>
      <c r="K59" s="62">
        <v>0</v>
      </c>
      <c r="L59" s="64">
        <v>0</v>
      </c>
      <c r="M59" s="62">
        <v>2.61</v>
      </c>
      <c r="N59" s="101">
        <v>0</v>
      </c>
      <c r="O59" s="110"/>
      <c r="Q59" t="s">
        <v>372</v>
      </c>
    </row>
    <row r="60" spans="1:18" ht="24.95" customHeight="1" x14ac:dyDescent="0.2">
      <c r="A60" s="114">
        <v>27</v>
      </c>
      <c r="B60" s="63">
        <v>56</v>
      </c>
      <c r="C60" s="116" t="s">
        <v>316</v>
      </c>
      <c r="D60" s="70">
        <v>3</v>
      </c>
      <c r="E60" s="61">
        <v>4.55</v>
      </c>
      <c r="F60" s="61">
        <v>3</v>
      </c>
      <c r="G60" s="64">
        <v>5.15</v>
      </c>
      <c r="H60" s="101">
        <v>2</v>
      </c>
      <c r="I60" s="105">
        <v>2</v>
      </c>
      <c r="J60" s="62">
        <v>3.63</v>
      </c>
      <c r="K60" s="62">
        <v>2</v>
      </c>
      <c r="L60" s="64">
        <v>4.03</v>
      </c>
      <c r="M60" s="62">
        <v>9.18</v>
      </c>
      <c r="N60" s="101">
        <v>2.02</v>
      </c>
      <c r="O60" s="110"/>
      <c r="Q60" t="s">
        <v>372</v>
      </c>
      <c r="R60" t="s">
        <v>372</v>
      </c>
    </row>
    <row r="61" spans="1:18" ht="24.95" customHeight="1" x14ac:dyDescent="0.2">
      <c r="A61" s="114">
        <v>28</v>
      </c>
      <c r="B61" s="63">
        <v>57</v>
      </c>
      <c r="C61" s="116" t="s">
        <v>399</v>
      </c>
      <c r="D61" s="70">
        <v>3</v>
      </c>
      <c r="E61" s="61">
        <v>4.25</v>
      </c>
      <c r="F61" s="61">
        <v>3</v>
      </c>
      <c r="G61" s="64">
        <v>4.8499999999999996</v>
      </c>
      <c r="H61" s="101">
        <v>1.76</v>
      </c>
      <c r="I61" s="105">
        <v>2</v>
      </c>
      <c r="J61" s="62">
        <v>3.8</v>
      </c>
      <c r="K61" s="62">
        <v>2</v>
      </c>
      <c r="L61" s="64">
        <v>4.2</v>
      </c>
      <c r="M61" s="62">
        <v>9.0500000000000007</v>
      </c>
      <c r="N61" s="101">
        <v>2.04</v>
      </c>
      <c r="O61" s="110"/>
      <c r="Q61" t="s">
        <v>372</v>
      </c>
      <c r="R61" t="s">
        <v>372</v>
      </c>
    </row>
    <row r="62" spans="1:18" ht="24.95" customHeight="1" x14ac:dyDescent="0.2">
      <c r="A62" s="114">
        <v>23</v>
      </c>
      <c r="B62" s="63">
        <v>58</v>
      </c>
      <c r="C62" s="116" t="s">
        <v>400</v>
      </c>
      <c r="D62" s="70">
        <v>2</v>
      </c>
      <c r="E62" s="61">
        <v>4.01</v>
      </c>
      <c r="F62" s="61">
        <v>2</v>
      </c>
      <c r="G62" s="64">
        <v>4.41</v>
      </c>
      <c r="H62" s="101">
        <v>2.29</v>
      </c>
      <c r="I62" s="105">
        <v>3</v>
      </c>
      <c r="J62" s="62">
        <v>4.5999999999999996</v>
      </c>
      <c r="K62" s="62">
        <v>3</v>
      </c>
      <c r="L62" s="64">
        <v>5.2</v>
      </c>
      <c r="M62" s="62">
        <v>9.61</v>
      </c>
      <c r="N62" s="101">
        <v>1.96</v>
      </c>
      <c r="O62" s="110"/>
      <c r="Q62" t="s">
        <v>372</v>
      </c>
    </row>
    <row r="63" spans="1:18" ht="24.95" customHeight="1" x14ac:dyDescent="0.2">
      <c r="A63" s="114">
        <v>71</v>
      </c>
      <c r="B63" s="63">
        <v>59</v>
      </c>
      <c r="C63" s="116" t="s">
        <v>401</v>
      </c>
      <c r="D63" s="70">
        <v>0</v>
      </c>
      <c r="E63" s="61">
        <v>0</v>
      </c>
      <c r="F63" s="61">
        <v>0</v>
      </c>
      <c r="G63" s="64">
        <v>0</v>
      </c>
      <c r="H63" s="101">
        <v>0</v>
      </c>
      <c r="I63" s="105">
        <v>1</v>
      </c>
      <c r="J63" s="62">
        <v>1.86</v>
      </c>
      <c r="K63" s="62">
        <v>1</v>
      </c>
      <c r="L63" s="64">
        <v>2.06</v>
      </c>
      <c r="M63" s="62">
        <v>2.06</v>
      </c>
      <c r="N63" s="101">
        <v>1.86</v>
      </c>
      <c r="O63" s="110"/>
      <c r="Q63" t="s">
        <v>372</v>
      </c>
    </row>
    <row r="64" spans="1:18" ht="24.95" customHeight="1" x14ac:dyDescent="0.2">
      <c r="A64" s="114">
        <v>54</v>
      </c>
      <c r="B64" s="63">
        <v>60</v>
      </c>
      <c r="C64" s="116" t="s">
        <v>307</v>
      </c>
      <c r="D64" s="70">
        <v>1</v>
      </c>
      <c r="E64" s="61">
        <v>1.64</v>
      </c>
      <c r="F64" s="61">
        <v>1</v>
      </c>
      <c r="G64" s="64">
        <v>1.84</v>
      </c>
      <c r="H64" s="101">
        <v>1.64</v>
      </c>
      <c r="I64" s="105">
        <v>2</v>
      </c>
      <c r="J64" s="62">
        <v>3.49</v>
      </c>
      <c r="K64" s="62">
        <v>2</v>
      </c>
      <c r="L64" s="64">
        <v>3.89</v>
      </c>
      <c r="M64" s="62">
        <v>5.73</v>
      </c>
      <c r="N64" s="101">
        <v>1.8</v>
      </c>
      <c r="O64" s="110"/>
      <c r="Q64" t="s">
        <v>372</v>
      </c>
      <c r="R64" t="s">
        <v>372</v>
      </c>
    </row>
    <row r="65" spans="1:18" ht="24.95" customHeight="1" x14ac:dyDescent="0.2">
      <c r="A65" s="114">
        <v>69</v>
      </c>
      <c r="B65" s="63">
        <v>61</v>
      </c>
      <c r="C65" s="116" t="s">
        <v>402</v>
      </c>
      <c r="D65" s="70">
        <v>2</v>
      </c>
      <c r="E65" s="61">
        <v>2.2999999999999998</v>
      </c>
      <c r="F65" s="61">
        <v>1</v>
      </c>
      <c r="G65" s="64">
        <v>2.5</v>
      </c>
      <c r="H65" s="101">
        <v>1.71</v>
      </c>
      <c r="I65" s="105">
        <v>0</v>
      </c>
      <c r="J65" s="62">
        <v>0</v>
      </c>
      <c r="K65" s="62">
        <v>0</v>
      </c>
      <c r="L65" s="64">
        <v>0</v>
      </c>
      <c r="M65" s="62">
        <v>2.5</v>
      </c>
      <c r="N65" s="101">
        <v>0</v>
      </c>
      <c r="O65" s="110"/>
      <c r="Q65" t="s">
        <v>372</v>
      </c>
    </row>
    <row r="66" spans="1:18" ht="24.95" customHeight="1" x14ac:dyDescent="0.2">
      <c r="A66" s="114">
        <v>43</v>
      </c>
      <c r="B66" s="63">
        <v>62</v>
      </c>
      <c r="C66" s="116" t="s">
        <v>245</v>
      </c>
      <c r="D66" s="70">
        <v>2</v>
      </c>
      <c r="E66" s="61">
        <v>4.43</v>
      </c>
      <c r="F66" s="61">
        <v>2</v>
      </c>
      <c r="G66" s="64">
        <v>4.83</v>
      </c>
      <c r="H66" s="101">
        <v>2.44</v>
      </c>
      <c r="I66" s="105">
        <v>1</v>
      </c>
      <c r="J66" s="62">
        <v>2.08</v>
      </c>
      <c r="K66" s="62">
        <v>1</v>
      </c>
      <c r="L66" s="64">
        <v>2.2799999999999998</v>
      </c>
      <c r="M66" s="62">
        <v>7.11</v>
      </c>
      <c r="N66" s="101">
        <v>2.08</v>
      </c>
      <c r="O66" s="110"/>
      <c r="Q66" t="s">
        <v>372</v>
      </c>
    </row>
    <row r="67" spans="1:18" ht="24.95" customHeight="1" x14ac:dyDescent="0.2">
      <c r="A67" s="114">
        <v>20</v>
      </c>
      <c r="B67" s="63">
        <v>63</v>
      </c>
      <c r="C67" s="116" t="s">
        <v>403</v>
      </c>
      <c r="D67" s="70">
        <v>4</v>
      </c>
      <c r="E67" s="61">
        <v>4.88</v>
      </c>
      <c r="F67" s="61">
        <v>4</v>
      </c>
      <c r="G67" s="64">
        <v>5.68</v>
      </c>
      <c r="H67" s="101">
        <v>2.11</v>
      </c>
      <c r="I67" s="105">
        <v>2</v>
      </c>
      <c r="J67" s="62">
        <v>3.96</v>
      </c>
      <c r="K67" s="62">
        <v>2</v>
      </c>
      <c r="L67" s="64">
        <v>4.3600000000000003</v>
      </c>
      <c r="M67" s="62">
        <v>10.039999999999999</v>
      </c>
      <c r="N67" s="101">
        <v>2.13</v>
      </c>
      <c r="O67" s="110"/>
      <c r="Q67" t="s">
        <v>372</v>
      </c>
      <c r="R67" t="s">
        <v>372</v>
      </c>
    </row>
    <row r="68" spans="1:18" ht="24.95" customHeight="1" x14ac:dyDescent="0.2">
      <c r="A68" s="114">
        <v>80</v>
      </c>
      <c r="B68" s="63">
        <v>64</v>
      </c>
      <c r="C68" s="116" t="s">
        <v>362</v>
      </c>
      <c r="D68" s="70">
        <v>0</v>
      </c>
      <c r="E68" s="61">
        <v>0</v>
      </c>
      <c r="F68" s="61">
        <v>0</v>
      </c>
      <c r="G68" s="64">
        <v>0</v>
      </c>
      <c r="H68" s="101">
        <v>0</v>
      </c>
      <c r="I68" s="105">
        <v>0</v>
      </c>
      <c r="J68" s="62">
        <v>0</v>
      </c>
      <c r="K68" s="62">
        <v>0</v>
      </c>
      <c r="L68" s="64">
        <v>0</v>
      </c>
      <c r="M68" s="62">
        <v>0</v>
      </c>
      <c r="N68" s="101">
        <v>0</v>
      </c>
      <c r="O68" s="110"/>
      <c r="Q68" t="s">
        <v>372</v>
      </c>
    </row>
    <row r="69" spans="1:18" ht="24.95" customHeight="1" x14ac:dyDescent="0.2">
      <c r="A69" s="114">
        <v>72</v>
      </c>
      <c r="B69" s="63">
        <v>65</v>
      </c>
      <c r="C69" s="116" t="s">
        <v>404</v>
      </c>
      <c r="D69" s="70">
        <v>1</v>
      </c>
      <c r="E69" s="61">
        <v>1.81</v>
      </c>
      <c r="F69" s="61">
        <v>1</v>
      </c>
      <c r="G69" s="64">
        <v>2.0099999999999998</v>
      </c>
      <c r="H69" s="101">
        <v>1.81</v>
      </c>
      <c r="I69" s="105">
        <v>0</v>
      </c>
      <c r="J69" s="62">
        <v>0</v>
      </c>
      <c r="K69" s="62">
        <v>0</v>
      </c>
      <c r="L69" s="64">
        <v>0</v>
      </c>
      <c r="M69" s="62">
        <v>2.0099999999999998</v>
      </c>
      <c r="N69" s="101">
        <v>0</v>
      </c>
      <c r="O69" s="110"/>
    </row>
    <row r="70" spans="1:18" ht="24.95" customHeight="1" x14ac:dyDescent="0.2">
      <c r="A70" s="114">
        <v>70</v>
      </c>
      <c r="B70" s="63">
        <v>66</v>
      </c>
      <c r="C70" s="116" t="s">
        <v>405</v>
      </c>
      <c r="D70" s="70">
        <v>1</v>
      </c>
      <c r="E70" s="61">
        <v>2.25</v>
      </c>
      <c r="F70" s="61">
        <v>1</v>
      </c>
      <c r="G70" s="64">
        <v>2.4500000000000002</v>
      </c>
      <c r="H70" s="101">
        <v>2.25</v>
      </c>
      <c r="I70" s="105">
        <v>0</v>
      </c>
      <c r="J70" s="62">
        <v>0</v>
      </c>
      <c r="K70" s="62">
        <v>0</v>
      </c>
      <c r="L70" s="64">
        <v>0</v>
      </c>
      <c r="M70" s="62">
        <v>2.4500000000000002</v>
      </c>
      <c r="N70" s="101">
        <v>0</v>
      </c>
      <c r="O70" s="110"/>
      <c r="Q70" t="s">
        <v>372</v>
      </c>
    </row>
    <row r="71" spans="1:18" ht="24.95" customHeight="1" x14ac:dyDescent="0.2">
      <c r="A71" s="114">
        <v>66</v>
      </c>
      <c r="B71" s="63">
        <v>67</v>
      </c>
      <c r="C71" s="116" t="s">
        <v>406</v>
      </c>
      <c r="D71" s="70">
        <v>2</v>
      </c>
      <c r="E71" s="61">
        <v>1.82</v>
      </c>
      <c r="F71" s="61">
        <v>2</v>
      </c>
      <c r="G71" s="64">
        <v>2.2200000000000002</v>
      </c>
      <c r="H71" s="101">
        <v>0.92</v>
      </c>
      <c r="I71" s="105">
        <v>1</v>
      </c>
      <c r="J71" s="62">
        <v>0.82</v>
      </c>
      <c r="K71" s="62">
        <v>1</v>
      </c>
      <c r="L71" s="64">
        <v>1.02</v>
      </c>
      <c r="M71" s="62">
        <v>3.24</v>
      </c>
      <c r="N71" s="101">
        <v>0.82</v>
      </c>
      <c r="O71" s="110"/>
      <c r="Q71" t="s">
        <v>372</v>
      </c>
      <c r="R71" t="s">
        <v>372</v>
      </c>
    </row>
    <row r="72" spans="1:18" ht="24.95" customHeight="1" x14ac:dyDescent="0.2">
      <c r="A72" s="114">
        <v>73</v>
      </c>
      <c r="B72" s="63">
        <v>68</v>
      </c>
      <c r="C72" s="116" t="s">
        <v>407</v>
      </c>
      <c r="D72" s="70">
        <v>1</v>
      </c>
      <c r="E72" s="61">
        <v>1.72</v>
      </c>
      <c r="F72" s="61">
        <v>1</v>
      </c>
      <c r="G72" s="64">
        <v>1.92</v>
      </c>
      <c r="H72" s="101">
        <v>1.72</v>
      </c>
      <c r="I72" s="105">
        <v>0</v>
      </c>
      <c r="J72" s="62">
        <v>0</v>
      </c>
      <c r="K72" s="62">
        <v>0</v>
      </c>
      <c r="L72" s="64">
        <v>0</v>
      </c>
      <c r="M72" s="62">
        <v>1.92</v>
      </c>
      <c r="N72" s="101">
        <v>0</v>
      </c>
      <c r="O72" s="110"/>
      <c r="Q72" t="s">
        <v>372</v>
      </c>
      <c r="R72" t="s">
        <v>372</v>
      </c>
    </row>
    <row r="73" spans="1:18" ht="24.95" customHeight="1" x14ac:dyDescent="0.2">
      <c r="A73" s="114">
        <v>7</v>
      </c>
      <c r="B73" s="63">
        <v>69</v>
      </c>
      <c r="C73" s="116" t="s">
        <v>408</v>
      </c>
      <c r="D73" s="70">
        <v>3</v>
      </c>
      <c r="E73" s="61">
        <v>5.0599999999999996</v>
      </c>
      <c r="F73" s="61">
        <v>3</v>
      </c>
      <c r="G73" s="64">
        <v>5.66</v>
      </c>
      <c r="H73" s="101">
        <v>2.5299999999999998</v>
      </c>
      <c r="I73" s="105">
        <v>3</v>
      </c>
      <c r="J73" s="62">
        <v>5.67</v>
      </c>
      <c r="K73" s="62">
        <v>3</v>
      </c>
      <c r="L73" s="64">
        <v>6.27</v>
      </c>
      <c r="M73" s="62">
        <v>11.93</v>
      </c>
      <c r="N73" s="101">
        <v>2.6</v>
      </c>
      <c r="O73" s="110"/>
      <c r="Q73" t="s">
        <v>372</v>
      </c>
      <c r="R73" t="s">
        <v>372</v>
      </c>
    </row>
    <row r="74" spans="1:18" ht="24.95" customHeight="1" x14ac:dyDescent="0.2">
      <c r="A74" s="114">
        <v>63</v>
      </c>
      <c r="B74" s="63">
        <v>70</v>
      </c>
      <c r="C74" s="116" t="s">
        <v>259</v>
      </c>
      <c r="D74" s="70">
        <v>2</v>
      </c>
      <c r="E74" s="61">
        <v>3.56</v>
      </c>
      <c r="F74" s="61">
        <v>2</v>
      </c>
      <c r="G74" s="64">
        <v>3.96</v>
      </c>
      <c r="H74" s="101">
        <v>1.87</v>
      </c>
      <c r="I74" s="105">
        <v>0</v>
      </c>
      <c r="J74" s="62">
        <v>0</v>
      </c>
      <c r="K74" s="62">
        <v>0</v>
      </c>
      <c r="L74" s="64">
        <v>0</v>
      </c>
      <c r="M74" s="62">
        <v>3.96</v>
      </c>
      <c r="N74" s="101">
        <v>0</v>
      </c>
      <c r="O74" s="110"/>
      <c r="Q74" t="s">
        <v>372</v>
      </c>
      <c r="R74" t="s">
        <v>372</v>
      </c>
    </row>
    <row r="75" spans="1:18" ht="24.95" customHeight="1" x14ac:dyDescent="0.2">
      <c r="A75" s="114">
        <v>64</v>
      </c>
      <c r="B75" s="63">
        <v>71</v>
      </c>
      <c r="C75" s="116" t="s">
        <v>409</v>
      </c>
      <c r="D75" s="70">
        <v>0</v>
      </c>
      <c r="E75" s="61">
        <v>0</v>
      </c>
      <c r="F75" s="61">
        <v>0</v>
      </c>
      <c r="G75" s="64">
        <v>0</v>
      </c>
      <c r="H75" s="101">
        <v>0</v>
      </c>
      <c r="I75" s="105">
        <v>2</v>
      </c>
      <c r="J75" s="62">
        <v>3.53</v>
      </c>
      <c r="K75" s="62">
        <v>2</v>
      </c>
      <c r="L75" s="64">
        <v>3.93</v>
      </c>
      <c r="M75" s="62">
        <v>3.93</v>
      </c>
      <c r="N75" s="101">
        <v>1.89</v>
      </c>
      <c r="O75" s="110"/>
      <c r="Q75" t="s">
        <v>372</v>
      </c>
    </row>
    <row r="76" spans="1:18" ht="24.95" customHeight="1" x14ac:dyDescent="0.2">
      <c r="A76" s="114">
        <v>22</v>
      </c>
      <c r="B76" s="63">
        <v>72</v>
      </c>
      <c r="C76" s="116" t="s">
        <v>410</v>
      </c>
      <c r="D76" s="70">
        <v>2</v>
      </c>
      <c r="E76" s="61">
        <v>4.63</v>
      </c>
      <c r="F76" s="61">
        <v>2</v>
      </c>
      <c r="G76" s="64">
        <v>5.03</v>
      </c>
      <c r="H76" s="101">
        <v>2.5499999999999998</v>
      </c>
      <c r="I76" s="105">
        <v>2</v>
      </c>
      <c r="J76" s="62">
        <v>4.3499999999999996</v>
      </c>
      <c r="K76" s="62">
        <v>2</v>
      </c>
      <c r="L76" s="64">
        <v>4.75</v>
      </c>
      <c r="M76" s="62">
        <v>9.7799999999999994</v>
      </c>
      <c r="N76" s="101">
        <v>2.2400000000000002</v>
      </c>
      <c r="O76" s="110"/>
      <c r="Q76" t="s">
        <v>372</v>
      </c>
      <c r="R76" t="s">
        <v>372</v>
      </c>
    </row>
    <row r="77" spans="1:18" ht="24.95" customHeight="1" thickBot="1" x14ac:dyDescent="0.25">
      <c r="A77" s="118">
        <v>41</v>
      </c>
      <c r="B77" s="119">
        <v>73</v>
      </c>
      <c r="C77" s="145" t="s">
        <v>297</v>
      </c>
      <c r="D77" s="71">
        <v>2</v>
      </c>
      <c r="E77" s="69">
        <v>5.2</v>
      </c>
      <c r="F77" s="69">
        <v>2</v>
      </c>
      <c r="G77" s="102">
        <v>5.6</v>
      </c>
      <c r="H77" s="103">
        <v>3.13</v>
      </c>
      <c r="I77" s="106">
        <v>1</v>
      </c>
      <c r="J77" s="107">
        <v>1.92</v>
      </c>
      <c r="K77" s="107">
        <v>1</v>
      </c>
      <c r="L77" s="102">
        <v>2.12</v>
      </c>
      <c r="M77" s="107">
        <v>7.72</v>
      </c>
      <c r="N77" s="103">
        <v>1.92</v>
      </c>
      <c r="O77" s="111"/>
      <c r="Q77" t="s">
        <v>372</v>
      </c>
      <c r="R77" t="s">
        <v>372</v>
      </c>
    </row>
    <row r="78" spans="1:18" ht="24.95" customHeight="1" x14ac:dyDescent="0.2">
      <c r="A78" s="50">
        <v>56</v>
      </c>
      <c r="B78" s="50">
        <v>74</v>
      </c>
      <c r="C78" s="53" t="s">
        <v>411</v>
      </c>
      <c r="D78" s="49">
        <v>3</v>
      </c>
      <c r="E78" s="49">
        <v>2.98</v>
      </c>
      <c r="F78" s="49">
        <v>3</v>
      </c>
      <c r="G78" s="57">
        <v>3.58</v>
      </c>
      <c r="H78" s="58">
        <v>1.82</v>
      </c>
      <c r="I78" s="53">
        <v>1</v>
      </c>
      <c r="J78" s="53">
        <v>1.52</v>
      </c>
      <c r="K78" s="53">
        <v>1</v>
      </c>
      <c r="L78" s="57">
        <v>1.72</v>
      </c>
      <c r="M78" s="53">
        <v>5.3</v>
      </c>
      <c r="N78" s="58">
        <v>1.52</v>
      </c>
      <c r="O78" s="31"/>
      <c r="Q78" t="s">
        <v>372</v>
      </c>
      <c r="R78" t="s">
        <v>372</v>
      </c>
    </row>
    <row r="79" spans="1:18" ht="24.95" customHeight="1" x14ac:dyDescent="0.2">
      <c r="A79" s="63">
        <v>44</v>
      </c>
      <c r="B79" s="63">
        <v>75</v>
      </c>
      <c r="C79" s="62" t="s">
        <v>412</v>
      </c>
      <c r="D79" s="61">
        <v>2</v>
      </c>
      <c r="E79" s="61">
        <v>2.8</v>
      </c>
      <c r="F79" s="61">
        <v>2</v>
      </c>
      <c r="G79" s="64">
        <v>3.2</v>
      </c>
      <c r="H79" s="65">
        <v>1.93</v>
      </c>
      <c r="I79" s="62">
        <v>2</v>
      </c>
      <c r="J79" s="62">
        <v>3.5</v>
      </c>
      <c r="K79" s="62">
        <v>2</v>
      </c>
      <c r="L79" s="64">
        <v>3.9</v>
      </c>
      <c r="M79" s="62">
        <v>7.1</v>
      </c>
      <c r="N79" s="65">
        <v>1.78</v>
      </c>
      <c r="O79" s="27"/>
      <c r="Q79" t="s">
        <v>372</v>
      </c>
      <c r="R79" t="s">
        <v>372</v>
      </c>
    </row>
    <row r="80" spans="1:18" ht="24.95" customHeight="1" x14ac:dyDescent="0.2">
      <c r="A80" s="63">
        <v>62</v>
      </c>
      <c r="B80" s="63">
        <v>76</v>
      </c>
      <c r="C80" s="62" t="s">
        <v>413</v>
      </c>
      <c r="D80" s="61">
        <v>2</v>
      </c>
      <c r="E80" s="61">
        <v>3.98</v>
      </c>
      <c r="F80" s="61">
        <v>2</v>
      </c>
      <c r="G80" s="64">
        <v>4.38</v>
      </c>
      <c r="H80" s="65">
        <v>2.13</v>
      </c>
      <c r="I80" s="62">
        <v>0</v>
      </c>
      <c r="J80" s="62">
        <v>0</v>
      </c>
      <c r="K80" s="62">
        <v>0</v>
      </c>
      <c r="L80" s="64">
        <v>0</v>
      </c>
      <c r="M80" s="62">
        <v>4.38</v>
      </c>
      <c r="N80" s="65">
        <v>0</v>
      </c>
      <c r="O80" s="27"/>
      <c r="Q80" t="s">
        <v>372</v>
      </c>
      <c r="R80" t="s">
        <v>372</v>
      </c>
    </row>
    <row r="81" spans="1:15" ht="24.95" customHeight="1" x14ac:dyDescent="0.2">
      <c r="A81" s="61">
        <v>81</v>
      </c>
      <c r="B81" s="63">
        <v>77</v>
      </c>
      <c r="C81" s="62" t="s">
        <v>414</v>
      </c>
      <c r="D81" s="61">
        <v>0</v>
      </c>
      <c r="E81" s="61">
        <v>0</v>
      </c>
      <c r="F81" s="61">
        <v>0</v>
      </c>
      <c r="G81" s="64">
        <v>0</v>
      </c>
      <c r="H81" s="65">
        <v>0</v>
      </c>
      <c r="I81" s="62">
        <v>0</v>
      </c>
      <c r="J81" s="62">
        <v>0</v>
      </c>
      <c r="K81" s="62">
        <v>0</v>
      </c>
      <c r="L81" s="64">
        <v>0</v>
      </c>
      <c r="M81" s="62">
        <v>0</v>
      </c>
      <c r="N81" s="65">
        <v>0</v>
      </c>
      <c r="O81" s="27"/>
    </row>
    <row r="82" spans="1:15" ht="24.95" customHeight="1" x14ac:dyDescent="0.2">
      <c r="A82" s="61">
        <v>61</v>
      </c>
      <c r="B82" s="63">
        <v>78</v>
      </c>
      <c r="C82" s="62" t="s">
        <v>415</v>
      </c>
      <c r="D82" s="61">
        <v>2</v>
      </c>
      <c r="E82" s="61">
        <v>3.36</v>
      </c>
      <c r="F82" s="61">
        <v>2</v>
      </c>
      <c r="G82" s="64">
        <v>3.76</v>
      </c>
      <c r="H82" s="65">
        <v>1.75</v>
      </c>
      <c r="I82" s="62">
        <v>1</v>
      </c>
      <c r="J82" s="62">
        <v>0.45</v>
      </c>
      <c r="K82" s="62">
        <v>1</v>
      </c>
      <c r="L82" s="64">
        <v>0.65</v>
      </c>
      <c r="M82" s="62">
        <v>4.41</v>
      </c>
      <c r="N82" s="65">
        <v>0.45</v>
      </c>
      <c r="O82" s="27"/>
    </row>
    <row r="83" spans="1:15" ht="24.95" customHeight="1" x14ac:dyDescent="0.2">
      <c r="A83" s="61">
        <v>52</v>
      </c>
      <c r="B83" s="63">
        <v>79</v>
      </c>
      <c r="C83" s="62" t="s">
        <v>416</v>
      </c>
      <c r="D83" s="61">
        <v>2</v>
      </c>
      <c r="E83" s="61">
        <v>3.56</v>
      </c>
      <c r="F83" s="61">
        <v>2</v>
      </c>
      <c r="G83" s="64">
        <v>3.96</v>
      </c>
      <c r="H83" s="65">
        <v>1.87</v>
      </c>
      <c r="I83" s="62">
        <v>1</v>
      </c>
      <c r="J83" s="62">
        <v>1.7</v>
      </c>
      <c r="K83" s="62">
        <v>1</v>
      </c>
      <c r="L83" s="64">
        <v>1.9</v>
      </c>
      <c r="M83" s="62">
        <v>5.86</v>
      </c>
      <c r="N83" s="65">
        <v>1.7</v>
      </c>
      <c r="O83" s="27"/>
    </row>
    <row r="84" spans="1:15" ht="24.95" customHeight="1" x14ac:dyDescent="0.2">
      <c r="A84" s="61">
        <v>82</v>
      </c>
      <c r="B84" s="63">
        <v>80</v>
      </c>
      <c r="C84" s="62" t="s">
        <v>417</v>
      </c>
      <c r="D84" s="61">
        <v>0</v>
      </c>
      <c r="E84" s="61">
        <v>0</v>
      </c>
      <c r="F84" s="61">
        <v>0</v>
      </c>
      <c r="G84" s="64">
        <v>0</v>
      </c>
      <c r="H84" s="65">
        <v>0</v>
      </c>
      <c r="I84" s="62">
        <v>0</v>
      </c>
      <c r="J84" s="62">
        <v>0</v>
      </c>
      <c r="K84" s="62">
        <v>0</v>
      </c>
      <c r="L84" s="64">
        <v>0</v>
      </c>
      <c r="M84" s="62">
        <v>0</v>
      </c>
      <c r="N84" s="65">
        <v>0</v>
      </c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6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6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6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6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6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6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6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6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6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6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6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6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6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xmlns:xlrd2="http://schemas.microsoft.com/office/spreadsheetml/2017/richdata2" ref="A2:O84">
    <sortCondition ref="B1:B84"/>
  </sortState>
  <pageMargins left="0.7" right="0.7" top="0.75" bottom="0.75" header="0.3" footer="0.3"/>
  <pageSetup scale="65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95EC4-EAD4-47EB-99EF-63C5F626455E}">
  <sheetPr codeName="Sheet16">
    <tabColor rgb="FFFF0000"/>
  </sheetPr>
  <dimension ref="A1:S651"/>
  <sheetViews>
    <sheetView zoomScaleNormal="100" workbookViewId="0">
      <selection activeCell="A2" sqref="A2:O77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9.140625" style="24"/>
  </cols>
  <sheetData>
    <row r="1" spans="1:19" ht="38.2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Q1" s="60"/>
      <c r="R1" s="1"/>
      <c r="S1" s="1"/>
    </row>
    <row r="2" spans="1:19" ht="24.95" customHeight="1" x14ac:dyDescent="0.2">
      <c r="A2" s="113">
        <v>1</v>
      </c>
      <c r="B2" s="50">
        <v>27</v>
      </c>
      <c r="C2" s="134" t="s">
        <v>344</v>
      </c>
      <c r="D2" s="92">
        <v>7</v>
      </c>
      <c r="E2" s="49">
        <v>8.5</v>
      </c>
      <c r="F2" s="49">
        <v>7</v>
      </c>
      <c r="G2" s="57">
        <v>9.9</v>
      </c>
      <c r="H2" s="100">
        <v>2.2999999999999998</v>
      </c>
      <c r="I2" s="104">
        <v>4</v>
      </c>
      <c r="J2" s="53">
        <v>6.6</v>
      </c>
      <c r="K2" s="53">
        <v>4</v>
      </c>
      <c r="L2" s="57">
        <v>7.4</v>
      </c>
      <c r="M2" s="53">
        <v>17.3</v>
      </c>
      <c r="N2" s="100">
        <v>2.36</v>
      </c>
      <c r="O2" s="109"/>
    </row>
    <row r="3" spans="1:19" ht="24.95" customHeight="1" x14ac:dyDescent="0.2">
      <c r="A3" s="114">
        <v>2</v>
      </c>
      <c r="B3" s="63">
        <v>18</v>
      </c>
      <c r="C3" s="116" t="s">
        <v>340</v>
      </c>
      <c r="D3" s="70">
        <v>6</v>
      </c>
      <c r="E3" s="61">
        <v>7.5</v>
      </c>
      <c r="F3" s="61">
        <v>6</v>
      </c>
      <c r="G3" s="64">
        <v>8.6999999999999993</v>
      </c>
      <c r="H3" s="101">
        <v>2.02</v>
      </c>
      <c r="I3" s="105">
        <v>5</v>
      </c>
      <c r="J3" s="62">
        <v>6.86</v>
      </c>
      <c r="K3" s="62">
        <v>5</v>
      </c>
      <c r="L3" s="64">
        <v>7.86</v>
      </c>
      <c r="M3" s="62">
        <v>16.559999999999999</v>
      </c>
      <c r="N3" s="101">
        <v>2.2599999999999998</v>
      </c>
      <c r="O3" s="110"/>
    </row>
    <row r="4" spans="1:19" ht="24.95" customHeight="1" x14ac:dyDescent="0.2">
      <c r="A4" s="114">
        <v>3</v>
      </c>
      <c r="B4" s="63">
        <v>30</v>
      </c>
      <c r="C4" s="116" t="s">
        <v>345</v>
      </c>
      <c r="D4" s="70">
        <v>3</v>
      </c>
      <c r="E4" s="61">
        <v>5.44</v>
      </c>
      <c r="F4" s="61">
        <v>3</v>
      </c>
      <c r="G4" s="64">
        <v>6.04</v>
      </c>
      <c r="H4" s="101">
        <v>2.54</v>
      </c>
      <c r="I4" s="105">
        <v>6</v>
      </c>
      <c r="J4" s="62">
        <v>8.94</v>
      </c>
      <c r="K4" s="62">
        <v>6</v>
      </c>
      <c r="L4" s="64">
        <v>10.14</v>
      </c>
      <c r="M4" s="62">
        <v>16.18</v>
      </c>
      <c r="N4" s="101">
        <v>3.26</v>
      </c>
      <c r="O4" s="110"/>
    </row>
    <row r="5" spans="1:19" ht="24.95" customHeight="1" x14ac:dyDescent="0.2">
      <c r="A5" s="114">
        <v>4</v>
      </c>
      <c r="B5" s="63">
        <v>64</v>
      </c>
      <c r="C5" s="116" t="s">
        <v>365</v>
      </c>
      <c r="D5" s="70">
        <v>4</v>
      </c>
      <c r="E5" s="61">
        <v>9.8000000000000007</v>
      </c>
      <c r="F5" s="61">
        <v>4</v>
      </c>
      <c r="G5" s="64">
        <v>10.6</v>
      </c>
      <c r="H5" s="101">
        <v>5.66</v>
      </c>
      <c r="I5" s="105">
        <v>3</v>
      </c>
      <c r="J5" s="62">
        <v>4.88</v>
      </c>
      <c r="K5" s="62">
        <v>3</v>
      </c>
      <c r="L5" s="64">
        <v>5.48</v>
      </c>
      <c r="M5" s="62">
        <v>16.079999999999998</v>
      </c>
      <c r="N5" s="101">
        <v>2.08</v>
      </c>
      <c r="O5" s="110"/>
      <c r="Q5" t="s">
        <v>372</v>
      </c>
    </row>
    <row r="6" spans="1:19" ht="24.95" customHeight="1" x14ac:dyDescent="0.2">
      <c r="A6" s="114">
        <v>5</v>
      </c>
      <c r="B6" s="63">
        <v>63</v>
      </c>
      <c r="C6" s="116" t="s">
        <v>197</v>
      </c>
      <c r="D6" s="70">
        <v>6</v>
      </c>
      <c r="E6" s="61">
        <v>8.8800000000000008</v>
      </c>
      <c r="F6" s="61">
        <v>6</v>
      </c>
      <c r="G6" s="64">
        <v>10.08</v>
      </c>
      <c r="H6" s="101">
        <v>2.38</v>
      </c>
      <c r="I6" s="105">
        <v>3</v>
      </c>
      <c r="J6" s="62">
        <v>4.9800000000000004</v>
      </c>
      <c r="K6" s="62">
        <v>3</v>
      </c>
      <c r="L6" s="64">
        <v>5.58</v>
      </c>
      <c r="M6" s="62">
        <v>15.66</v>
      </c>
      <c r="N6" s="101">
        <v>2.12</v>
      </c>
      <c r="O6" s="110"/>
    </row>
    <row r="7" spans="1:19" ht="24.95" customHeight="1" x14ac:dyDescent="0.2">
      <c r="A7" s="114">
        <v>6</v>
      </c>
      <c r="B7" s="63">
        <v>47</v>
      </c>
      <c r="C7" s="116" t="s">
        <v>330</v>
      </c>
      <c r="D7" s="70">
        <v>5</v>
      </c>
      <c r="E7" s="61">
        <v>6.94</v>
      </c>
      <c r="F7" s="61">
        <v>5</v>
      </c>
      <c r="G7" s="64">
        <v>7.94</v>
      </c>
      <c r="H7" s="101">
        <v>2.42</v>
      </c>
      <c r="I7" s="105">
        <v>3</v>
      </c>
      <c r="J7" s="62">
        <v>6.54</v>
      </c>
      <c r="K7" s="62">
        <v>3</v>
      </c>
      <c r="L7" s="64">
        <v>7.14</v>
      </c>
      <c r="M7" s="62">
        <v>15.08</v>
      </c>
      <c r="N7" s="101">
        <v>2.82</v>
      </c>
      <c r="O7" s="110"/>
    </row>
    <row r="8" spans="1:19" ht="24.95" customHeight="1" x14ac:dyDescent="0.2">
      <c r="A8" s="114">
        <v>7</v>
      </c>
      <c r="B8" s="63">
        <v>1</v>
      </c>
      <c r="C8" s="115" t="s">
        <v>335</v>
      </c>
      <c r="D8" s="70">
        <v>3</v>
      </c>
      <c r="E8" s="61">
        <v>5.88</v>
      </c>
      <c r="F8" s="61">
        <v>3</v>
      </c>
      <c r="G8" s="64">
        <v>6.48</v>
      </c>
      <c r="H8" s="101">
        <v>2.84</v>
      </c>
      <c r="I8" s="105">
        <v>4</v>
      </c>
      <c r="J8" s="62">
        <v>7.16</v>
      </c>
      <c r="K8" s="62">
        <v>4</v>
      </c>
      <c r="L8" s="64">
        <v>7.96</v>
      </c>
      <c r="M8" s="62">
        <v>14.44</v>
      </c>
      <c r="N8" s="101">
        <v>2.64</v>
      </c>
      <c r="O8" s="110"/>
    </row>
    <row r="9" spans="1:19" ht="24.95" customHeight="1" x14ac:dyDescent="0.2">
      <c r="A9" s="114">
        <v>8</v>
      </c>
      <c r="B9" s="63">
        <v>76</v>
      </c>
      <c r="C9" s="116" t="s">
        <v>371</v>
      </c>
      <c r="D9" s="70">
        <v>6</v>
      </c>
      <c r="E9" s="61">
        <v>7.78</v>
      </c>
      <c r="F9" s="61">
        <v>6</v>
      </c>
      <c r="G9" s="64">
        <v>8.98</v>
      </c>
      <c r="H9" s="101">
        <v>2.14</v>
      </c>
      <c r="I9" s="105">
        <v>3</v>
      </c>
      <c r="J9" s="62">
        <v>4.66</v>
      </c>
      <c r="K9" s="62">
        <v>3</v>
      </c>
      <c r="L9" s="64">
        <v>5.26</v>
      </c>
      <c r="M9" s="62">
        <v>14.24</v>
      </c>
      <c r="N9" s="101">
        <v>1.94</v>
      </c>
      <c r="O9" s="110"/>
    </row>
    <row r="10" spans="1:19" ht="24.95" customHeight="1" x14ac:dyDescent="0.2">
      <c r="A10" s="114">
        <v>9</v>
      </c>
      <c r="B10" s="63">
        <v>8</v>
      </c>
      <c r="C10" s="115" t="s">
        <v>288</v>
      </c>
      <c r="D10" s="70">
        <v>5</v>
      </c>
      <c r="E10" s="61">
        <v>7.82</v>
      </c>
      <c r="F10" s="61">
        <v>5</v>
      </c>
      <c r="G10" s="64">
        <v>8.82</v>
      </c>
      <c r="H10" s="101">
        <v>2.62</v>
      </c>
      <c r="I10" s="105">
        <v>2</v>
      </c>
      <c r="J10" s="62">
        <v>5</v>
      </c>
      <c r="K10" s="62">
        <v>2</v>
      </c>
      <c r="L10" s="64">
        <v>5.4</v>
      </c>
      <c r="M10" s="62">
        <v>14.22</v>
      </c>
      <c r="N10" s="101">
        <v>2.96</v>
      </c>
      <c r="O10" s="110"/>
    </row>
    <row r="11" spans="1:19" ht="24.95" customHeight="1" x14ac:dyDescent="0.2">
      <c r="A11" s="114">
        <v>10</v>
      </c>
      <c r="B11" s="63">
        <v>39</v>
      </c>
      <c r="C11" s="116" t="s">
        <v>349</v>
      </c>
      <c r="D11" s="70">
        <v>6</v>
      </c>
      <c r="E11" s="61">
        <v>8.56</v>
      </c>
      <c r="F11" s="61">
        <v>6</v>
      </c>
      <c r="G11" s="64">
        <v>9.76</v>
      </c>
      <c r="H11" s="101">
        <v>2.92</v>
      </c>
      <c r="I11" s="105">
        <v>2</v>
      </c>
      <c r="J11" s="62">
        <v>3.92</v>
      </c>
      <c r="K11" s="62">
        <v>2</v>
      </c>
      <c r="L11" s="64">
        <v>4.32</v>
      </c>
      <c r="M11" s="62">
        <v>14.08</v>
      </c>
      <c r="N11" s="101">
        <v>1.98</v>
      </c>
      <c r="O11" s="110"/>
      <c r="Q11" t="s">
        <v>372</v>
      </c>
    </row>
    <row r="12" spans="1:19" ht="24.95" customHeight="1" x14ac:dyDescent="0.2">
      <c r="A12" s="114">
        <v>11</v>
      </c>
      <c r="B12" s="63">
        <v>36</v>
      </c>
      <c r="C12" s="116" t="s">
        <v>225</v>
      </c>
      <c r="D12" s="70">
        <v>4</v>
      </c>
      <c r="E12" s="61">
        <v>6.36</v>
      </c>
      <c r="F12" s="61">
        <v>4</v>
      </c>
      <c r="G12" s="64">
        <v>7.16</v>
      </c>
      <c r="H12" s="101">
        <v>2.42</v>
      </c>
      <c r="I12" s="105">
        <v>4</v>
      </c>
      <c r="J12" s="62">
        <v>5.94</v>
      </c>
      <c r="K12" s="62">
        <v>4</v>
      </c>
      <c r="L12" s="64">
        <v>6.74</v>
      </c>
      <c r="M12" s="62">
        <v>13.9</v>
      </c>
      <c r="N12" s="101">
        <v>2.2000000000000002</v>
      </c>
      <c r="O12" s="110"/>
    </row>
    <row r="13" spans="1:19" ht="24.95" customHeight="1" x14ac:dyDescent="0.2">
      <c r="A13" s="114">
        <v>12</v>
      </c>
      <c r="B13" s="63">
        <v>40</v>
      </c>
      <c r="C13" s="116" t="s">
        <v>208</v>
      </c>
      <c r="D13" s="70">
        <v>4</v>
      </c>
      <c r="E13" s="61">
        <v>5.46</v>
      </c>
      <c r="F13" s="61">
        <v>4</v>
      </c>
      <c r="G13" s="64">
        <v>6.26</v>
      </c>
      <c r="H13" s="101">
        <v>1.84</v>
      </c>
      <c r="I13" s="105">
        <v>4</v>
      </c>
      <c r="J13" s="62">
        <v>6.28</v>
      </c>
      <c r="K13" s="62">
        <v>4</v>
      </c>
      <c r="L13" s="64">
        <v>7.08</v>
      </c>
      <c r="M13" s="62">
        <v>13.34</v>
      </c>
      <c r="N13" s="101">
        <v>2.2799999999999998</v>
      </c>
      <c r="O13" s="110"/>
    </row>
    <row r="14" spans="1:19" ht="24.95" customHeight="1" x14ac:dyDescent="0.2">
      <c r="A14" s="114">
        <v>13</v>
      </c>
      <c r="B14" s="63">
        <v>25</v>
      </c>
      <c r="C14" s="116" t="s">
        <v>298</v>
      </c>
      <c r="D14" s="70">
        <v>5</v>
      </c>
      <c r="E14" s="61">
        <v>6.46</v>
      </c>
      <c r="F14" s="61">
        <v>5</v>
      </c>
      <c r="G14" s="64">
        <v>7.46</v>
      </c>
      <c r="H14" s="101">
        <v>2.2799999999999998</v>
      </c>
      <c r="I14" s="105">
        <v>3</v>
      </c>
      <c r="J14" s="62">
        <v>5.0199999999999996</v>
      </c>
      <c r="K14" s="62">
        <v>3</v>
      </c>
      <c r="L14" s="64">
        <v>5.62</v>
      </c>
      <c r="M14" s="62">
        <v>13.08</v>
      </c>
      <c r="N14" s="101">
        <v>2.2400000000000002</v>
      </c>
      <c r="O14" s="110"/>
      <c r="Q14" t="s">
        <v>372</v>
      </c>
    </row>
    <row r="15" spans="1:19" ht="24.95" customHeight="1" x14ac:dyDescent="0.2">
      <c r="A15" s="114">
        <v>14</v>
      </c>
      <c r="B15" s="63">
        <v>42</v>
      </c>
      <c r="C15" s="116" t="s">
        <v>351</v>
      </c>
      <c r="D15" s="70">
        <v>2</v>
      </c>
      <c r="E15" s="61">
        <v>4.22</v>
      </c>
      <c r="F15" s="61">
        <v>2</v>
      </c>
      <c r="G15" s="64">
        <v>4.62</v>
      </c>
      <c r="H15" s="101">
        <v>2.2000000000000002</v>
      </c>
      <c r="I15" s="105">
        <v>5</v>
      </c>
      <c r="J15" s="62">
        <v>7.1</v>
      </c>
      <c r="K15" s="62">
        <v>5</v>
      </c>
      <c r="L15" s="64">
        <v>8.1</v>
      </c>
      <c r="M15" s="62">
        <v>12.72</v>
      </c>
      <c r="N15" s="101">
        <v>2.12</v>
      </c>
      <c r="O15" s="110"/>
      <c r="Q15" t="s">
        <v>372</v>
      </c>
      <c r="R15" t="s">
        <v>372</v>
      </c>
    </row>
    <row r="16" spans="1:19" ht="24.95" customHeight="1" x14ac:dyDescent="0.2">
      <c r="A16" s="114">
        <v>15</v>
      </c>
      <c r="B16" s="63">
        <v>20</v>
      </c>
      <c r="C16" s="116" t="s">
        <v>341</v>
      </c>
      <c r="D16" s="70">
        <v>2</v>
      </c>
      <c r="E16" s="61">
        <v>4.5999999999999996</v>
      </c>
      <c r="F16" s="61">
        <v>2</v>
      </c>
      <c r="G16" s="64">
        <v>5</v>
      </c>
      <c r="H16" s="101">
        <v>2.4</v>
      </c>
      <c r="I16" s="105">
        <v>4</v>
      </c>
      <c r="J16" s="62">
        <v>6.38</v>
      </c>
      <c r="K16" s="62">
        <v>4</v>
      </c>
      <c r="L16" s="64">
        <v>7.18</v>
      </c>
      <c r="M16" s="62">
        <v>12.18</v>
      </c>
      <c r="N16" s="101">
        <v>2.2200000000000002</v>
      </c>
      <c r="O16" s="110"/>
      <c r="Q16" t="s">
        <v>372</v>
      </c>
    </row>
    <row r="17" spans="1:18" ht="24.95" customHeight="1" x14ac:dyDescent="0.2">
      <c r="A17" s="114">
        <v>16</v>
      </c>
      <c r="B17" s="63">
        <v>29</v>
      </c>
      <c r="C17" s="116" t="s">
        <v>256</v>
      </c>
      <c r="D17" s="70">
        <v>5</v>
      </c>
      <c r="E17" s="61">
        <v>5.6</v>
      </c>
      <c r="F17" s="61">
        <v>5</v>
      </c>
      <c r="G17" s="64">
        <v>6.6</v>
      </c>
      <c r="H17" s="101">
        <v>1.96</v>
      </c>
      <c r="I17" s="105">
        <v>4</v>
      </c>
      <c r="J17" s="62">
        <v>4.58</v>
      </c>
      <c r="K17" s="62">
        <v>4</v>
      </c>
      <c r="L17" s="64">
        <v>5.38</v>
      </c>
      <c r="M17" s="62">
        <v>11.98</v>
      </c>
      <c r="N17" s="101">
        <v>2.48</v>
      </c>
      <c r="O17" s="110"/>
      <c r="Q17" t="s">
        <v>372</v>
      </c>
    </row>
    <row r="18" spans="1:18" ht="24.95" customHeight="1" x14ac:dyDescent="0.2">
      <c r="A18" s="114">
        <v>17</v>
      </c>
      <c r="B18" s="63">
        <v>49</v>
      </c>
      <c r="C18" s="116" t="s">
        <v>355</v>
      </c>
      <c r="D18" s="70">
        <v>3</v>
      </c>
      <c r="E18" s="61">
        <v>4.88</v>
      </c>
      <c r="F18" s="61">
        <v>3</v>
      </c>
      <c r="G18" s="64">
        <v>5.48</v>
      </c>
      <c r="H18" s="101">
        <v>1.9</v>
      </c>
      <c r="I18" s="105">
        <v>4</v>
      </c>
      <c r="J18" s="62">
        <v>5.42</v>
      </c>
      <c r="K18" s="62">
        <v>4</v>
      </c>
      <c r="L18" s="64">
        <v>6.22</v>
      </c>
      <c r="M18" s="62">
        <v>11.7</v>
      </c>
      <c r="N18" s="101">
        <v>2.3199999999999998</v>
      </c>
      <c r="O18" s="110"/>
    </row>
    <row r="19" spans="1:18" ht="24.95" customHeight="1" x14ac:dyDescent="0.2">
      <c r="A19" s="114">
        <v>18</v>
      </c>
      <c r="B19" s="63">
        <v>67</v>
      </c>
      <c r="C19" s="116" t="s">
        <v>367</v>
      </c>
      <c r="D19" s="70">
        <v>3</v>
      </c>
      <c r="E19" s="61">
        <v>6.28</v>
      </c>
      <c r="F19" s="61">
        <v>3</v>
      </c>
      <c r="G19" s="64">
        <v>6.88</v>
      </c>
      <c r="H19" s="101">
        <v>2.68</v>
      </c>
      <c r="I19" s="105">
        <v>2</v>
      </c>
      <c r="J19" s="62">
        <v>4.3600000000000003</v>
      </c>
      <c r="K19" s="62">
        <v>2</v>
      </c>
      <c r="L19" s="64">
        <v>4.76</v>
      </c>
      <c r="M19" s="62">
        <v>11.64</v>
      </c>
      <c r="N19" s="101">
        <v>2.36</v>
      </c>
      <c r="O19" s="110"/>
      <c r="Q19" t="s">
        <v>372</v>
      </c>
      <c r="R19" t="s">
        <v>372</v>
      </c>
    </row>
    <row r="20" spans="1:18" ht="24.95" customHeight="1" x14ac:dyDescent="0.2">
      <c r="A20" s="114">
        <v>19</v>
      </c>
      <c r="B20" s="63">
        <v>53</v>
      </c>
      <c r="C20" s="116" t="s">
        <v>326</v>
      </c>
      <c r="D20" s="70">
        <v>3</v>
      </c>
      <c r="E20" s="61">
        <v>4.0199999999999996</v>
      </c>
      <c r="F20" s="61">
        <v>3</v>
      </c>
      <c r="G20" s="64">
        <v>4.62</v>
      </c>
      <c r="H20" s="101">
        <v>1.94</v>
      </c>
      <c r="I20" s="105">
        <v>4</v>
      </c>
      <c r="J20" s="62">
        <v>5.98</v>
      </c>
      <c r="K20" s="62">
        <v>4</v>
      </c>
      <c r="L20" s="64">
        <v>6.78</v>
      </c>
      <c r="M20" s="62">
        <v>11.4</v>
      </c>
      <c r="N20" s="101">
        <v>2.1800000000000002</v>
      </c>
      <c r="O20" s="110"/>
      <c r="Q20" t="s">
        <v>372</v>
      </c>
    </row>
    <row r="21" spans="1:18" ht="24.95" customHeight="1" x14ac:dyDescent="0.2">
      <c r="A21" s="114">
        <v>20</v>
      </c>
      <c r="B21" s="63">
        <v>66</v>
      </c>
      <c r="C21" s="116" t="s">
        <v>212</v>
      </c>
      <c r="D21" s="70">
        <v>4</v>
      </c>
      <c r="E21" s="61">
        <v>5.92</v>
      </c>
      <c r="F21" s="61">
        <v>4</v>
      </c>
      <c r="G21" s="64">
        <v>6.72</v>
      </c>
      <c r="H21" s="101">
        <v>2.2599999999999998</v>
      </c>
      <c r="I21" s="105">
        <v>2</v>
      </c>
      <c r="J21" s="62">
        <v>4.16</v>
      </c>
      <c r="K21" s="62">
        <v>2</v>
      </c>
      <c r="L21" s="64">
        <v>4.5599999999999996</v>
      </c>
      <c r="M21" s="62">
        <v>11.28</v>
      </c>
      <c r="N21" s="101">
        <v>2.14</v>
      </c>
      <c r="O21" s="110"/>
      <c r="Q21" t="s">
        <v>372</v>
      </c>
      <c r="R21" t="s">
        <v>372</v>
      </c>
    </row>
    <row r="22" spans="1:18" ht="24.95" customHeight="1" x14ac:dyDescent="0.2">
      <c r="A22" s="114">
        <v>21</v>
      </c>
      <c r="B22" s="63">
        <v>35</v>
      </c>
      <c r="C22" s="116" t="s">
        <v>347</v>
      </c>
      <c r="D22" s="70">
        <v>2</v>
      </c>
      <c r="E22" s="61">
        <v>3.8</v>
      </c>
      <c r="F22" s="61">
        <v>2</v>
      </c>
      <c r="G22" s="64">
        <v>4.2</v>
      </c>
      <c r="H22" s="101">
        <v>1.92</v>
      </c>
      <c r="I22" s="105">
        <v>5</v>
      </c>
      <c r="J22" s="62">
        <v>5.92</v>
      </c>
      <c r="K22" s="62">
        <v>5</v>
      </c>
      <c r="L22" s="64">
        <v>6.92</v>
      </c>
      <c r="M22" s="62">
        <v>11.12</v>
      </c>
      <c r="N22" s="101">
        <v>1.98</v>
      </c>
      <c r="O22" s="110"/>
    </row>
    <row r="23" spans="1:18" ht="24.95" customHeight="1" x14ac:dyDescent="0.2">
      <c r="A23" s="114">
        <v>22</v>
      </c>
      <c r="B23" s="63">
        <v>28</v>
      </c>
      <c r="C23" s="116" t="s">
        <v>279</v>
      </c>
      <c r="D23" s="70">
        <v>4</v>
      </c>
      <c r="E23" s="61">
        <v>5.8</v>
      </c>
      <c r="F23" s="61">
        <v>4</v>
      </c>
      <c r="G23" s="64">
        <v>6.6</v>
      </c>
      <c r="H23" s="101">
        <v>2.1</v>
      </c>
      <c r="I23" s="105">
        <v>2</v>
      </c>
      <c r="J23" s="62">
        <v>4.04</v>
      </c>
      <c r="K23" s="62">
        <v>2</v>
      </c>
      <c r="L23" s="64">
        <v>4.4400000000000004</v>
      </c>
      <c r="M23" s="62">
        <v>11.04</v>
      </c>
      <c r="N23" s="101">
        <v>2.06</v>
      </c>
      <c r="O23" s="110"/>
    </row>
    <row r="24" spans="1:18" ht="24.95" customHeight="1" x14ac:dyDescent="0.2">
      <c r="A24" s="114">
        <v>23</v>
      </c>
      <c r="B24" s="63">
        <v>33</v>
      </c>
      <c r="C24" s="116" t="s">
        <v>210</v>
      </c>
      <c r="D24" s="70">
        <v>3</v>
      </c>
      <c r="E24" s="61">
        <v>5.0599999999999996</v>
      </c>
      <c r="F24" s="61">
        <v>3</v>
      </c>
      <c r="G24" s="64">
        <v>5.66</v>
      </c>
      <c r="H24" s="101">
        <v>2.14</v>
      </c>
      <c r="I24" s="105">
        <v>3</v>
      </c>
      <c r="J24" s="62">
        <v>4.5999999999999996</v>
      </c>
      <c r="K24" s="62">
        <v>3</v>
      </c>
      <c r="L24" s="64">
        <v>5.2</v>
      </c>
      <c r="M24" s="62">
        <v>10.86</v>
      </c>
      <c r="N24" s="101">
        <v>2.2400000000000002</v>
      </c>
      <c r="O24" s="110"/>
      <c r="Q24" t="s">
        <v>372</v>
      </c>
    </row>
    <row r="25" spans="1:18" ht="24.95" customHeight="1" x14ac:dyDescent="0.2">
      <c r="A25" s="114">
        <v>24</v>
      </c>
      <c r="B25" s="63">
        <v>71</v>
      </c>
      <c r="C25" s="116" t="s">
        <v>368</v>
      </c>
      <c r="D25" s="70">
        <v>2</v>
      </c>
      <c r="E25" s="61">
        <v>4.2</v>
      </c>
      <c r="F25" s="61">
        <v>2</v>
      </c>
      <c r="G25" s="64">
        <v>4.5999999999999996</v>
      </c>
      <c r="H25" s="101">
        <v>2.16</v>
      </c>
      <c r="I25" s="105">
        <v>4</v>
      </c>
      <c r="J25" s="62">
        <v>5.38</v>
      </c>
      <c r="K25" s="62">
        <v>4</v>
      </c>
      <c r="L25" s="64">
        <v>6.18</v>
      </c>
      <c r="M25" s="62">
        <v>10.78</v>
      </c>
      <c r="N25" s="101">
        <v>1.98</v>
      </c>
      <c r="O25" s="110"/>
    </row>
    <row r="26" spans="1:18" ht="24.95" customHeight="1" x14ac:dyDescent="0.2">
      <c r="A26" s="114">
        <v>25</v>
      </c>
      <c r="B26" s="63">
        <v>73</v>
      </c>
      <c r="C26" s="116" t="s">
        <v>370</v>
      </c>
      <c r="D26" s="70">
        <v>2</v>
      </c>
      <c r="E26" s="61">
        <v>5.46</v>
      </c>
      <c r="F26" s="61">
        <v>2</v>
      </c>
      <c r="G26" s="64">
        <v>5.86</v>
      </c>
      <c r="H26" s="101">
        <v>2.72</v>
      </c>
      <c r="I26" s="105">
        <v>2</v>
      </c>
      <c r="J26" s="62">
        <v>4.24</v>
      </c>
      <c r="K26" s="62">
        <v>2</v>
      </c>
      <c r="L26" s="64">
        <v>4.6399999999999997</v>
      </c>
      <c r="M26" s="62">
        <v>10.5</v>
      </c>
      <c r="N26" s="101">
        <v>2.16</v>
      </c>
      <c r="O26" s="110"/>
      <c r="Q26" t="s">
        <v>372</v>
      </c>
      <c r="R26" t="s">
        <v>372</v>
      </c>
    </row>
    <row r="27" spans="1:18" ht="24.95" customHeight="1" x14ac:dyDescent="0.2">
      <c r="A27" s="114">
        <v>26</v>
      </c>
      <c r="B27" s="63">
        <v>22</v>
      </c>
      <c r="C27" s="116" t="s">
        <v>343</v>
      </c>
      <c r="D27" s="70">
        <v>2</v>
      </c>
      <c r="E27" s="61">
        <v>4.22</v>
      </c>
      <c r="F27" s="61">
        <v>2</v>
      </c>
      <c r="G27" s="64">
        <v>4.62</v>
      </c>
      <c r="H27" s="101">
        <v>2.1800000000000002</v>
      </c>
      <c r="I27" s="105">
        <v>3</v>
      </c>
      <c r="J27" s="62">
        <v>5.14</v>
      </c>
      <c r="K27" s="62">
        <v>3</v>
      </c>
      <c r="L27" s="64">
        <v>5.74</v>
      </c>
      <c r="M27" s="62">
        <v>10.36</v>
      </c>
      <c r="N27" s="101">
        <v>2.14</v>
      </c>
      <c r="O27" s="110"/>
      <c r="Q27" t="s">
        <v>372</v>
      </c>
    </row>
    <row r="28" spans="1:18" ht="24.95" customHeight="1" x14ac:dyDescent="0.2">
      <c r="A28" s="114">
        <v>28</v>
      </c>
      <c r="B28" s="63">
        <v>3</v>
      </c>
      <c r="C28" s="116" t="s">
        <v>280</v>
      </c>
      <c r="D28" s="70">
        <v>4</v>
      </c>
      <c r="E28" s="61">
        <v>5.96</v>
      </c>
      <c r="F28" s="61">
        <v>4</v>
      </c>
      <c r="G28" s="64">
        <v>6.76</v>
      </c>
      <c r="H28" s="101">
        <v>2.14</v>
      </c>
      <c r="I28" s="105">
        <v>2</v>
      </c>
      <c r="J28" s="62">
        <v>3.16</v>
      </c>
      <c r="K28" s="62">
        <v>2</v>
      </c>
      <c r="L28" s="64">
        <v>3.56</v>
      </c>
      <c r="M28" s="62">
        <v>10.32</v>
      </c>
      <c r="N28" s="101">
        <v>2.2400000000000002</v>
      </c>
      <c r="O28" s="110"/>
      <c r="Q28" t="s">
        <v>372</v>
      </c>
      <c r="R28" t="s">
        <v>372</v>
      </c>
    </row>
    <row r="29" spans="1:18" ht="24.95" customHeight="1" x14ac:dyDescent="0.2">
      <c r="A29" s="114">
        <v>27</v>
      </c>
      <c r="B29" s="63">
        <v>17</v>
      </c>
      <c r="C29" s="116" t="s">
        <v>234</v>
      </c>
      <c r="D29" s="70">
        <v>3</v>
      </c>
      <c r="E29" s="61">
        <v>5</v>
      </c>
      <c r="F29" s="61">
        <v>3</v>
      </c>
      <c r="G29" s="64">
        <v>5.6</v>
      </c>
      <c r="H29" s="101">
        <v>2</v>
      </c>
      <c r="I29" s="105">
        <v>2</v>
      </c>
      <c r="J29" s="62">
        <v>4.32</v>
      </c>
      <c r="K29" s="62">
        <v>2</v>
      </c>
      <c r="L29" s="64">
        <v>4.72</v>
      </c>
      <c r="M29" s="62">
        <v>10.32</v>
      </c>
      <c r="N29" s="101">
        <v>2.3199999999999998</v>
      </c>
      <c r="O29" s="110"/>
      <c r="Q29" t="s">
        <v>372</v>
      </c>
      <c r="R29" t="s">
        <v>372</v>
      </c>
    </row>
    <row r="30" spans="1:18" ht="24.95" customHeight="1" x14ac:dyDescent="0.2">
      <c r="A30" s="114">
        <v>29</v>
      </c>
      <c r="B30" s="63">
        <v>5</v>
      </c>
      <c r="C30" s="116" t="s">
        <v>272</v>
      </c>
      <c r="D30" s="70">
        <v>2</v>
      </c>
      <c r="E30" s="61">
        <v>4.0999999999999996</v>
      </c>
      <c r="F30" s="61">
        <v>2</v>
      </c>
      <c r="G30" s="64">
        <v>4.5</v>
      </c>
      <c r="H30" s="101">
        <v>2.2599999999999998</v>
      </c>
      <c r="I30" s="105">
        <v>3</v>
      </c>
      <c r="J30" s="62">
        <v>5.12</v>
      </c>
      <c r="K30" s="62">
        <v>3</v>
      </c>
      <c r="L30" s="64">
        <v>5.72</v>
      </c>
      <c r="M30" s="62">
        <v>10.220000000000001</v>
      </c>
      <c r="N30" s="101">
        <v>2.16</v>
      </c>
      <c r="O30" s="110"/>
      <c r="Q30" t="s">
        <v>372</v>
      </c>
      <c r="R30" t="s">
        <v>372</v>
      </c>
    </row>
    <row r="31" spans="1:18" ht="24.95" customHeight="1" x14ac:dyDescent="0.2">
      <c r="A31" s="114">
        <v>30</v>
      </c>
      <c r="B31" s="63">
        <v>13</v>
      </c>
      <c r="C31" s="116" t="s">
        <v>310</v>
      </c>
      <c r="D31" s="70">
        <v>5</v>
      </c>
      <c r="E31" s="61">
        <v>6.4</v>
      </c>
      <c r="F31" s="61">
        <v>5</v>
      </c>
      <c r="G31" s="64">
        <v>7.4</v>
      </c>
      <c r="H31" s="101">
        <v>2.14</v>
      </c>
      <c r="I31" s="105">
        <v>1</v>
      </c>
      <c r="J31" s="62">
        <v>2.52</v>
      </c>
      <c r="K31" s="62">
        <v>1</v>
      </c>
      <c r="L31" s="64">
        <v>2.72</v>
      </c>
      <c r="M31" s="62">
        <v>10.119999999999999</v>
      </c>
      <c r="N31" s="101">
        <v>2.52</v>
      </c>
      <c r="O31" s="110"/>
      <c r="Q31" t="s">
        <v>372</v>
      </c>
      <c r="R31" t="s">
        <v>372</v>
      </c>
    </row>
    <row r="32" spans="1:18" ht="24.95" customHeight="1" x14ac:dyDescent="0.2">
      <c r="A32" s="70">
        <v>31</v>
      </c>
      <c r="B32" s="63">
        <v>13</v>
      </c>
      <c r="C32" s="116" t="s">
        <v>310</v>
      </c>
      <c r="D32" s="70">
        <v>5</v>
      </c>
      <c r="E32" s="61">
        <v>6.4</v>
      </c>
      <c r="F32" s="61">
        <v>5</v>
      </c>
      <c r="G32" s="64">
        <v>7.4</v>
      </c>
      <c r="H32" s="101">
        <v>2.14</v>
      </c>
      <c r="I32" s="105">
        <v>1</v>
      </c>
      <c r="J32" s="62">
        <v>2.52</v>
      </c>
      <c r="K32" s="62">
        <v>1</v>
      </c>
      <c r="L32" s="64">
        <v>2.72</v>
      </c>
      <c r="M32" s="62">
        <v>10.119999999999999</v>
      </c>
      <c r="N32" s="101">
        <v>2.52</v>
      </c>
      <c r="O32" s="110"/>
      <c r="Q32" t="s">
        <v>372</v>
      </c>
      <c r="R32" t="s">
        <v>372</v>
      </c>
    </row>
    <row r="33" spans="1:18" ht="24.95" customHeight="1" x14ac:dyDescent="0.2">
      <c r="A33" s="114">
        <v>32</v>
      </c>
      <c r="B33" s="63">
        <v>65</v>
      </c>
      <c r="C33" s="116" t="s">
        <v>366</v>
      </c>
      <c r="D33" s="70">
        <v>3</v>
      </c>
      <c r="E33" s="61">
        <v>4.82</v>
      </c>
      <c r="F33" s="61">
        <v>3</v>
      </c>
      <c r="G33" s="64">
        <v>5.42</v>
      </c>
      <c r="H33" s="101">
        <v>2.04</v>
      </c>
      <c r="I33" s="105">
        <v>2</v>
      </c>
      <c r="J33" s="62">
        <v>3.98</v>
      </c>
      <c r="K33" s="62">
        <v>2</v>
      </c>
      <c r="L33" s="64">
        <v>4.38</v>
      </c>
      <c r="M33" s="62">
        <v>9.8000000000000007</v>
      </c>
      <c r="N33" s="101">
        <v>2.16</v>
      </c>
      <c r="O33" s="110"/>
      <c r="Q33" t="s">
        <v>372</v>
      </c>
      <c r="R33" t="s">
        <v>372</v>
      </c>
    </row>
    <row r="34" spans="1:18" ht="24.95" customHeight="1" x14ac:dyDescent="0.2">
      <c r="A34" s="70">
        <v>33</v>
      </c>
      <c r="B34" s="63">
        <v>65</v>
      </c>
      <c r="C34" s="116" t="s">
        <v>366</v>
      </c>
      <c r="D34" s="70">
        <v>3</v>
      </c>
      <c r="E34" s="61">
        <v>4.82</v>
      </c>
      <c r="F34" s="61">
        <v>3</v>
      </c>
      <c r="G34" s="64">
        <v>5.42</v>
      </c>
      <c r="H34" s="101">
        <v>2.04</v>
      </c>
      <c r="I34" s="105">
        <v>2</v>
      </c>
      <c r="J34" s="62">
        <v>3.98</v>
      </c>
      <c r="K34" s="62">
        <v>2</v>
      </c>
      <c r="L34" s="64">
        <v>4.38</v>
      </c>
      <c r="M34" s="62">
        <v>9.8000000000000007</v>
      </c>
      <c r="N34" s="101">
        <v>2.16</v>
      </c>
      <c r="O34" s="110"/>
      <c r="Q34" t="s">
        <v>372</v>
      </c>
      <c r="R34" t="s">
        <v>372</v>
      </c>
    </row>
    <row r="35" spans="1:18" ht="24.95" customHeight="1" x14ac:dyDescent="0.2">
      <c r="A35" s="114">
        <v>34</v>
      </c>
      <c r="B35" s="63">
        <v>9</v>
      </c>
      <c r="C35" s="115" t="s">
        <v>284</v>
      </c>
      <c r="D35" s="70">
        <v>2</v>
      </c>
      <c r="E35" s="61">
        <v>4.34</v>
      </c>
      <c r="F35" s="61">
        <v>2</v>
      </c>
      <c r="G35" s="64">
        <v>4.74</v>
      </c>
      <c r="H35" s="101">
        <v>2.2200000000000002</v>
      </c>
      <c r="I35" s="105">
        <v>2</v>
      </c>
      <c r="J35" s="62">
        <v>4.4400000000000004</v>
      </c>
      <c r="K35" s="62">
        <v>2</v>
      </c>
      <c r="L35" s="64">
        <v>4.84</v>
      </c>
      <c r="M35" s="62">
        <v>9.58</v>
      </c>
      <c r="N35" s="101">
        <v>2.2200000000000002</v>
      </c>
      <c r="O35" s="110"/>
      <c r="Q35" t="s">
        <v>372</v>
      </c>
    </row>
    <row r="36" spans="1:18" ht="24.95" customHeight="1" x14ac:dyDescent="0.2">
      <c r="A36" s="70">
        <v>35</v>
      </c>
      <c r="B36" s="63">
        <v>9</v>
      </c>
      <c r="C36" s="115" t="s">
        <v>284</v>
      </c>
      <c r="D36" s="70">
        <v>2</v>
      </c>
      <c r="E36" s="61">
        <v>4.34</v>
      </c>
      <c r="F36" s="61">
        <v>2</v>
      </c>
      <c r="G36" s="64">
        <v>4.74</v>
      </c>
      <c r="H36" s="101">
        <v>2.2200000000000002</v>
      </c>
      <c r="I36" s="105">
        <v>2</v>
      </c>
      <c r="J36" s="62">
        <v>4.4400000000000004</v>
      </c>
      <c r="K36" s="62">
        <v>2</v>
      </c>
      <c r="L36" s="64">
        <v>4.84</v>
      </c>
      <c r="M36" s="62">
        <v>9.58</v>
      </c>
      <c r="N36" s="101">
        <v>2.2200000000000002</v>
      </c>
      <c r="O36" s="110"/>
      <c r="Q36" t="s">
        <v>372</v>
      </c>
      <c r="R36" t="s">
        <v>372</v>
      </c>
    </row>
    <row r="37" spans="1:18" ht="24.95" customHeight="1" x14ac:dyDescent="0.2">
      <c r="A37" s="114">
        <v>36</v>
      </c>
      <c r="B37" s="63">
        <v>44</v>
      </c>
      <c r="C37" s="116" t="s">
        <v>239</v>
      </c>
      <c r="D37" s="70">
        <v>2</v>
      </c>
      <c r="E37" s="61">
        <v>3.96</v>
      </c>
      <c r="F37" s="61">
        <v>2</v>
      </c>
      <c r="G37" s="64">
        <v>4.3600000000000003</v>
      </c>
      <c r="H37" s="101">
        <v>2</v>
      </c>
      <c r="I37" s="105">
        <v>2</v>
      </c>
      <c r="J37" s="62">
        <v>4.78</v>
      </c>
      <c r="K37" s="62">
        <v>2</v>
      </c>
      <c r="L37" s="64">
        <v>5.18</v>
      </c>
      <c r="M37" s="62">
        <v>9.5399999999999991</v>
      </c>
      <c r="N37" s="101">
        <v>2.64</v>
      </c>
      <c r="O37" s="110"/>
      <c r="Q37" t="s">
        <v>372</v>
      </c>
    </row>
    <row r="38" spans="1:18" ht="24.95" customHeight="1" x14ac:dyDescent="0.2">
      <c r="A38" s="70">
        <v>37</v>
      </c>
      <c r="B38" s="63">
        <v>44</v>
      </c>
      <c r="C38" s="116" t="s">
        <v>239</v>
      </c>
      <c r="D38" s="70">
        <v>2</v>
      </c>
      <c r="E38" s="61">
        <v>3.96</v>
      </c>
      <c r="F38" s="61">
        <v>2</v>
      </c>
      <c r="G38" s="64">
        <v>4.3600000000000003</v>
      </c>
      <c r="H38" s="101">
        <v>2</v>
      </c>
      <c r="I38" s="105">
        <v>2</v>
      </c>
      <c r="J38" s="62">
        <v>4.78</v>
      </c>
      <c r="K38" s="62">
        <v>2</v>
      </c>
      <c r="L38" s="64">
        <v>5.18</v>
      </c>
      <c r="M38" s="62">
        <v>9.5399999999999991</v>
      </c>
      <c r="N38" s="101">
        <v>2.64</v>
      </c>
      <c r="O38" s="110"/>
      <c r="Q38" t="s">
        <v>372</v>
      </c>
    </row>
    <row r="39" spans="1:18" ht="24.95" customHeight="1" x14ac:dyDescent="0.2">
      <c r="A39" s="114">
        <v>38</v>
      </c>
      <c r="B39" s="63">
        <v>37</v>
      </c>
      <c r="C39" s="116" t="s">
        <v>302</v>
      </c>
      <c r="D39" s="70">
        <v>2</v>
      </c>
      <c r="E39" s="61">
        <v>5.62</v>
      </c>
      <c r="F39" s="61">
        <v>2</v>
      </c>
      <c r="G39" s="64">
        <v>6.02</v>
      </c>
      <c r="H39" s="101">
        <v>3.54</v>
      </c>
      <c r="I39" s="105">
        <v>2</v>
      </c>
      <c r="J39" s="62">
        <v>3.06</v>
      </c>
      <c r="K39" s="62">
        <v>2</v>
      </c>
      <c r="L39" s="64">
        <v>3.46</v>
      </c>
      <c r="M39" s="62">
        <v>9.48</v>
      </c>
      <c r="N39" s="101">
        <v>1.96</v>
      </c>
      <c r="O39" s="110"/>
    </row>
    <row r="40" spans="1:18" ht="24.95" customHeight="1" x14ac:dyDescent="0.2">
      <c r="A40" s="114">
        <v>39</v>
      </c>
      <c r="B40" s="63">
        <v>54</v>
      </c>
      <c r="C40" s="116" t="s">
        <v>359</v>
      </c>
      <c r="D40" s="70">
        <v>3</v>
      </c>
      <c r="E40" s="61">
        <v>4.8</v>
      </c>
      <c r="F40" s="61">
        <v>3</v>
      </c>
      <c r="G40" s="64">
        <v>5.4</v>
      </c>
      <c r="H40" s="101">
        <v>1.94</v>
      </c>
      <c r="I40" s="105">
        <v>2</v>
      </c>
      <c r="J40" s="62">
        <v>3.66</v>
      </c>
      <c r="K40" s="62">
        <v>2</v>
      </c>
      <c r="L40" s="64">
        <v>4.0599999999999996</v>
      </c>
      <c r="M40" s="62">
        <v>9.4600000000000009</v>
      </c>
      <c r="N40" s="101">
        <v>1.9</v>
      </c>
      <c r="O40" s="110"/>
      <c r="Q40" t="s">
        <v>372</v>
      </c>
      <c r="R40" t="s">
        <v>372</v>
      </c>
    </row>
    <row r="41" spans="1:18" ht="24.95" customHeight="1" x14ac:dyDescent="0.2">
      <c r="A41" s="114">
        <v>40</v>
      </c>
      <c r="B41" s="63">
        <v>61</v>
      </c>
      <c r="C41" s="116" t="s">
        <v>363</v>
      </c>
      <c r="D41" s="70">
        <v>2</v>
      </c>
      <c r="E41" s="61">
        <v>4.5999999999999996</v>
      </c>
      <c r="F41" s="61">
        <v>2</v>
      </c>
      <c r="G41" s="64">
        <v>5</v>
      </c>
      <c r="H41" s="101">
        <v>2.5</v>
      </c>
      <c r="I41" s="105">
        <v>2</v>
      </c>
      <c r="J41" s="62">
        <v>3.94</v>
      </c>
      <c r="K41" s="62">
        <v>2</v>
      </c>
      <c r="L41" s="64">
        <v>4.34</v>
      </c>
      <c r="M41" s="62">
        <v>9.34</v>
      </c>
      <c r="N41" s="101">
        <v>1.98</v>
      </c>
      <c r="O41" s="110"/>
      <c r="Q41" t="s">
        <v>372</v>
      </c>
      <c r="R41" t="s">
        <v>372</v>
      </c>
    </row>
    <row r="42" spans="1:18" ht="24.95" customHeight="1" x14ac:dyDescent="0.2">
      <c r="A42" s="114">
        <v>42</v>
      </c>
      <c r="B42" s="63">
        <v>50</v>
      </c>
      <c r="C42" s="116" t="s">
        <v>356</v>
      </c>
      <c r="D42" s="70">
        <v>2</v>
      </c>
      <c r="E42" s="61">
        <v>3.88</v>
      </c>
      <c r="F42" s="61">
        <v>2</v>
      </c>
      <c r="G42" s="64">
        <v>4.28</v>
      </c>
      <c r="H42" s="101">
        <v>2.06</v>
      </c>
      <c r="I42" s="105">
        <v>2</v>
      </c>
      <c r="J42" s="62">
        <v>4.62</v>
      </c>
      <c r="K42" s="62">
        <v>2</v>
      </c>
      <c r="L42" s="64">
        <v>5.0199999999999996</v>
      </c>
      <c r="M42" s="62">
        <v>9.3000000000000007</v>
      </c>
      <c r="N42" s="101">
        <v>2.44</v>
      </c>
      <c r="O42" s="110"/>
      <c r="Q42" t="s">
        <v>372</v>
      </c>
      <c r="R42" t="s">
        <v>372</v>
      </c>
    </row>
    <row r="43" spans="1:18" ht="24.95" customHeight="1" x14ac:dyDescent="0.2">
      <c r="A43" s="114">
        <v>41</v>
      </c>
      <c r="B43" s="63">
        <v>56</v>
      </c>
      <c r="C43" s="116" t="s">
        <v>263</v>
      </c>
      <c r="D43" s="70">
        <v>2</v>
      </c>
      <c r="E43" s="61">
        <v>3.88</v>
      </c>
      <c r="F43" s="61">
        <v>2</v>
      </c>
      <c r="G43" s="64">
        <v>4.28</v>
      </c>
      <c r="H43" s="101">
        <v>1.96</v>
      </c>
      <c r="I43" s="105">
        <v>2</v>
      </c>
      <c r="J43" s="62">
        <v>4.62</v>
      </c>
      <c r="K43" s="62">
        <v>2</v>
      </c>
      <c r="L43" s="64">
        <v>5.0199999999999996</v>
      </c>
      <c r="M43" s="62">
        <v>9.3000000000000007</v>
      </c>
      <c r="N43" s="101">
        <v>2.64</v>
      </c>
      <c r="O43" s="110"/>
    </row>
    <row r="44" spans="1:18" ht="24.95" customHeight="1" x14ac:dyDescent="0.2">
      <c r="A44" s="114">
        <v>43</v>
      </c>
      <c r="B44" s="63">
        <v>12</v>
      </c>
      <c r="C44" s="116" t="s">
        <v>224</v>
      </c>
      <c r="D44" s="70">
        <v>2</v>
      </c>
      <c r="E44" s="61">
        <v>4.08</v>
      </c>
      <c r="F44" s="61">
        <v>2</v>
      </c>
      <c r="G44" s="64">
        <v>4.4800000000000004</v>
      </c>
      <c r="H44" s="101">
        <v>2.1800000000000002</v>
      </c>
      <c r="I44" s="105">
        <v>2</v>
      </c>
      <c r="J44" s="62">
        <v>4.08</v>
      </c>
      <c r="K44" s="62">
        <v>2</v>
      </c>
      <c r="L44" s="64">
        <v>4.4800000000000004</v>
      </c>
      <c r="M44" s="62">
        <v>8.9600000000000009</v>
      </c>
      <c r="N44" s="101">
        <v>2.12</v>
      </c>
      <c r="O44" s="110"/>
      <c r="Q44" t="s">
        <v>372</v>
      </c>
      <c r="R44" t="s">
        <v>372</v>
      </c>
    </row>
    <row r="45" spans="1:18" ht="24.95" customHeight="1" x14ac:dyDescent="0.2">
      <c r="A45" s="114">
        <v>44</v>
      </c>
      <c r="B45" s="63">
        <v>58</v>
      </c>
      <c r="C45" s="116" t="s">
        <v>361</v>
      </c>
      <c r="D45" s="70">
        <v>2</v>
      </c>
      <c r="E45" s="61">
        <v>4.54</v>
      </c>
      <c r="F45" s="61">
        <v>2</v>
      </c>
      <c r="G45" s="64">
        <v>4.9400000000000004</v>
      </c>
      <c r="H45" s="101">
        <v>2.52</v>
      </c>
      <c r="I45" s="105">
        <v>2</v>
      </c>
      <c r="J45" s="62">
        <v>3.6</v>
      </c>
      <c r="K45" s="62">
        <v>2</v>
      </c>
      <c r="L45" s="64">
        <v>4</v>
      </c>
      <c r="M45" s="62">
        <v>8.94</v>
      </c>
      <c r="N45" s="101">
        <v>1.84</v>
      </c>
      <c r="O45" s="110"/>
      <c r="Q45" t="s">
        <v>372</v>
      </c>
      <c r="R45" t="s">
        <v>372</v>
      </c>
    </row>
    <row r="46" spans="1:18" ht="24.95" customHeight="1" x14ac:dyDescent="0.2">
      <c r="A46" s="114">
        <v>45</v>
      </c>
      <c r="B46" s="63">
        <v>16</v>
      </c>
      <c r="C46" s="116" t="s">
        <v>339</v>
      </c>
      <c r="D46" s="70">
        <v>2</v>
      </c>
      <c r="E46" s="61">
        <v>4.1399999999999997</v>
      </c>
      <c r="F46" s="61">
        <v>2</v>
      </c>
      <c r="G46" s="64">
        <v>4.54</v>
      </c>
      <c r="H46" s="101">
        <v>2.2999999999999998</v>
      </c>
      <c r="I46" s="105">
        <v>2</v>
      </c>
      <c r="J46" s="62">
        <v>3.96</v>
      </c>
      <c r="K46" s="62">
        <v>1</v>
      </c>
      <c r="L46" s="64">
        <v>4.16</v>
      </c>
      <c r="M46" s="62">
        <v>8.6999999999999993</v>
      </c>
      <c r="N46" s="101">
        <v>2.1</v>
      </c>
      <c r="O46" s="110"/>
      <c r="Q46" t="s">
        <v>372</v>
      </c>
      <c r="R46" t="s">
        <v>372</v>
      </c>
    </row>
    <row r="47" spans="1:18" ht="24.95" customHeight="1" x14ac:dyDescent="0.2">
      <c r="A47" s="114">
        <v>46</v>
      </c>
      <c r="B47" s="63">
        <v>11</v>
      </c>
      <c r="C47" s="116" t="s">
        <v>219</v>
      </c>
      <c r="D47" s="70">
        <v>2</v>
      </c>
      <c r="E47" s="61">
        <v>3.9</v>
      </c>
      <c r="F47" s="61">
        <v>2</v>
      </c>
      <c r="G47" s="64">
        <v>4.3</v>
      </c>
      <c r="H47" s="101">
        <v>2.2999999999999998</v>
      </c>
      <c r="I47" s="105">
        <v>2</v>
      </c>
      <c r="J47" s="62">
        <v>3.72</v>
      </c>
      <c r="K47" s="62">
        <v>2</v>
      </c>
      <c r="L47" s="64">
        <v>4.12</v>
      </c>
      <c r="M47" s="62">
        <v>8.42</v>
      </c>
      <c r="N47" s="101">
        <v>1.94</v>
      </c>
      <c r="O47" s="110"/>
      <c r="Q47" t="s">
        <v>372</v>
      </c>
      <c r="R47" t="s">
        <v>372</v>
      </c>
    </row>
    <row r="48" spans="1:18" ht="24.95" customHeight="1" x14ac:dyDescent="0.2">
      <c r="A48" s="114">
        <v>47</v>
      </c>
      <c r="B48" s="63">
        <v>34</v>
      </c>
      <c r="C48" s="116" t="s">
        <v>323</v>
      </c>
      <c r="D48" s="70">
        <v>3</v>
      </c>
      <c r="E48" s="61">
        <v>4.92</v>
      </c>
      <c r="F48" s="61">
        <v>3</v>
      </c>
      <c r="G48" s="64">
        <v>5.52</v>
      </c>
      <c r="H48" s="101">
        <v>1.96</v>
      </c>
      <c r="I48" s="105">
        <v>1</v>
      </c>
      <c r="J48" s="62">
        <v>2.4</v>
      </c>
      <c r="K48" s="62">
        <v>1</v>
      </c>
      <c r="L48" s="64">
        <v>2.6</v>
      </c>
      <c r="M48" s="62">
        <v>8.1199999999999992</v>
      </c>
      <c r="N48" s="101">
        <v>2.4</v>
      </c>
      <c r="O48" s="110"/>
      <c r="Q48" t="s">
        <v>372</v>
      </c>
      <c r="R48" t="s">
        <v>372</v>
      </c>
    </row>
    <row r="49" spans="1:18" ht="24.95" customHeight="1" x14ac:dyDescent="0.2">
      <c r="A49" s="114">
        <v>48</v>
      </c>
      <c r="B49" s="63">
        <v>45</v>
      </c>
      <c r="C49" s="116" t="s">
        <v>353</v>
      </c>
      <c r="D49" s="70">
        <v>2</v>
      </c>
      <c r="E49" s="61">
        <v>3.14</v>
      </c>
      <c r="F49" s="61">
        <v>2</v>
      </c>
      <c r="G49" s="64">
        <v>3.54</v>
      </c>
      <c r="H49" s="101">
        <v>2.14</v>
      </c>
      <c r="I49" s="105">
        <v>2</v>
      </c>
      <c r="J49" s="62">
        <v>4.0599999999999996</v>
      </c>
      <c r="K49" s="62">
        <v>2</v>
      </c>
      <c r="L49" s="64">
        <v>4.46</v>
      </c>
      <c r="M49" s="62">
        <v>8</v>
      </c>
      <c r="N49" s="101">
        <v>2.3199999999999998</v>
      </c>
      <c r="O49" s="110"/>
      <c r="Q49" t="s">
        <v>372</v>
      </c>
      <c r="R49" t="s">
        <v>372</v>
      </c>
    </row>
    <row r="50" spans="1:18" ht="24.95" customHeight="1" x14ac:dyDescent="0.2">
      <c r="A50" s="114">
        <v>49</v>
      </c>
      <c r="B50" s="63">
        <v>4</v>
      </c>
      <c r="C50" s="115" t="s">
        <v>202</v>
      </c>
      <c r="D50" s="70">
        <v>3</v>
      </c>
      <c r="E50" s="61">
        <v>5.24</v>
      </c>
      <c r="F50" s="61">
        <v>3</v>
      </c>
      <c r="G50" s="64">
        <v>5.84</v>
      </c>
      <c r="H50" s="101">
        <v>2.5</v>
      </c>
      <c r="I50" s="105">
        <v>1</v>
      </c>
      <c r="J50" s="62">
        <v>1.94</v>
      </c>
      <c r="K50" s="62">
        <v>1</v>
      </c>
      <c r="L50" s="64">
        <v>2.14</v>
      </c>
      <c r="M50" s="62">
        <v>7.98</v>
      </c>
      <c r="N50" s="101">
        <v>1.94</v>
      </c>
      <c r="O50" s="110"/>
      <c r="Q50" t="s">
        <v>372</v>
      </c>
    </row>
    <row r="51" spans="1:18" ht="24.95" customHeight="1" x14ac:dyDescent="0.2">
      <c r="A51" s="114">
        <v>50</v>
      </c>
      <c r="B51" s="63">
        <v>6</v>
      </c>
      <c r="C51" s="115" t="s">
        <v>287</v>
      </c>
      <c r="D51" s="70">
        <v>1</v>
      </c>
      <c r="E51" s="61">
        <v>2.44</v>
      </c>
      <c r="F51" s="61">
        <v>1</v>
      </c>
      <c r="G51" s="64">
        <v>2.64</v>
      </c>
      <c r="H51" s="101">
        <v>2.44</v>
      </c>
      <c r="I51" s="105">
        <v>2</v>
      </c>
      <c r="J51" s="62">
        <v>4.92</v>
      </c>
      <c r="K51" s="62">
        <v>2</v>
      </c>
      <c r="L51" s="64">
        <v>5.32</v>
      </c>
      <c r="M51" s="62">
        <v>7.96</v>
      </c>
      <c r="N51" s="101">
        <v>2.5</v>
      </c>
      <c r="O51" s="110"/>
      <c r="Q51" t="s">
        <v>372</v>
      </c>
      <c r="R51" t="s">
        <v>372</v>
      </c>
    </row>
    <row r="52" spans="1:18" ht="24.95" customHeight="1" x14ac:dyDescent="0.2">
      <c r="A52" s="114">
        <v>51</v>
      </c>
      <c r="B52" s="63">
        <v>52</v>
      </c>
      <c r="C52" s="116" t="s">
        <v>358</v>
      </c>
      <c r="D52" s="70">
        <v>3</v>
      </c>
      <c r="E52" s="61">
        <v>4.82</v>
      </c>
      <c r="F52" s="61">
        <v>3</v>
      </c>
      <c r="G52" s="64">
        <v>5.42</v>
      </c>
      <c r="H52" s="101">
        <v>1.98</v>
      </c>
      <c r="I52" s="105">
        <v>2</v>
      </c>
      <c r="J52" s="62">
        <v>1.9</v>
      </c>
      <c r="K52" s="62">
        <v>2</v>
      </c>
      <c r="L52" s="64">
        <v>2.2999999999999998</v>
      </c>
      <c r="M52" s="62">
        <v>7.72</v>
      </c>
      <c r="N52" s="101">
        <v>1.02</v>
      </c>
      <c r="O52" s="110"/>
      <c r="Q52" t="s">
        <v>372</v>
      </c>
      <c r="R52" t="s">
        <v>372</v>
      </c>
    </row>
    <row r="53" spans="1:18" ht="24.95" customHeight="1" x14ac:dyDescent="0.2">
      <c r="A53" s="114">
        <v>52</v>
      </c>
      <c r="B53" s="63">
        <v>24</v>
      </c>
      <c r="C53" s="116" t="s">
        <v>253</v>
      </c>
      <c r="D53" s="70">
        <v>2</v>
      </c>
      <c r="E53" s="61">
        <v>3.04</v>
      </c>
      <c r="F53" s="61">
        <v>2</v>
      </c>
      <c r="G53" s="64">
        <v>3.44</v>
      </c>
      <c r="H53" s="101">
        <v>2.2799999999999998</v>
      </c>
      <c r="I53" s="105">
        <v>2</v>
      </c>
      <c r="J53" s="62">
        <v>3.86</v>
      </c>
      <c r="K53" s="62">
        <v>2</v>
      </c>
      <c r="L53" s="64">
        <v>4.26</v>
      </c>
      <c r="M53" s="62">
        <v>7.7</v>
      </c>
      <c r="N53" s="101">
        <v>2.12</v>
      </c>
      <c r="O53" s="110"/>
      <c r="Q53" t="s">
        <v>372</v>
      </c>
      <c r="R53" t="s">
        <v>372</v>
      </c>
    </row>
    <row r="54" spans="1:18" ht="24.95" customHeight="1" x14ac:dyDescent="0.2">
      <c r="A54" s="114">
        <v>53</v>
      </c>
      <c r="B54" s="63">
        <v>51</v>
      </c>
      <c r="C54" s="116" t="s">
        <v>357</v>
      </c>
      <c r="D54" s="70">
        <v>1</v>
      </c>
      <c r="E54" s="61">
        <v>2</v>
      </c>
      <c r="F54" s="61">
        <v>1</v>
      </c>
      <c r="G54" s="64">
        <v>2.2000000000000002</v>
      </c>
      <c r="H54" s="101">
        <v>2</v>
      </c>
      <c r="I54" s="105">
        <v>2</v>
      </c>
      <c r="J54" s="62">
        <v>4.66</v>
      </c>
      <c r="K54" s="62">
        <v>2</v>
      </c>
      <c r="L54" s="64">
        <v>5.0599999999999996</v>
      </c>
      <c r="M54" s="62">
        <v>7.26</v>
      </c>
      <c r="N54" s="101">
        <v>2.56</v>
      </c>
      <c r="O54" s="110"/>
      <c r="Q54" t="s">
        <v>372</v>
      </c>
    </row>
    <row r="55" spans="1:18" ht="24.95" customHeight="1" x14ac:dyDescent="0.2">
      <c r="A55" s="114">
        <v>54</v>
      </c>
      <c r="B55" s="63">
        <v>43</v>
      </c>
      <c r="C55" s="116" t="s">
        <v>352</v>
      </c>
      <c r="D55" s="70">
        <v>1</v>
      </c>
      <c r="E55" s="61">
        <v>1.88</v>
      </c>
      <c r="F55" s="61">
        <v>1</v>
      </c>
      <c r="G55" s="64">
        <v>2.08</v>
      </c>
      <c r="H55" s="101">
        <v>1.88</v>
      </c>
      <c r="I55" s="105">
        <v>3</v>
      </c>
      <c r="J55" s="62">
        <v>4.42</v>
      </c>
      <c r="K55" s="62">
        <v>3</v>
      </c>
      <c r="L55" s="64">
        <v>5.0199999999999996</v>
      </c>
      <c r="M55" s="62">
        <v>7.1</v>
      </c>
      <c r="N55" s="101">
        <v>1.94</v>
      </c>
      <c r="O55" s="110"/>
      <c r="Q55" t="s">
        <v>372</v>
      </c>
      <c r="R55" t="s">
        <v>372</v>
      </c>
    </row>
    <row r="56" spans="1:18" ht="24.95" customHeight="1" x14ac:dyDescent="0.2">
      <c r="A56" s="114">
        <v>55</v>
      </c>
      <c r="B56" s="63">
        <v>23</v>
      </c>
      <c r="C56" s="116" t="s">
        <v>296</v>
      </c>
      <c r="D56" s="70">
        <v>2</v>
      </c>
      <c r="E56" s="61">
        <v>4.4800000000000004</v>
      </c>
      <c r="F56" s="61">
        <v>2</v>
      </c>
      <c r="G56" s="64">
        <v>4.88</v>
      </c>
      <c r="H56" s="101">
        <v>2.38</v>
      </c>
      <c r="I56" s="105">
        <v>1</v>
      </c>
      <c r="J56" s="62">
        <v>1.94</v>
      </c>
      <c r="K56" s="62">
        <v>1</v>
      </c>
      <c r="L56" s="64">
        <v>2.14</v>
      </c>
      <c r="M56" s="62">
        <v>7.02</v>
      </c>
      <c r="N56" s="101">
        <v>1.94</v>
      </c>
      <c r="O56" s="110"/>
      <c r="Q56" t="s">
        <v>372</v>
      </c>
      <c r="R56" t="s">
        <v>372</v>
      </c>
    </row>
    <row r="57" spans="1:18" ht="24.95" customHeight="1" x14ac:dyDescent="0.2">
      <c r="A57" s="114">
        <v>57</v>
      </c>
      <c r="B57" s="63">
        <v>21</v>
      </c>
      <c r="C57" s="116" t="s">
        <v>342</v>
      </c>
      <c r="D57" s="70">
        <v>1</v>
      </c>
      <c r="E57" s="61">
        <v>1.88</v>
      </c>
      <c r="F57" s="61">
        <v>1</v>
      </c>
      <c r="G57" s="64">
        <v>2.08</v>
      </c>
      <c r="H57" s="101">
        <v>1.88</v>
      </c>
      <c r="I57" s="105">
        <v>2</v>
      </c>
      <c r="J57" s="62">
        <v>4.26</v>
      </c>
      <c r="K57" s="62">
        <v>2</v>
      </c>
      <c r="L57" s="64">
        <v>4.66</v>
      </c>
      <c r="M57" s="62">
        <v>6.74</v>
      </c>
      <c r="N57" s="101">
        <v>2.2200000000000002</v>
      </c>
      <c r="O57" s="110"/>
      <c r="Q57" t="s">
        <v>372</v>
      </c>
      <c r="R57" t="s">
        <v>372</v>
      </c>
    </row>
    <row r="58" spans="1:18" ht="24.95" customHeight="1" x14ac:dyDescent="0.2">
      <c r="A58" s="114">
        <v>56</v>
      </c>
      <c r="B58" s="63">
        <v>74</v>
      </c>
      <c r="C58" s="116" t="s">
        <v>226</v>
      </c>
      <c r="D58" s="70">
        <v>1</v>
      </c>
      <c r="E58" s="61">
        <v>2.02</v>
      </c>
      <c r="F58" s="61">
        <v>1</v>
      </c>
      <c r="G58" s="64">
        <v>2.2200000000000002</v>
      </c>
      <c r="H58" s="101">
        <v>2.02</v>
      </c>
      <c r="I58" s="105">
        <v>2</v>
      </c>
      <c r="J58" s="62">
        <v>4.12</v>
      </c>
      <c r="K58" s="62">
        <v>2</v>
      </c>
      <c r="L58" s="64">
        <v>4.5199999999999996</v>
      </c>
      <c r="M58" s="62">
        <v>6.74</v>
      </c>
      <c r="N58" s="101">
        <v>2.3199999999999998</v>
      </c>
      <c r="O58" s="110"/>
      <c r="Q58" t="s">
        <v>372</v>
      </c>
      <c r="R58" t="s">
        <v>372</v>
      </c>
    </row>
    <row r="59" spans="1:18" ht="24.95" customHeight="1" x14ac:dyDescent="0.2">
      <c r="A59" s="114">
        <v>58</v>
      </c>
      <c r="B59" s="63">
        <v>46</v>
      </c>
      <c r="C59" s="116" t="s">
        <v>354</v>
      </c>
      <c r="D59" s="70">
        <v>2</v>
      </c>
      <c r="E59" s="61">
        <v>3.98</v>
      </c>
      <c r="F59" s="61">
        <v>2</v>
      </c>
      <c r="G59" s="64">
        <v>4.38</v>
      </c>
      <c r="H59" s="101">
        <v>2.02</v>
      </c>
      <c r="I59" s="105">
        <v>1</v>
      </c>
      <c r="J59" s="62">
        <v>2.06</v>
      </c>
      <c r="K59" s="62">
        <v>1</v>
      </c>
      <c r="L59" s="64">
        <v>2.2599999999999998</v>
      </c>
      <c r="M59" s="62">
        <v>6.64</v>
      </c>
      <c r="N59" s="101">
        <v>2.06</v>
      </c>
      <c r="O59" s="110"/>
      <c r="Q59" t="s">
        <v>372</v>
      </c>
      <c r="R59" t="s">
        <v>372</v>
      </c>
    </row>
    <row r="60" spans="1:18" ht="24.95" customHeight="1" x14ac:dyDescent="0.2">
      <c r="A60" s="114">
        <v>59</v>
      </c>
      <c r="B60" s="63">
        <v>14</v>
      </c>
      <c r="C60" s="116" t="s">
        <v>258</v>
      </c>
      <c r="D60" s="70">
        <v>2</v>
      </c>
      <c r="E60" s="61">
        <v>4.76</v>
      </c>
      <c r="F60" s="61">
        <v>2</v>
      </c>
      <c r="G60" s="64">
        <v>5.16</v>
      </c>
      <c r="H60" s="101">
        <v>2.68</v>
      </c>
      <c r="I60" s="105">
        <v>1</v>
      </c>
      <c r="J60" s="62">
        <v>1</v>
      </c>
      <c r="K60" s="62">
        <v>1</v>
      </c>
      <c r="L60" s="64">
        <v>1.2</v>
      </c>
      <c r="M60" s="62">
        <v>6.36</v>
      </c>
      <c r="N60" s="101">
        <v>1</v>
      </c>
      <c r="O60" s="110"/>
      <c r="Q60" t="s">
        <v>372</v>
      </c>
      <c r="R60" t="s">
        <v>372</v>
      </c>
    </row>
    <row r="61" spans="1:18" ht="24.95" customHeight="1" x14ac:dyDescent="0.2">
      <c r="A61" s="114">
        <v>60</v>
      </c>
      <c r="B61" s="63">
        <v>26</v>
      </c>
      <c r="C61" s="116" t="s">
        <v>246</v>
      </c>
      <c r="D61" s="70">
        <v>2</v>
      </c>
      <c r="E61" s="61">
        <v>3.98</v>
      </c>
      <c r="F61" s="61">
        <v>2</v>
      </c>
      <c r="G61" s="64">
        <v>4.38</v>
      </c>
      <c r="H61" s="101">
        <v>2.12</v>
      </c>
      <c r="I61" s="105">
        <v>1</v>
      </c>
      <c r="J61" s="62">
        <v>0.8</v>
      </c>
      <c r="K61" s="62">
        <v>1</v>
      </c>
      <c r="L61" s="64">
        <v>1</v>
      </c>
      <c r="M61" s="62">
        <v>5.38</v>
      </c>
      <c r="N61" s="101">
        <v>0.8</v>
      </c>
      <c r="O61" s="110"/>
      <c r="Q61" t="s">
        <v>372</v>
      </c>
    </row>
    <row r="62" spans="1:18" ht="24.95" customHeight="1" x14ac:dyDescent="0.2">
      <c r="A62" s="114">
        <v>61</v>
      </c>
      <c r="B62" s="63">
        <v>10</v>
      </c>
      <c r="C62" s="116" t="s">
        <v>337</v>
      </c>
      <c r="D62" s="70">
        <v>2</v>
      </c>
      <c r="E62" s="61">
        <v>3.7</v>
      </c>
      <c r="F62" s="61">
        <v>2</v>
      </c>
      <c r="G62" s="64">
        <v>4.0999999999999996</v>
      </c>
      <c r="H62" s="101">
        <v>1.78</v>
      </c>
      <c r="I62" s="105">
        <v>1</v>
      </c>
      <c r="J62" s="62">
        <v>0.96</v>
      </c>
      <c r="K62" s="62">
        <v>1</v>
      </c>
      <c r="L62" s="64">
        <v>1.1599999999999999</v>
      </c>
      <c r="M62" s="62">
        <v>5.26</v>
      </c>
      <c r="N62" s="101">
        <v>0.96</v>
      </c>
      <c r="O62" s="110"/>
      <c r="Q62" t="s">
        <v>372</v>
      </c>
      <c r="R62" t="s">
        <v>372</v>
      </c>
    </row>
    <row r="63" spans="1:18" ht="24.95" customHeight="1" x14ac:dyDescent="0.2">
      <c r="A63" s="114">
        <v>62</v>
      </c>
      <c r="B63" s="63">
        <v>62</v>
      </c>
      <c r="C63" s="116" t="s">
        <v>364</v>
      </c>
      <c r="D63" s="70">
        <v>3</v>
      </c>
      <c r="E63" s="61">
        <v>4.62</v>
      </c>
      <c r="F63" s="61">
        <v>3</v>
      </c>
      <c r="G63" s="64">
        <v>5.22</v>
      </c>
      <c r="H63" s="101">
        <v>1.94</v>
      </c>
      <c r="I63" s="105">
        <v>0</v>
      </c>
      <c r="J63" s="62">
        <v>0</v>
      </c>
      <c r="K63" s="62">
        <v>0</v>
      </c>
      <c r="L63" s="64">
        <v>0</v>
      </c>
      <c r="M63" s="62">
        <v>5.22</v>
      </c>
      <c r="N63" s="101">
        <v>0</v>
      </c>
      <c r="O63" s="110"/>
      <c r="Q63" t="s">
        <v>372</v>
      </c>
    </row>
    <row r="64" spans="1:18" ht="24.95" customHeight="1" x14ac:dyDescent="0.2">
      <c r="A64" s="114">
        <v>63</v>
      </c>
      <c r="B64" s="63">
        <v>41</v>
      </c>
      <c r="C64" s="116" t="s">
        <v>350</v>
      </c>
      <c r="D64" s="70">
        <v>0</v>
      </c>
      <c r="E64" s="61">
        <v>0</v>
      </c>
      <c r="F64" s="61">
        <v>0</v>
      </c>
      <c r="G64" s="64">
        <v>0</v>
      </c>
      <c r="H64" s="101">
        <v>0</v>
      </c>
      <c r="I64" s="105">
        <v>2</v>
      </c>
      <c r="J64" s="62">
        <v>4.16</v>
      </c>
      <c r="K64" s="62">
        <v>2</v>
      </c>
      <c r="L64" s="64">
        <v>4.5599999999999996</v>
      </c>
      <c r="M64" s="62">
        <v>4.5599999999999996</v>
      </c>
      <c r="N64" s="101">
        <v>2.34</v>
      </c>
      <c r="O64" s="110"/>
      <c r="Q64" t="s">
        <v>372</v>
      </c>
      <c r="R64" t="s">
        <v>372</v>
      </c>
    </row>
    <row r="65" spans="1:18" ht="24.95" customHeight="1" x14ac:dyDescent="0.2">
      <c r="A65" s="114">
        <v>64</v>
      </c>
      <c r="B65" s="63">
        <v>48</v>
      </c>
      <c r="C65" s="116" t="s">
        <v>316</v>
      </c>
      <c r="D65" s="70">
        <v>0</v>
      </c>
      <c r="E65" s="61">
        <v>0</v>
      </c>
      <c r="F65" s="61">
        <v>0</v>
      </c>
      <c r="G65" s="64">
        <v>0</v>
      </c>
      <c r="H65" s="101">
        <v>0</v>
      </c>
      <c r="I65" s="105">
        <v>2</v>
      </c>
      <c r="J65" s="62">
        <v>4.16</v>
      </c>
      <c r="K65" s="62">
        <v>2</v>
      </c>
      <c r="L65" s="64">
        <v>4.5599999999999996</v>
      </c>
      <c r="M65" s="62">
        <v>4.5599999999999996</v>
      </c>
      <c r="N65" s="101">
        <v>2.2400000000000002</v>
      </c>
      <c r="O65" s="110"/>
    </row>
    <row r="66" spans="1:18" ht="24.95" customHeight="1" x14ac:dyDescent="0.2">
      <c r="A66" s="114">
        <v>65</v>
      </c>
      <c r="B66" s="63">
        <v>72</v>
      </c>
      <c r="C66" s="116" t="s">
        <v>369</v>
      </c>
      <c r="D66" s="70">
        <v>2</v>
      </c>
      <c r="E66" s="61">
        <v>3.84</v>
      </c>
      <c r="F66" s="61">
        <v>2</v>
      </c>
      <c r="G66" s="64">
        <v>4.24</v>
      </c>
      <c r="H66" s="101">
        <v>2.02</v>
      </c>
      <c r="I66" s="105">
        <v>0</v>
      </c>
      <c r="J66" s="62">
        <v>0</v>
      </c>
      <c r="K66" s="62">
        <v>0</v>
      </c>
      <c r="L66" s="64">
        <v>0</v>
      </c>
      <c r="M66" s="62">
        <v>4.24</v>
      </c>
      <c r="N66" s="101">
        <v>0</v>
      </c>
      <c r="O66" s="110"/>
      <c r="Q66" t="s">
        <v>372</v>
      </c>
      <c r="R66" t="s">
        <v>372</v>
      </c>
    </row>
    <row r="67" spans="1:18" ht="24.95" customHeight="1" x14ac:dyDescent="0.2">
      <c r="A67" s="114">
        <v>66</v>
      </c>
      <c r="B67" s="63">
        <v>2</v>
      </c>
      <c r="C67" s="116" t="s">
        <v>314</v>
      </c>
      <c r="D67" s="70">
        <v>2</v>
      </c>
      <c r="E67" s="61">
        <v>3.1</v>
      </c>
      <c r="F67" s="61">
        <v>2</v>
      </c>
      <c r="G67" s="64">
        <v>3.5</v>
      </c>
      <c r="H67" s="101">
        <v>2.04</v>
      </c>
      <c r="I67" s="105">
        <v>0</v>
      </c>
      <c r="J67" s="62">
        <v>0</v>
      </c>
      <c r="K67" s="62">
        <v>0</v>
      </c>
      <c r="L67" s="64">
        <v>0</v>
      </c>
      <c r="M67" s="62">
        <v>3.5</v>
      </c>
      <c r="N67" s="101">
        <v>0</v>
      </c>
      <c r="O67" s="110"/>
      <c r="Q67" t="s">
        <v>372</v>
      </c>
      <c r="R67" t="s">
        <v>372</v>
      </c>
    </row>
    <row r="68" spans="1:18" ht="24.95" customHeight="1" x14ac:dyDescent="0.2">
      <c r="A68" s="114">
        <v>67</v>
      </c>
      <c r="B68" s="63">
        <v>38</v>
      </c>
      <c r="C68" s="116" t="s">
        <v>348</v>
      </c>
      <c r="D68" s="70">
        <v>1</v>
      </c>
      <c r="E68" s="61">
        <v>0.92</v>
      </c>
      <c r="F68" s="61">
        <v>1</v>
      </c>
      <c r="G68" s="64">
        <v>1.1200000000000001</v>
      </c>
      <c r="H68" s="101">
        <v>0.92</v>
      </c>
      <c r="I68" s="105">
        <v>1</v>
      </c>
      <c r="J68" s="62">
        <v>1.82</v>
      </c>
      <c r="K68" s="62">
        <v>1</v>
      </c>
      <c r="L68" s="64">
        <v>2.02</v>
      </c>
      <c r="M68" s="62">
        <v>3.14</v>
      </c>
      <c r="N68" s="101">
        <v>1.82</v>
      </c>
      <c r="O68" s="110"/>
      <c r="Q68" t="s">
        <v>372</v>
      </c>
    </row>
    <row r="69" spans="1:18" ht="24.95" customHeight="1" x14ac:dyDescent="0.2">
      <c r="A69" s="114">
        <v>68</v>
      </c>
      <c r="B69" s="63">
        <v>55</v>
      </c>
      <c r="C69" s="116" t="s">
        <v>360</v>
      </c>
      <c r="D69" s="70">
        <v>1</v>
      </c>
      <c r="E69" s="61">
        <v>1.08</v>
      </c>
      <c r="F69" s="61">
        <v>1</v>
      </c>
      <c r="G69" s="64">
        <v>1.28</v>
      </c>
      <c r="H69" s="101">
        <v>1.08</v>
      </c>
      <c r="I69" s="105">
        <v>1</v>
      </c>
      <c r="J69" s="62">
        <v>1.62</v>
      </c>
      <c r="K69" s="62">
        <v>1</v>
      </c>
      <c r="L69" s="64">
        <v>1.82</v>
      </c>
      <c r="M69" s="62">
        <v>3.1</v>
      </c>
      <c r="N69" s="101">
        <v>1.62</v>
      </c>
      <c r="O69" s="110"/>
      <c r="Q69" t="s">
        <v>372</v>
      </c>
      <c r="R69" t="s">
        <v>372</v>
      </c>
    </row>
    <row r="70" spans="1:18" ht="24.95" customHeight="1" x14ac:dyDescent="0.2">
      <c r="A70" s="114">
        <v>69</v>
      </c>
      <c r="B70" s="63">
        <v>15</v>
      </c>
      <c r="C70" s="116" t="s">
        <v>338</v>
      </c>
      <c r="D70" s="70">
        <v>0</v>
      </c>
      <c r="E70" s="61">
        <v>0</v>
      </c>
      <c r="F70" s="61">
        <v>0</v>
      </c>
      <c r="G70" s="64">
        <v>0</v>
      </c>
      <c r="H70" s="101">
        <v>0</v>
      </c>
      <c r="I70" s="105">
        <v>1</v>
      </c>
      <c r="J70" s="62">
        <v>2.2599999999999998</v>
      </c>
      <c r="K70" s="62">
        <v>1</v>
      </c>
      <c r="L70" s="64">
        <v>2.46</v>
      </c>
      <c r="M70" s="62">
        <v>2.46</v>
      </c>
      <c r="N70" s="101">
        <v>2.2599999999999998</v>
      </c>
      <c r="O70" s="110"/>
      <c r="Q70" t="s">
        <v>372</v>
      </c>
    </row>
    <row r="71" spans="1:18" ht="24.95" customHeight="1" x14ac:dyDescent="0.2">
      <c r="A71" s="114">
        <v>70</v>
      </c>
      <c r="B71" s="63">
        <v>7</v>
      </c>
      <c r="C71" s="116" t="s">
        <v>336</v>
      </c>
      <c r="D71" s="70">
        <v>1</v>
      </c>
      <c r="E71" s="61">
        <v>2.02</v>
      </c>
      <c r="F71" s="61">
        <v>1</v>
      </c>
      <c r="G71" s="64">
        <v>2.2200000000000002</v>
      </c>
      <c r="H71" s="101">
        <v>2.02</v>
      </c>
      <c r="I71" s="105">
        <v>0</v>
      </c>
      <c r="J71" s="62">
        <v>0</v>
      </c>
      <c r="K71" s="62">
        <v>0</v>
      </c>
      <c r="L71" s="64">
        <v>0</v>
      </c>
      <c r="M71" s="62">
        <v>2.2200000000000002</v>
      </c>
      <c r="N71" s="101">
        <v>0</v>
      </c>
      <c r="O71" s="110"/>
      <c r="Q71" t="s">
        <v>372</v>
      </c>
      <c r="R71" t="s">
        <v>372</v>
      </c>
    </row>
    <row r="72" spans="1:18" ht="24.95" customHeight="1" x14ac:dyDescent="0.2">
      <c r="A72" s="114">
        <v>71</v>
      </c>
      <c r="B72" s="63">
        <v>59</v>
      </c>
      <c r="C72" s="116" t="s">
        <v>211</v>
      </c>
      <c r="D72" s="70">
        <v>0</v>
      </c>
      <c r="E72" s="61">
        <v>0</v>
      </c>
      <c r="F72" s="61">
        <v>0</v>
      </c>
      <c r="G72" s="64">
        <v>0</v>
      </c>
      <c r="H72" s="101">
        <v>0</v>
      </c>
      <c r="I72" s="105">
        <v>1</v>
      </c>
      <c r="J72" s="62">
        <v>1.98</v>
      </c>
      <c r="K72" s="62">
        <v>1</v>
      </c>
      <c r="L72" s="64">
        <v>2.1800000000000002</v>
      </c>
      <c r="M72" s="62">
        <v>2.1800000000000002</v>
      </c>
      <c r="N72" s="101">
        <v>1.98</v>
      </c>
      <c r="O72" s="110"/>
      <c r="Q72" t="s">
        <v>372</v>
      </c>
      <c r="R72" t="s">
        <v>372</v>
      </c>
    </row>
    <row r="73" spans="1:18" ht="24.95" customHeight="1" x14ac:dyDescent="0.2">
      <c r="A73" s="114">
        <v>72</v>
      </c>
      <c r="B73" s="63">
        <v>70</v>
      </c>
      <c r="C73" s="116" t="s">
        <v>318</v>
      </c>
      <c r="D73" s="70">
        <v>1</v>
      </c>
      <c r="E73" s="61">
        <v>1.9</v>
      </c>
      <c r="F73" s="61">
        <v>1</v>
      </c>
      <c r="G73" s="64">
        <v>2.1</v>
      </c>
      <c r="H73" s="101">
        <v>1.9</v>
      </c>
      <c r="I73" s="105">
        <v>0</v>
      </c>
      <c r="J73" s="62">
        <v>0</v>
      </c>
      <c r="K73" s="62">
        <v>0</v>
      </c>
      <c r="L73" s="64">
        <v>0</v>
      </c>
      <c r="M73" s="62">
        <v>2.1</v>
      </c>
      <c r="N73" s="101">
        <v>0</v>
      </c>
      <c r="O73" s="110"/>
      <c r="Q73" t="s">
        <v>372</v>
      </c>
      <c r="R73" t="s">
        <v>372</v>
      </c>
    </row>
    <row r="74" spans="1:18" ht="24.95" customHeight="1" x14ac:dyDescent="0.2">
      <c r="A74" s="114">
        <v>73</v>
      </c>
      <c r="B74" s="63">
        <v>60</v>
      </c>
      <c r="C74" s="116" t="s">
        <v>362</v>
      </c>
      <c r="D74" s="70">
        <v>1</v>
      </c>
      <c r="E74" s="61">
        <v>1.8</v>
      </c>
      <c r="F74" s="61">
        <v>1</v>
      </c>
      <c r="G74" s="64">
        <v>2</v>
      </c>
      <c r="H74" s="101">
        <v>1.8</v>
      </c>
      <c r="I74" s="105">
        <v>0</v>
      </c>
      <c r="J74" s="62">
        <v>0</v>
      </c>
      <c r="K74" s="62">
        <v>0</v>
      </c>
      <c r="L74" s="64">
        <v>0</v>
      </c>
      <c r="M74" s="62">
        <v>2</v>
      </c>
      <c r="N74" s="101">
        <v>0</v>
      </c>
      <c r="O74" s="110"/>
      <c r="Q74" t="s">
        <v>372</v>
      </c>
      <c r="R74" t="s">
        <v>372</v>
      </c>
    </row>
    <row r="75" spans="1:18" ht="24.95" customHeight="1" x14ac:dyDescent="0.2">
      <c r="A75" s="114">
        <v>74</v>
      </c>
      <c r="B75" s="63">
        <v>32</v>
      </c>
      <c r="C75" s="116" t="s">
        <v>268</v>
      </c>
      <c r="D75" s="70">
        <v>1</v>
      </c>
      <c r="E75" s="61">
        <v>1.58</v>
      </c>
      <c r="F75" s="61">
        <v>1</v>
      </c>
      <c r="G75" s="64">
        <v>1.78</v>
      </c>
      <c r="H75" s="101">
        <v>1.58</v>
      </c>
      <c r="I75" s="105">
        <v>0</v>
      </c>
      <c r="J75" s="62">
        <v>0</v>
      </c>
      <c r="K75" s="62">
        <v>0</v>
      </c>
      <c r="L75" s="64">
        <v>0</v>
      </c>
      <c r="M75" s="62">
        <v>1.78</v>
      </c>
      <c r="N75" s="101">
        <v>0</v>
      </c>
      <c r="O75" s="110"/>
      <c r="Q75" t="s">
        <v>372</v>
      </c>
    </row>
    <row r="76" spans="1:18" ht="24.95" customHeight="1" x14ac:dyDescent="0.2">
      <c r="A76" s="114">
        <v>75</v>
      </c>
      <c r="B76" s="63">
        <v>19</v>
      </c>
      <c r="C76" s="116" t="s">
        <v>308</v>
      </c>
      <c r="D76" s="70">
        <v>0</v>
      </c>
      <c r="E76" s="61">
        <v>0</v>
      </c>
      <c r="F76" s="61">
        <v>0</v>
      </c>
      <c r="G76" s="64">
        <v>0</v>
      </c>
      <c r="H76" s="101">
        <v>0</v>
      </c>
      <c r="I76" s="105">
        <v>0</v>
      </c>
      <c r="J76" s="62">
        <v>0</v>
      </c>
      <c r="K76" s="62">
        <v>0</v>
      </c>
      <c r="L76" s="64">
        <v>0</v>
      </c>
      <c r="M76" s="62">
        <v>0</v>
      </c>
      <c r="N76" s="101">
        <v>0</v>
      </c>
      <c r="O76" s="110"/>
      <c r="Q76" t="s">
        <v>372</v>
      </c>
    </row>
    <row r="77" spans="1:18" ht="24.95" customHeight="1" thickBot="1" x14ac:dyDescent="0.25">
      <c r="A77" s="118">
        <v>76</v>
      </c>
      <c r="B77" s="119">
        <v>31</v>
      </c>
      <c r="C77" s="145" t="s">
        <v>346</v>
      </c>
      <c r="D77" s="71">
        <v>0</v>
      </c>
      <c r="E77" s="69">
        <v>0</v>
      </c>
      <c r="F77" s="69">
        <v>0</v>
      </c>
      <c r="G77" s="102">
        <v>0</v>
      </c>
      <c r="H77" s="103">
        <v>0</v>
      </c>
      <c r="I77" s="106">
        <v>0</v>
      </c>
      <c r="J77" s="107">
        <v>0</v>
      </c>
      <c r="K77" s="107">
        <v>0</v>
      </c>
      <c r="L77" s="102">
        <v>0</v>
      </c>
      <c r="M77" s="107">
        <v>0</v>
      </c>
      <c r="N77" s="103">
        <v>0</v>
      </c>
      <c r="O77" s="111"/>
      <c r="Q77" t="s">
        <v>372</v>
      </c>
    </row>
    <row r="78" spans="1:18" ht="24.95" customHeight="1" x14ac:dyDescent="0.2">
      <c r="A78" s="50"/>
      <c r="B78" s="63"/>
      <c r="C78" s="116"/>
      <c r="D78" s="70"/>
      <c r="E78" s="61"/>
      <c r="F78" s="61"/>
      <c r="G78" s="64"/>
      <c r="H78" s="101"/>
      <c r="I78" s="105"/>
      <c r="J78" s="62"/>
      <c r="K78" s="62"/>
      <c r="L78" s="64"/>
      <c r="M78" s="62"/>
      <c r="N78" s="101"/>
      <c r="O78" s="31"/>
    </row>
    <row r="79" spans="1:18" ht="24.95" customHeight="1" x14ac:dyDescent="0.2">
      <c r="A79" s="63"/>
      <c r="B79" s="63"/>
      <c r="C79" s="116"/>
      <c r="D79" s="70"/>
      <c r="E79" s="61"/>
      <c r="F79" s="61"/>
      <c r="G79" s="64"/>
      <c r="H79" s="101"/>
      <c r="I79" s="105"/>
      <c r="J79" s="62"/>
      <c r="K79" s="62"/>
      <c r="L79" s="64"/>
      <c r="M79" s="62"/>
      <c r="N79" s="101"/>
      <c r="O79" s="27"/>
    </row>
    <row r="80" spans="1:18" ht="24.95" customHeight="1" x14ac:dyDescent="0.2">
      <c r="A80" s="63"/>
      <c r="B80" s="63"/>
      <c r="C80" s="116"/>
      <c r="D80" s="70"/>
      <c r="E80" s="61"/>
      <c r="F80" s="61"/>
      <c r="G80" s="64"/>
      <c r="H80" s="101"/>
      <c r="I80" s="105"/>
      <c r="J80" s="62"/>
      <c r="K80" s="62"/>
      <c r="L80" s="64"/>
      <c r="M80" s="62"/>
      <c r="N80" s="101"/>
      <c r="O80" s="27"/>
    </row>
    <row r="81" spans="1:15" ht="24.95" customHeight="1" x14ac:dyDescent="0.2">
      <c r="A81" s="63"/>
      <c r="B81" s="63"/>
      <c r="C81" s="116"/>
      <c r="D81" s="70"/>
      <c r="E81" s="61"/>
      <c r="F81" s="61"/>
      <c r="G81" s="64"/>
      <c r="H81" s="101"/>
      <c r="I81" s="105"/>
      <c r="J81" s="62"/>
      <c r="K81" s="62"/>
      <c r="L81" s="64"/>
      <c r="M81" s="62"/>
      <c r="N81" s="101"/>
      <c r="O81" s="27"/>
    </row>
    <row r="82" spans="1:15" ht="24.95" customHeight="1" x14ac:dyDescent="0.2">
      <c r="A82" s="61"/>
      <c r="B82" s="63"/>
      <c r="C82" s="61"/>
      <c r="D82" s="61"/>
      <c r="E82" s="61"/>
      <c r="F82" s="61"/>
      <c r="G82" s="64"/>
      <c r="H82" s="65"/>
      <c r="I82" s="62"/>
      <c r="J82" s="62"/>
      <c r="K82" s="62"/>
      <c r="L82" s="64"/>
      <c r="M82" s="62"/>
      <c r="N82" s="65"/>
      <c r="O82" s="27"/>
    </row>
    <row r="83" spans="1:15" ht="24.95" customHeight="1" x14ac:dyDescent="0.2">
      <c r="A83" s="61"/>
      <c r="B83" s="63"/>
      <c r="C83" s="61"/>
      <c r="D83" s="61"/>
      <c r="E83" s="61"/>
      <c r="F83" s="61"/>
      <c r="G83" s="64"/>
      <c r="H83" s="65"/>
      <c r="I83" s="62"/>
      <c r="J83" s="62"/>
      <c r="K83" s="62"/>
      <c r="L83" s="64"/>
      <c r="M83" s="62"/>
      <c r="N83" s="65"/>
      <c r="O83" s="27"/>
    </row>
    <row r="84" spans="1:15" ht="24.95" customHeight="1" x14ac:dyDescent="0.2">
      <c r="A84" s="61"/>
      <c r="B84" s="63"/>
      <c r="C84" s="61"/>
      <c r="D84" s="61"/>
      <c r="E84" s="61"/>
      <c r="F84" s="61"/>
      <c r="G84" s="64"/>
      <c r="H84" s="65"/>
      <c r="I84" s="62"/>
      <c r="J84" s="62"/>
      <c r="K84" s="62"/>
      <c r="L84" s="64"/>
      <c r="M84" s="62"/>
      <c r="N84" s="65"/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6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6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6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6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6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6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6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6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6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6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6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6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6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xmlns:xlrd2="http://schemas.microsoft.com/office/spreadsheetml/2017/richdata2" ref="A2:O77">
    <sortCondition descending="1" ref="M1:M77"/>
  </sortState>
  <pageMargins left="0.7" right="0.7" top="0.75" bottom="0.75" header="0.3" footer="0.3"/>
  <pageSetup scale="65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tabColor rgb="FFFF0000"/>
  </sheetPr>
  <dimension ref="A1:S651"/>
  <sheetViews>
    <sheetView zoomScaleNormal="100" workbookViewId="0">
      <selection activeCell="F17" sqref="F17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9.140625" style="24"/>
  </cols>
  <sheetData>
    <row r="1" spans="1:19" ht="38.2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Q1" s="60"/>
      <c r="R1" s="1"/>
      <c r="S1" s="1"/>
    </row>
    <row r="2" spans="1:19" ht="24.95" customHeight="1" x14ac:dyDescent="0.2">
      <c r="A2" s="113"/>
      <c r="B2" s="50"/>
      <c r="C2" s="133"/>
      <c r="D2" s="92"/>
      <c r="E2" s="49"/>
      <c r="F2" s="49"/>
      <c r="G2" s="57"/>
      <c r="H2" s="100"/>
      <c r="I2" s="104"/>
      <c r="J2" s="53"/>
      <c r="K2" s="53"/>
      <c r="L2" s="57"/>
      <c r="M2" s="53"/>
      <c r="N2" s="100"/>
      <c r="O2" s="109"/>
    </row>
    <row r="3" spans="1:19" ht="24.95" customHeight="1" x14ac:dyDescent="0.2">
      <c r="A3" s="114"/>
      <c r="B3" s="63"/>
      <c r="C3" s="116"/>
      <c r="D3" s="70"/>
      <c r="E3" s="61"/>
      <c r="F3" s="61"/>
      <c r="G3" s="64"/>
      <c r="H3" s="101"/>
      <c r="I3" s="105"/>
      <c r="J3" s="62"/>
      <c r="K3" s="62"/>
      <c r="L3" s="64"/>
      <c r="M3" s="62"/>
      <c r="N3" s="101"/>
      <c r="O3" s="110"/>
    </row>
    <row r="4" spans="1:19" ht="24.95" customHeight="1" x14ac:dyDescent="0.2">
      <c r="A4" s="114"/>
      <c r="B4" s="63"/>
      <c r="C4" s="116"/>
      <c r="D4" s="70"/>
      <c r="E4" s="61"/>
      <c r="F4" s="61"/>
      <c r="G4" s="64"/>
      <c r="H4" s="101"/>
      <c r="I4" s="105"/>
      <c r="J4" s="62"/>
      <c r="K4" s="62"/>
      <c r="L4" s="64"/>
      <c r="M4" s="62"/>
      <c r="N4" s="101"/>
      <c r="O4" s="110"/>
    </row>
    <row r="5" spans="1:19" ht="24.95" customHeight="1" x14ac:dyDescent="0.2">
      <c r="A5" s="114"/>
      <c r="B5" s="63"/>
      <c r="C5" s="115"/>
      <c r="D5" s="70"/>
      <c r="E5" s="61"/>
      <c r="F5" s="61"/>
      <c r="G5" s="64"/>
      <c r="H5" s="101"/>
      <c r="I5" s="105"/>
      <c r="J5" s="62"/>
      <c r="K5" s="62"/>
      <c r="L5" s="64"/>
      <c r="M5" s="62"/>
      <c r="N5" s="101"/>
      <c r="O5" s="110"/>
    </row>
    <row r="6" spans="1:19" ht="24.95" customHeight="1" x14ac:dyDescent="0.2">
      <c r="A6" s="114"/>
      <c r="B6" s="63"/>
      <c r="C6" s="116"/>
      <c r="D6" s="70"/>
      <c r="E6" s="61"/>
      <c r="F6" s="61"/>
      <c r="G6" s="64"/>
      <c r="H6" s="101"/>
      <c r="I6" s="105"/>
      <c r="J6" s="62"/>
      <c r="K6" s="62"/>
      <c r="L6" s="64"/>
      <c r="M6" s="62"/>
      <c r="N6" s="101"/>
      <c r="O6" s="110"/>
    </row>
    <row r="7" spans="1:19" ht="24.95" customHeight="1" x14ac:dyDescent="0.2">
      <c r="A7" s="114"/>
      <c r="B7" s="63"/>
      <c r="C7" s="115"/>
      <c r="D7" s="70"/>
      <c r="E7" s="61"/>
      <c r="F7" s="61"/>
      <c r="G7" s="64"/>
      <c r="H7" s="101"/>
      <c r="I7" s="105"/>
      <c r="J7" s="62"/>
      <c r="K7" s="62"/>
      <c r="L7" s="64"/>
      <c r="M7" s="62"/>
      <c r="N7" s="101"/>
      <c r="O7" s="110"/>
    </row>
    <row r="8" spans="1:19" ht="24.95" customHeight="1" x14ac:dyDescent="0.2">
      <c r="A8" s="114"/>
      <c r="B8" s="63"/>
      <c r="C8" s="116"/>
      <c r="D8" s="70"/>
      <c r="E8" s="61"/>
      <c r="F8" s="61"/>
      <c r="G8" s="64"/>
      <c r="H8" s="101"/>
      <c r="I8" s="105"/>
      <c r="J8" s="62"/>
      <c r="K8" s="62"/>
      <c r="L8" s="64"/>
      <c r="M8" s="62"/>
      <c r="N8" s="101"/>
      <c r="O8" s="110"/>
    </row>
    <row r="9" spans="1:19" ht="24.95" customHeight="1" x14ac:dyDescent="0.2">
      <c r="A9" s="114"/>
      <c r="B9" s="63"/>
      <c r="C9" s="115"/>
      <c r="D9" s="70"/>
      <c r="E9" s="61"/>
      <c r="F9" s="61"/>
      <c r="G9" s="64"/>
      <c r="H9" s="101"/>
      <c r="I9" s="105"/>
      <c r="J9" s="62"/>
      <c r="K9" s="62"/>
      <c r="L9" s="64"/>
      <c r="M9" s="62"/>
      <c r="N9" s="101"/>
      <c r="O9" s="110"/>
    </row>
    <row r="10" spans="1:19" ht="24.95" customHeight="1" x14ac:dyDescent="0.2">
      <c r="A10" s="114"/>
      <c r="B10" s="63"/>
      <c r="C10" s="115"/>
      <c r="D10" s="70"/>
      <c r="E10" s="61"/>
      <c r="F10" s="61"/>
      <c r="G10" s="64"/>
      <c r="H10" s="101"/>
      <c r="I10" s="105"/>
      <c r="J10" s="62"/>
      <c r="K10" s="62"/>
      <c r="L10" s="64"/>
      <c r="M10" s="62"/>
      <c r="N10" s="101"/>
      <c r="O10" s="110"/>
    </row>
    <row r="11" spans="1:19" ht="24.95" customHeight="1" x14ac:dyDescent="0.2">
      <c r="A11" s="114"/>
      <c r="B11" s="63"/>
      <c r="C11" s="116"/>
      <c r="D11" s="70"/>
      <c r="E11" s="61"/>
      <c r="F11" s="61"/>
      <c r="G11" s="64"/>
      <c r="H11" s="101"/>
      <c r="I11" s="105"/>
      <c r="J11" s="62"/>
      <c r="K11" s="62"/>
      <c r="L11" s="64"/>
      <c r="M11" s="62"/>
      <c r="N11" s="101"/>
      <c r="O11" s="110"/>
    </row>
    <row r="12" spans="1:19" ht="24.95" customHeight="1" x14ac:dyDescent="0.2">
      <c r="A12" s="114"/>
      <c r="B12" s="63"/>
      <c r="C12" s="116"/>
      <c r="D12" s="70"/>
      <c r="E12" s="61"/>
      <c r="F12" s="61"/>
      <c r="G12" s="64"/>
      <c r="H12" s="101"/>
      <c r="I12" s="105"/>
      <c r="J12" s="62"/>
      <c r="K12" s="62"/>
      <c r="L12" s="64"/>
      <c r="M12" s="62"/>
      <c r="N12" s="101"/>
      <c r="O12" s="110"/>
    </row>
    <row r="13" spans="1:19" ht="24.95" customHeight="1" x14ac:dyDescent="0.2">
      <c r="A13" s="114"/>
      <c r="B13" s="63"/>
      <c r="C13" s="116"/>
      <c r="D13" s="70"/>
      <c r="E13" s="61"/>
      <c r="F13" s="61"/>
      <c r="G13" s="64"/>
      <c r="H13" s="101"/>
      <c r="I13" s="105"/>
      <c r="J13" s="62"/>
      <c r="K13" s="62"/>
      <c r="L13" s="64"/>
      <c r="M13" s="62"/>
      <c r="N13" s="101"/>
      <c r="O13" s="110"/>
    </row>
    <row r="14" spans="1:19" ht="24.95" customHeight="1" x14ac:dyDescent="0.2">
      <c r="A14" s="114"/>
      <c r="B14" s="63"/>
      <c r="C14" s="117"/>
      <c r="D14" s="70"/>
      <c r="E14" s="61"/>
      <c r="F14" s="61"/>
      <c r="G14" s="64"/>
      <c r="H14" s="101"/>
      <c r="I14" s="105"/>
      <c r="J14" s="62"/>
      <c r="K14" s="62"/>
      <c r="L14" s="64"/>
      <c r="M14" s="62"/>
      <c r="N14" s="101"/>
      <c r="O14" s="110"/>
    </row>
    <row r="15" spans="1:19" ht="24.95" customHeight="1" x14ac:dyDescent="0.2">
      <c r="A15" s="114"/>
      <c r="B15" s="63"/>
      <c r="C15" s="117"/>
      <c r="D15" s="70"/>
      <c r="E15" s="61"/>
      <c r="F15" s="61"/>
      <c r="G15" s="64"/>
      <c r="H15" s="101"/>
      <c r="I15" s="105"/>
      <c r="J15" s="62"/>
      <c r="K15" s="62"/>
      <c r="L15" s="64"/>
      <c r="M15" s="62"/>
      <c r="N15" s="101"/>
      <c r="O15" s="110"/>
    </row>
    <row r="16" spans="1:19" ht="24.95" customHeight="1" x14ac:dyDescent="0.2">
      <c r="A16" s="114"/>
      <c r="B16" s="63"/>
      <c r="C16" s="117"/>
      <c r="D16" s="70"/>
      <c r="E16" s="61"/>
      <c r="F16" s="61"/>
      <c r="G16" s="64"/>
      <c r="H16" s="101"/>
      <c r="I16" s="105"/>
      <c r="J16" s="62"/>
      <c r="K16" s="62"/>
      <c r="L16" s="64"/>
      <c r="M16" s="62"/>
      <c r="N16" s="101"/>
      <c r="O16" s="110"/>
    </row>
    <row r="17" spans="1:15" ht="24.95" customHeight="1" x14ac:dyDescent="0.2">
      <c r="A17" s="114"/>
      <c r="B17" s="63"/>
      <c r="C17" s="117"/>
      <c r="D17" s="70"/>
      <c r="E17" s="61"/>
      <c r="F17" s="61"/>
      <c r="G17" s="64"/>
      <c r="H17" s="101"/>
      <c r="I17" s="105"/>
      <c r="J17" s="62"/>
      <c r="K17" s="62"/>
      <c r="L17" s="64"/>
      <c r="M17" s="62"/>
      <c r="N17" s="101"/>
      <c r="O17" s="110"/>
    </row>
    <row r="18" spans="1:15" ht="24.95" customHeight="1" x14ac:dyDescent="0.2">
      <c r="A18" s="114"/>
      <c r="B18" s="63"/>
      <c r="C18" s="117"/>
      <c r="D18" s="70"/>
      <c r="E18" s="61"/>
      <c r="F18" s="61"/>
      <c r="G18" s="64"/>
      <c r="H18" s="101"/>
      <c r="I18" s="105"/>
      <c r="J18" s="62"/>
      <c r="K18" s="62"/>
      <c r="L18" s="64"/>
      <c r="M18" s="62"/>
      <c r="N18" s="101"/>
      <c r="O18" s="110"/>
    </row>
    <row r="19" spans="1:15" ht="24.95" customHeight="1" x14ac:dyDescent="0.2">
      <c r="A19" s="114"/>
      <c r="B19" s="63"/>
      <c r="C19" s="117"/>
      <c r="D19" s="70"/>
      <c r="E19" s="61"/>
      <c r="F19" s="61"/>
      <c r="G19" s="64"/>
      <c r="H19" s="101"/>
      <c r="I19" s="105"/>
      <c r="J19" s="62"/>
      <c r="K19" s="62"/>
      <c r="L19" s="64"/>
      <c r="M19" s="62"/>
      <c r="N19" s="101"/>
      <c r="O19" s="110"/>
    </row>
    <row r="20" spans="1:15" ht="24.95" customHeight="1" x14ac:dyDescent="0.2">
      <c r="A20" s="114"/>
      <c r="B20" s="63"/>
      <c r="C20" s="117"/>
      <c r="D20" s="70"/>
      <c r="E20" s="61"/>
      <c r="F20" s="61"/>
      <c r="G20" s="64"/>
      <c r="H20" s="101"/>
      <c r="I20" s="105"/>
      <c r="J20" s="62"/>
      <c r="K20" s="62"/>
      <c r="L20" s="64"/>
      <c r="M20" s="62"/>
      <c r="N20" s="101"/>
      <c r="O20" s="110"/>
    </row>
    <row r="21" spans="1:15" ht="24.95" customHeight="1" x14ac:dyDescent="0.2">
      <c r="A21" s="114"/>
      <c r="B21" s="63"/>
      <c r="C21" s="117"/>
      <c r="D21" s="70"/>
      <c r="E21" s="61"/>
      <c r="F21" s="61"/>
      <c r="G21" s="64"/>
      <c r="H21" s="101"/>
      <c r="I21" s="105"/>
      <c r="J21" s="62"/>
      <c r="K21" s="62"/>
      <c r="L21" s="64"/>
      <c r="M21" s="62"/>
      <c r="N21" s="101"/>
      <c r="O21" s="110"/>
    </row>
    <row r="22" spans="1:15" ht="24.95" customHeight="1" x14ac:dyDescent="0.2">
      <c r="A22" s="114"/>
      <c r="B22" s="63"/>
      <c r="C22" s="117"/>
      <c r="D22" s="70"/>
      <c r="E22" s="61"/>
      <c r="F22" s="61"/>
      <c r="G22" s="64"/>
      <c r="H22" s="101"/>
      <c r="I22" s="105"/>
      <c r="J22" s="62"/>
      <c r="K22" s="62"/>
      <c r="L22" s="64"/>
      <c r="M22" s="62"/>
      <c r="N22" s="101"/>
      <c r="O22" s="110"/>
    </row>
    <row r="23" spans="1:15" ht="24.95" customHeight="1" x14ac:dyDescent="0.2">
      <c r="A23" s="114"/>
      <c r="B23" s="63"/>
      <c r="C23" s="117"/>
      <c r="D23" s="70"/>
      <c r="E23" s="61"/>
      <c r="F23" s="61"/>
      <c r="G23" s="64"/>
      <c r="H23" s="101"/>
      <c r="I23" s="105"/>
      <c r="J23" s="62"/>
      <c r="K23" s="62"/>
      <c r="L23" s="64"/>
      <c r="M23" s="62"/>
      <c r="N23" s="101"/>
      <c r="O23" s="110"/>
    </row>
    <row r="24" spans="1:15" ht="24.95" customHeight="1" x14ac:dyDescent="0.2">
      <c r="A24" s="114"/>
      <c r="B24" s="63"/>
      <c r="C24" s="117"/>
      <c r="D24" s="70"/>
      <c r="E24" s="61"/>
      <c r="F24" s="61"/>
      <c r="G24" s="64"/>
      <c r="H24" s="101"/>
      <c r="I24" s="105"/>
      <c r="J24" s="62"/>
      <c r="K24" s="62"/>
      <c r="L24" s="64"/>
      <c r="M24" s="62"/>
      <c r="N24" s="101"/>
      <c r="O24" s="110"/>
    </row>
    <row r="25" spans="1:15" ht="24.95" customHeight="1" x14ac:dyDescent="0.2">
      <c r="A25" s="114"/>
      <c r="B25" s="63"/>
      <c r="C25" s="117"/>
      <c r="D25" s="70"/>
      <c r="E25" s="61"/>
      <c r="F25" s="61"/>
      <c r="G25" s="64"/>
      <c r="H25" s="101"/>
      <c r="I25" s="105"/>
      <c r="J25" s="62"/>
      <c r="K25" s="62"/>
      <c r="L25" s="64"/>
      <c r="M25" s="62"/>
      <c r="N25" s="101"/>
      <c r="O25" s="110"/>
    </row>
    <row r="26" spans="1:15" ht="24.95" customHeight="1" x14ac:dyDescent="0.2">
      <c r="A26" s="114"/>
      <c r="B26" s="63"/>
      <c r="C26" s="117"/>
      <c r="D26" s="70"/>
      <c r="E26" s="61"/>
      <c r="F26" s="61"/>
      <c r="G26" s="64"/>
      <c r="H26" s="101"/>
      <c r="I26" s="105"/>
      <c r="J26" s="62"/>
      <c r="K26" s="62"/>
      <c r="L26" s="64"/>
      <c r="M26" s="62"/>
      <c r="N26" s="101"/>
      <c r="O26" s="110"/>
    </row>
    <row r="27" spans="1:15" ht="24.95" customHeight="1" x14ac:dyDescent="0.2">
      <c r="A27" s="114"/>
      <c r="B27" s="63"/>
      <c r="C27" s="117"/>
      <c r="D27" s="70"/>
      <c r="E27" s="61"/>
      <c r="F27" s="61"/>
      <c r="G27" s="64"/>
      <c r="H27" s="101"/>
      <c r="I27" s="105"/>
      <c r="J27" s="62"/>
      <c r="K27" s="62"/>
      <c r="L27" s="64"/>
      <c r="M27" s="62"/>
      <c r="N27" s="101"/>
      <c r="O27" s="110"/>
    </row>
    <row r="28" spans="1:15" ht="24.95" customHeight="1" x14ac:dyDescent="0.2">
      <c r="A28" s="114"/>
      <c r="B28" s="63"/>
      <c r="C28" s="117"/>
      <c r="D28" s="70"/>
      <c r="E28" s="61"/>
      <c r="F28" s="61"/>
      <c r="G28" s="64"/>
      <c r="H28" s="101"/>
      <c r="I28" s="105"/>
      <c r="J28" s="62"/>
      <c r="K28" s="62"/>
      <c r="L28" s="64"/>
      <c r="M28" s="62"/>
      <c r="N28" s="101"/>
      <c r="O28" s="110"/>
    </row>
    <row r="29" spans="1:15" ht="24.95" customHeight="1" x14ac:dyDescent="0.2">
      <c r="A29" s="114"/>
      <c r="B29" s="63"/>
      <c r="C29" s="117"/>
      <c r="D29" s="70"/>
      <c r="E29" s="61"/>
      <c r="F29" s="61"/>
      <c r="G29" s="64"/>
      <c r="H29" s="101"/>
      <c r="I29" s="105"/>
      <c r="J29" s="62"/>
      <c r="K29" s="62"/>
      <c r="L29" s="64"/>
      <c r="M29" s="62"/>
      <c r="N29" s="101"/>
      <c r="O29" s="110"/>
    </row>
    <row r="30" spans="1:15" ht="24.95" customHeight="1" x14ac:dyDescent="0.2">
      <c r="A30" s="114"/>
      <c r="B30" s="63"/>
      <c r="C30" s="117"/>
      <c r="D30" s="70"/>
      <c r="E30" s="61"/>
      <c r="F30" s="61"/>
      <c r="G30" s="64"/>
      <c r="H30" s="101"/>
      <c r="I30" s="105"/>
      <c r="J30" s="62"/>
      <c r="K30" s="62"/>
      <c r="L30" s="64"/>
      <c r="M30" s="62"/>
      <c r="N30" s="101"/>
      <c r="O30" s="110"/>
    </row>
    <row r="31" spans="1:15" ht="24.95" customHeight="1" x14ac:dyDescent="0.2">
      <c r="A31" s="114"/>
      <c r="B31" s="63"/>
      <c r="C31" s="117"/>
      <c r="D31" s="70"/>
      <c r="E31" s="61"/>
      <c r="F31" s="61"/>
      <c r="G31" s="64"/>
      <c r="H31" s="101"/>
      <c r="I31" s="105"/>
      <c r="J31" s="62"/>
      <c r="K31" s="62"/>
      <c r="L31" s="64"/>
      <c r="M31" s="62"/>
      <c r="N31" s="101"/>
      <c r="O31" s="110"/>
    </row>
    <row r="32" spans="1:15" ht="24.95" customHeight="1" x14ac:dyDescent="0.2">
      <c r="A32" s="114"/>
      <c r="B32" s="63"/>
      <c r="C32" s="117"/>
      <c r="D32" s="70"/>
      <c r="E32" s="61"/>
      <c r="F32" s="61"/>
      <c r="G32" s="64"/>
      <c r="H32" s="101"/>
      <c r="I32" s="105"/>
      <c r="J32" s="62"/>
      <c r="K32" s="62"/>
      <c r="L32" s="64"/>
      <c r="M32" s="62"/>
      <c r="N32" s="101"/>
      <c r="O32" s="110"/>
    </row>
    <row r="33" spans="1:15" ht="24.95" customHeight="1" x14ac:dyDescent="0.2">
      <c r="A33" s="114"/>
      <c r="B33" s="63"/>
      <c r="C33" s="117"/>
      <c r="D33" s="70"/>
      <c r="E33" s="61"/>
      <c r="F33" s="61"/>
      <c r="G33" s="64"/>
      <c r="H33" s="101"/>
      <c r="I33" s="105"/>
      <c r="J33" s="62"/>
      <c r="K33" s="62"/>
      <c r="L33" s="64"/>
      <c r="M33" s="62"/>
      <c r="N33" s="101"/>
      <c r="O33" s="110"/>
    </row>
    <row r="34" spans="1:15" ht="24.95" customHeight="1" x14ac:dyDescent="0.2">
      <c r="A34" s="114"/>
      <c r="B34" s="63"/>
      <c r="C34" s="117"/>
      <c r="D34" s="70"/>
      <c r="E34" s="61"/>
      <c r="F34" s="61"/>
      <c r="G34" s="64"/>
      <c r="H34" s="101"/>
      <c r="I34" s="105"/>
      <c r="J34" s="62"/>
      <c r="K34" s="62"/>
      <c r="L34" s="64"/>
      <c r="M34" s="62"/>
      <c r="N34" s="101"/>
      <c r="O34" s="110"/>
    </row>
    <row r="35" spans="1:15" ht="24.95" customHeight="1" x14ac:dyDescent="0.2">
      <c r="A35" s="114"/>
      <c r="B35" s="63"/>
      <c r="C35" s="117"/>
      <c r="D35" s="70"/>
      <c r="E35" s="61"/>
      <c r="F35" s="61"/>
      <c r="G35" s="64"/>
      <c r="H35" s="101"/>
      <c r="I35" s="105"/>
      <c r="J35" s="62"/>
      <c r="K35" s="62"/>
      <c r="L35" s="64"/>
      <c r="M35" s="62"/>
      <c r="N35" s="101"/>
      <c r="O35" s="110"/>
    </row>
    <row r="36" spans="1:15" ht="24.95" customHeight="1" x14ac:dyDescent="0.2">
      <c r="A36" s="114"/>
      <c r="B36" s="63"/>
      <c r="C36" s="117"/>
      <c r="D36" s="70"/>
      <c r="E36" s="61"/>
      <c r="F36" s="61"/>
      <c r="G36" s="64"/>
      <c r="H36" s="101"/>
      <c r="I36" s="105"/>
      <c r="J36" s="62"/>
      <c r="K36" s="62"/>
      <c r="L36" s="64"/>
      <c r="M36" s="62"/>
      <c r="N36" s="101"/>
      <c r="O36" s="110"/>
    </row>
    <row r="37" spans="1:15" ht="24.95" customHeight="1" x14ac:dyDescent="0.2">
      <c r="A37" s="114"/>
      <c r="B37" s="63"/>
      <c r="C37" s="117"/>
      <c r="D37" s="70"/>
      <c r="E37" s="61"/>
      <c r="F37" s="61"/>
      <c r="G37" s="64"/>
      <c r="H37" s="101"/>
      <c r="I37" s="105"/>
      <c r="J37" s="62"/>
      <c r="K37" s="62"/>
      <c r="L37" s="64"/>
      <c r="M37" s="62"/>
      <c r="N37" s="101"/>
      <c r="O37" s="110"/>
    </row>
    <row r="38" spans="1:15" ht="24.95" customHeight="1" x14ac:dyDescent="0.2">
      <c r="A38" s="114"/>
      <c r="B38" s="63"/>
      <c r="C38" s="117"/>
      <c r="D38" s="70"/>
      <c r="E38" s="61"/>
      <c r="F38" s="61"/>
      <c r="G38" s="64"/>
      <c r="H38" s="101"/>
      <c r="I38" s="105"/>
      <c r="J38" s="62"/>
      <c r="K38" s="62"/>
      <c r="L38" s="64"/>
      <c r="M38" s="62"/>
      <c r="N38" s="101"/>
      <c r="O38" s="110"/>
    </row>
    <row r="39" spans="1:15" ht="24.95" customHeight="1" x14ac:dyDescent="0.2">
      <c r="A39" s="114"/>
      <c r="B39" s="63"/>
      <c r="C39" s="117"/>
      <c r="D39" s="70"/>
      <c r="E39" s="61"/>
      <c r="F39" s="61"/>
      <c r="G39" s="64"/>
      <c r="H39" s="101"/>
      <c r="I39" s="105"/>
      <c r="J39" s="62"/>
      <c r="K39" s="62"/>
      <c r="L39" s="64"/>
      <c r="M39" s="62"/>
      <c r="N39" s="101"/>
      <c r="O39" s="110"/>
    </row>
    <row r="40" spans="1:15" ht="24.95" customHeight="1" x14ac:dyDescent="0.2">
      <c r="A40" s="114"/>
      <c r="B40" s="63"/>
      <c r="C40" s="117"/>
      <c r="D40" s="70"/>
      <c r="E40" s="61"/>
      <c r="F40" s="61"/>
      <c r="G40" s="64"/>
      <c r="H40" s="101"/>
      <c r="I40" s="105"/>
      <c r="J40" s="62"/>
      <c r="K40" s="62"/>
      <c r="L40" s="64"/>
      <c r="M40" s="62"/>
      <c r="N40" s="101"/>
      <c r="O40" s="110"/>
    </row>
    <row r="41" spans="1:15" ht="24.95" customHeight="1" x14ac:dyDescent="0.2">
      <c r="A41" s="114"/>
      <c r="B41" s="63"/>
      <c r="C41" s="117"/>
      <c r="D41" s="70"/>
      <c r="E41" s="61"/>
      <c r="F41" s="61"/>
      <c r="G41" s="64"/>
      <c r="H41" s="101"/>
      <c r="I41" s="105"/>
      <c r="J41" s="62"/>
      <c r="K41" s="62"/>
      <c r="L41" s="64"/>
      <c r="M41" s="62"/>
      <c r="N41" s="101"/>
      <c r="O41" s="110"/>
    </row>
    <row r="42" spans="1:15" ht="24.95" customHeight="1" x14ac:dyDescent="0.2">
      <c r="A42" s="114"/>
      <c r="B42" s="63"/>
      <c r="C42" s="117"/>
      <c r="D42" s="70"/>
      <c r="E42" s="61"/>
      <c r="F42" s="61"/>
      <c r="G42" s="64"/>
      <c r="H42" s="101"/>
      <c r="I42" s="105"/>
      <c r="J42" s="62"/>
      <c r="K42" s="62"/>
      <c r="L42" s="64"/>
      <c r="M42" s="62"/>
      <c r="N42" s="101"/>
      <c r="O42" s="110"/>
    </row>
    <row r="43" spans="1:15" ht="24.95" customHeight="1" x14ac:dyDescent="0.2">
      <c r="A43" s="114"/>
      <c r="B43" s="63"/>
      <c r="C43" s="117"/>
      <c r="D43" s="70"/>
      <c r="E43" s="61"/>
      <c r="F43" s="61"/>
      <c r="G43" s="64"/>
      <c r="H43" s="101"/>
      <c r="I43" s="105"/>
      <c r="J43" s="62"/>
      <c r="K43" s="62"/>
      <c r="L43" s="64"/>
      <c r="M43" s="62"/>
      <c r="N43" s="101"/>
      <c r="O43" s="110"/>
    </row>
    <row r="44" spans="1:15" ht="24.95" customHeight="1" x14ac:dyDescent="0.2">
      <c r="A44" s="114"/>
      <c r="B44" s="63"/>
      <c r="C44" s="117"/>
      <c r="D44" s="70"/>
      <c r="E44" s="61"/>
      <c r="F44" s="61"/>
      <c r="G44" s="64"/>
      <c r="H44" s="101"/>
      <c r="I44" s="105"/>
      <c r="J44" s="62"/>
      <c r="K44" s="62"/>
      <c r="L44" s="64"/>
      <c r="M44" s="62"/>
      <c r="N44" s="101"/>
      <c r="O44" s="110"/>
    </row>
    <row r="45" spans="1:15" ht="24.95" customHeight="1" x14ac:dyDescent="0.2">
      <c r="A45" s="114"/>
      <c r="B45" s="63"/>
      <c r="C45" s="117"/>
      <c r="D45" s="70"/>
      <c r="E45" s="61"/>
      <c r="F45" s="61"/>
      <c r="G45" s="64"/>
      <c r="H45" s="101"/>
      <c r="I45" s="105"/>
      <c r="J45" s="62"/>
      <c r="K45" s="62"/>
      <c r="L45" s="64"/>
      <c r="M45" s="62"/>
      <c r="N45" s="101"/>
      <c r="O45" s="110"/>
    </row>
    <row r="46" spans="1:15" ht="24.95" customHeight="1" x14ac:dyDescent="0.2">
      <c r="A46" s="114"/>
      <c r="B46" s="63"/>
      <c r="C46" s="117"/>
      <c r="D46" s="70"/>
      <c r="E46" s="61"/>
      <c r="F46" s="61"/>
      <c r="G46" s="64"/>
      <c r="H46" s="101"/>
      <c r="I46" s="105"/>
      <c r="J46" s="62"/>
      <c r="K46" s="62"/>
      <c r="L46" s="64"/>
      <c r="M46" s="62"/>
      <c r="N46" s="101"/>
      <c r="O46" s="110"/>
    </row>
    <row r="47" spans="1:15" ht="24.95" customHeight="1" x14ac:dyDescent="0.2">
      <c r="A47" s="114"/>
      <c r="B47" s="63"/>
      <c r="C47" s="117"/>
      <c r="D47" s="70"/>
      <c r="E47" s="61"/>
      <c r="F47" s="61"/>
      <c r="G47" s="64"/>
      <c r="H47" s="101"/>
      <c r="I47" s="105"/>
      <c r="J47" s="62"/>
      <c r="K47" s="62"/>
      <c r="L47" s="64"/>
      <c r="M47" s="62"/>
      <c r="N47" s="101"/>
      <c r="O47" s="110"/>
    </row>
    <row r="48" spans="1:15" ht="24.95" customHeight="1" x14ac:dyDescent="0.2">
      <c r="A48" s="114"/>
      <c r="B48" s="63"/>
      <c r="C48" s="117"/>
      <c r="D48" s="70"/>
      <c r="E48" s="61"/>
      <c r="F48" s="61"/>
      <c r="G48" s="64"/>
      <c r="H48" s="101"/>
      <c r="I48" s="105"/>
      <c r="J48" s="62"/>
      <c r="K48" s="62"/>
      <c r="L48" s="64"/>
      <c r="M48" s="62"/>
      <c r="N48" s="101"/>
      <c r="O48" s="110"/>
    </row>
    <row r="49" spans="1:15" ht="24.95" customHeight="1" x14ac:dyDescent="0.2">
      <c r="A49" s="114"/>
      <c r="B49" s="63"/>
      <c r="C49" s="117"/>
      <c r="D49" s="70"/>
      <c r="E49" s="61"/>
      <c r="F49" s="61"/>
      <c r="G49" s="64"/>
      <c r="H49" s="101"/>
      <c r="I49" s="105"/>
      <c r="J49" s="62"/>
      <c r="K49" s="62"/>
      <c r="L49" s="64"/>
      <c r="M49" s="62"/>
      <c r="N49" s="101"/>
      <c r="O49" s="110"/>
    </row>
    <row r="50" spans="1:15" ht="24.95" customHeight="1" x14ac:dyDescent="0.2">
      <c r="A50" s="114"/>
      <c r="B50" s="63"/>
      <c r="C50" s="117"/>
      <c r="D50" s="70"/>
      <c r="E50" s="61"/>
      <c r="F50" s="61"/>
      <c r="G50" s="64"/>
      <c r="H50" s="101"/>
      <c r="I50" s="105"/>
      <c r="J50" s="62"/>
      <c r="K50" s="62"/>
      <c r="L50" s="64"/>
      <c r="M50" s="62"/>
      <c r="N50" s="101"/>
      <c r="O50" s="110"/>
    </row>
    <row r="51" spans="1:15" ht="24.95" customHeight="1" x14ac:dyDescent="0.2">
      <c r="A51" s="114"/>
      <c r="B51" s="63"/>
      <c r="C51" s="117"/>
      <c r="D51" s="70"/>
      <c r="E51" s="61"/>
      <c r="F51" s="61"/>
      <c r="G51" s="64"/>
      <c r="H51" s="101"/>
      <c r="I51" s="105"/>
      <c r="J51" s="62"/>
      <c r="K51" s="62"/>
      <c r="L51" s="64"/>
      <c r="M51" s="62"/>
      <c r="N51" s="101"/>
      <c r="O51" s="110"/>
    </row>
    <row r="52" spans="1:15" ht="24.95" customHeight="1" x14ac:dyDescent="0.2">
      <c r="A52" s="114"/>
      <c r="B52" s="63"/>
      <c r="C52" s="117"/>
      <c r="D52" s="70"/>
      <c r="E52" s="61"/>
      <c r="F52" s="61"/>
      <c r="G52" s="64"/>
      <c r="H52" s="101"/>
      <c r="I52" s="105"/>
      <c r="J52" s="62"/>
      <c r="K52" s="62"/>
      <c r="L52" s="64"/>
      <c r="M52" s="62"/>
      <c r="N52" s="101"/>
      <c r="O52" s="110"/>
    </row>
    <row r="53" spans="1:15" ht="24.95" customHeight="1" x14ac:dyDescent="0.2">
      <c r="A53" s="114"/>
      <c r="B53" s="63"/>
      <c r="C53" s="117"/>
      <c r="D53" s="70"/>
      <c r="E53" s="61"/>
      <c r="F53" s="61"/>
      <c r="G53" s="64"/>
      <c r="H53" s="101"/>
      <c r="I53" s="105"/>
      <c r="J53" s="62"/>
      <c r="K53" s="62"/>
      <c r="L53" s="64"/>
      <c r="M53" s="62"/>
      <c r="N53" s="101"/>
      <c r="O53" s="110"/>
    </row>
    <row r="54" spans="1:15" ht="24.95" customHeight="1" x14ac:dyDescent="0.2">
      <c r="A54" s="114"/>
      <c r="B54" s="63"/>
      <c r="C54" s="117"/>
      <c r="D54" s="70"/>
      <c r="E54" s="61"/>
      <c r="F54" s="61"/>
      <c r="G54" s="64"/>
      <c r="H54" s="101"/>
      <c r="I54" s="105"/>
      <c r="J54" s="62"/>
      <c r="K54" s="62"/>
      <c r="L54" s="64"/>
      <c r="M54" s="62"/>
      <c r="N54" s="101"/>
      <c r="O54" s="110"/>
    </row>
    <row r="55" spans="1:15" ht="24.95" customHeight="1" x14ac:dyDescent="0.2">
      <c r="A55" s="114"/>
      <c r="B55" s="63"/>
      <c r="C55" s="117"/>
      <c r="D55" s="70"/>
      <c r="E55" s="61"/>
      <c r="F55" s="61"/>
      <c r="G55" s="64"/>
      <c r="H55" s="101"/>
      <c r="I55" s="105"/>
      <c r="J55" s="62"/>
      <c r="K55" s="62"/>
      <c r="L55" s="64"/>
      <c r="M55" s="62"/>
      <c r="N55" s="101"/>
      <c r="O55" s="110"/>
    </row>
    <row r="56" spans="1:15" ht="24.95" customHeight="1" x14ac:dyDescent="0.2">
      <c r="A56" s="114"/>
      <c r="B56" s="63"/>
      <c r="C56" s="117"/>
      <c r="D56" s="70"/>
      <c r="E56" s="61"/>
      <c r="F56" s="61"/>
      <c r="G56" s="64"/>
      <c r="H56" s="101"/>
      <c r="I56" s="105"/>
      <c r="J56" s="62"/>
      <c r="K56" s="62"/>
      <c r="L56" s="64"/>
      <c r="M56" s="62"/>
      <c r="N56" s="101"/>
      <c r="O56" s="110"/>
    </row>
    <row r="57" spans="1:15" ht="24.95" customHeight="1" x14ac:dyDescent="0.2">
      <c r="A57" s="114"/>
      <c r="B57" s="63"/>
      <c r="C57" s="117"/>
      <c r="D57" s="70"/>
      <c r="E57" s="61"/>
      <c r="F57" s="61"/>
      <c r="G57" s="64"/>
      <c r="H57" s="101"/>
      <c r="I57" s="105"/>
      <c r="J57" s="62"/>
      <c r="K57" s="62"/>
      <c r="L57" s="64"/>
      <c r="M57" s="62"/>
      <c r="N57" s="101"/>
      <c r="O57" s="110"/>
    </row>
    <row r="58" spans="1:15" ht="24.95" customHeight="1" x14ac:dyDescent="0.2">
      <c r="A58" s="114"/>
      <c r="B58" s="63"/>
      <c r="C58" s="117"/>
      <c r="D58" s="70"/>
      <c r="E58" s="61"/>
      <c r="F58" s="61"/>
      <c r="G58" s="64"/>
      <c r="H58" s="101"/>
      <c r="I58" s="105"/>
      <c r="J58" s="62"/>
      <c r="K58" s="62"/>
      <c r="L58" s="64"/>
      <c r="M58" s="62"/>
      <c r="N58" s="101"/>
      <c r="O58" s="110"/>
    </row>
    <row r="59" spans="1:15" ht="24.95" customHeight="1" x14ac:dyDescent="0.2">
      <c r="A59" s="114"/>
      <c r="B59" s="63"/>
      <c r="C59" s="117"/>
      <c r="D59" s="70"/>
      <c r="E59" s="61"/>
      <c r="F59" s="61"/>
      <c r="G59" s="64"/>
      <c r="H59" s="101"/>
      <c r="I59" s="105"/>
      <c r="J59" s="62"/>
      <c r="K59" s="62"/>
      <c r="L59" s="64"/>
      <c r="M59" s="62"/>
      <c r="N59" s="101"/>
      <c r="O59" s="110"/>
    </row>
    <row r="60" spans="1:15" ht="24.95" customHeight="1" x14ac:dyDescent="0.2">
      <c r="A60" s="114"/>
      <c r="B60" s="63"/>
      <c r="C60" s="117"/>
      <c r="D60" s="70"/>
      <c r="E60" s="61"/>
      <c r="F60" s="61"/>
      <c r="G60" s="64"/>
      <c r="H60" s="101"/>
      <c r="I60" s="105"/>
      <c r="J60" s="62"/>
      <c r="K60" s="62"/>
      <c r="L60" s="64"/>
      <c r="M60" s="62"/>
      <c r="N60" s="101"/>
      <c r="O60" s="110"/>
    </row>
    <row r="61" spans="1:15" ht="24.95" customHeight="1" x14ac:dyDescent="0.2">
      <c r="A61" s="114"/>
      <c r="B61" s="63"/>
      <c r="C61" s="117"/>
      <c r="D61" s="70"/>
      <c r="E61" s="61"/>
      <c r="F61" s="61"/>
      <c r="G61" s="64"/>
      <c r="H61" s="101"/>
      <c r="I61" s="105"/>
      <c r="J61" s="62"/>
      <c r="K61" s="62"/>
      <c r="L61" s="64"/>
      <c r="M61" s="62"/>
      <c r="N61" s="101"/>
      <c r="O61" s="110"/>
    </row>
    <row r="62" spans="1:15" ht="24.95" customHeight="1" x14ac:dyDescent="0.2">
      <c r="A62" s="114"/>
      <c r="B62" s="63"/>
      <c r="C62" s="117"/>
      <c r="D62" s="70"/>
      <c r="E62" s="61"/>
      <c r="F62" s="61"/>
      <c r="G62" s="64"/>
      <c r="H62" s="101"/>
      <c r="I62" s="105"/>
      <c r="J62" s="62"/>
      <c r="K62" s="62"/>
      <c r="L62" s="64"/>
      <c r="M62" s="62"/>
      <c r="N62" s="101"/>
      <c r="O62" s="110"/>
    </row>
    <row r="63" spans="1:15" ht="24.95" customHeight="1" x14ac:dyDescent="0.2">
      <c r="A63" s="114"/>
      <c r="B63" s="63"/>
      <c r="C63" s="117"/>
      <c r="D63" s="70"/>
      <c r="E63" s="61"/>
      <c r="F63" s="61"/>
      <c r="G63" s="64"/>
      <c r="H63" s="101"/>
      <c r="I63" s="105"/>
      <c r="J63" s="62"/>
      <c r="K63" s="62"/>
      <c r="L63" s="64"/>
      <c r="M63" s="62"/>
      <c r="N63" s="101"/>
      <c r="O63" s="110"/>
    </row>
    <row r="64" spans="1:15" ht="24.95" customHeight="1" x14ac:dyDescent="0.2">
      <c r="A64" s="114"/>
      <c r="B64" s="63"/>
      <c r="C64" s="117"/>
      <c r="D64" s="70"/>
      <c r="E64" s="61"/>
      <c r="F64" s="61"/>
      <c r="G64" s="64"/>
      <c r="H64" s="101"/>
      <c r="I64" s="105"/>
      <c r="J64" s="62"/>
      <c r="K64" s="62"/>
      <c r="L64" s="64"/>
      <c r="M64" s="62"/>
      <c r="N64" s="101"/>
      <c r="O64" s="110"/>
    </row>
    <row r="65" spans="1:15" ht="24.95" customHeight="1" x14ac:dyDescent="0.2">
      <c r="A65" s="114"/>
      <c r="B65" s="63"/>
      <c r="C65" s="117"/>
      <c r="D65" s="70"/>
      <c r="E65" s="61"/>
      <c r="F65" s="61"/>
      <c r="G65" s="64"/>
      <c r="H65" s="101"/>
      <c r="I65" s="105"/>
      <c r="J65" s="62"/>
      <c r="K65" s="62"/>
      <c r="L65" s="64"/>
      <c r="M65" s="62"/>
      <c r="N65" s="101"/>
      <c r="O65" s="110"/>
    </row>
    <row r="66" spans="1:15" ht="24.95" customHeight="1" x14ac:dyDescent="0.2">
      <c r="A66" s="114"/>
      <c r="B66" s="63"/>
      <c r="C66" s="117"/>
      <c r="D66" s="70"/>
      <c r="E66" s="61"/>
      <c r="F66" s="61"/>
      <c r="G66" s="64"/>
      <c r="H66" s="101"/>
      <c r="I66" s="105"/>
      <c r="J66" s="62"/>
      <c r="K66" s="62"/>
      <c r="L66" s="64"/>
      <c r="M66" s="62"/>
      <c r="N66" s="101"/>
      <c r="O66" s="110"/>
    </row>
    <row r="67" spans="1:15" ht="24.95" customHeight="1" x14ac:dyDescent="0.2">
      <c r="A67" s="114"/>
      <c r="B67" s="63"/>
      <c r="C67" s="117"/>
      <c r="D67" s="70"/>
      <c r="E67" s="61"/>
      <c r="F67" s="61"/>
      <c r="G67" s="64"/>
      <c r="H67" s="101"/>
      <c r="I67" s="105"/>
      <c r="J67" s="62"/>
      <c r="K67" s="62"/>
      <c r="L67" s="64"/>
      <c r="M67" s="62"/>
      <c r="N67" s="101"/>
      <c r="O67" s="110"/>
    </row>
    <row r="68" spans="1:15" ht="24.95" customHeight="1" x14ac:dyDescent="0.2">
      <c r="A68" s="114"/>
      <c r="B68" s="63"/>
      <c r="C68" s="117"/>
      <c r="D68" s="70"/>
      <c r="E68" s="61"/>
      <c r="F68" s="61"/>
      <c r="G68" s="64"/>
      <c r="H68" s="101"/>
      <c r="I68" s="105"/>
      <c r="J68" s="62"/>
      <c r="K68" s="62"/>
      <c r="L68" s="64"/>
      <c r="M68" s="62"/>
      <c r="N68" s="101"/>
      <c r="O68" s="110"/>
    </row>
    <row r="69" spans="1:15" ht="24.95" customHeight="1" x14ac:dyDescent="0.2">
      <c r="A69" s="114"/>
      <c r="B69" s="63"/>
      <c r="C69" s="117"/>
      <c r="D69" s="70"/>
      <c r="E69" s="61"/>
      <c r="F69" s="61"/>
      <c r="G69" s="64"/>
      <c r="H69" s="101"/>
      <c r="I69" s="105"/>
      <c r="J69" s="62"/>
      <c r="K69" s="62"/>
      <c r="L69" s="64"/>
      <c r="M69" s="62"/>
      <c r="N69" s="101"/>
      <c r="O69" s="110"/>
    </row>
    <row r="70" spans="1:15" ht="24.95" customHeight="1" x14ac:dyDescent="0.2">
      <c r="A70" s="114"/>
      <c r="B70" s="63"/>
      <c r="C70" s="117"/>
      <c r="D70" s="70"/>
      <c r="E70" s="61"/>
      <c r="F70" s="61"/>
      <c r="G70" s="64"/>
      <c r="H70" s="101"/>
      <c r="I70" s="105"/>
      <c r="J70" s="62"/>
      <c r="K70" s="62"/>
      <c r="L70" s="64"/>
      <c r="M70" s="62"/>
      <c r="N70" s="101"/>
      <c r="O70" s="110"/>
    </row>
    <row r="71" spans="1:15" ht="24.95" customHeight="1" x14ac:dyDescent="0.2">
      <c r="A71" s="114"/>
      <c r="B71" s="63"/>
      <c r="C71" s="117"/>
      <c r="D71" s="70"/>
      <c r="E71" s="61"/>
      <c r="F71" s="61"/>
      <c r="G71" s="64"/>
      <c r="H71" s="101"/>
      <c r="I71" s="105"/>
      <c r="J71" s="62"/>
      <c r="K71" s="62"/>
      <c r="L71" s="64"/>
      <c r="M71" s="62"/>
      <c r="N71" s="101"/>
      <c r="O71" s="110"/>
    </row>
    <row r="72" spans="1:15" ht="24.95" customHeight="1" x14ac:dyDescent="0.2">
      <c r="A72" s="114"/>
      <c r="B72" s="63"/>
      <c r="C72" s="117"/>
      <c r="D72" s="70"/>
      <c r="E72" s="61"/>
      <c r="F72" s="61"/>
      <c r="G72" s="64"/>
      <c r="H72" s="101"/>
      <c r="I72" s="105"/>
      <c r="J72" s="62"/>
      <c r="K72" s="62"/>
      <c r="L72" s="64"/>
      <c r="M72" s="62"/>
      <c r="N72" s="101"/>
      <c r="O72" s="110"/>
    </row>
    <row r="73" spans="1:15" ht="24.95" customHeight="1" x14ac:dyDescent="0.2">
      <c r="A73" s="114"/>
      <c r="B73" s="63"/>
      <c r="C73" s="117"/>
      <c r="D73" s="70"/>
      <c r="E73" s="61"/>
      <c r="F73" s="61"/>
      <c r="G73" s="64"/>
      <c r="H73" s="101"/>
      <c r="I73" s="105"/>
      <c r="J73" s="62"/>
      <c r="K73" s="62"/>
      <c r="L73" s="64"/>
      <c r="M73" s="62"/>
      <c r="N73" s="101"/>
      <c r="O73" s="110"/>
    </row>
    <row r="74" spans="1:15" ht="24.95" customHeight="1" x14ac:dyDescent="0.2">
      <c r="A74" s="114"/>
      <c r="B74" s="63"/>
      <c r="C74" s="117"/>
      <c r="D74" s="70"/>
      <c r="E74" s="61"/>
      <c r="F74" s="61"/>
      <c r="G74" s="64"/>
      <c r="H74" s="101"/>
      <c r="I74" s="105"/>
      <c r="J74" s="62"/>
      <c r="K74" s="62"/>
      <c r="L74" s="64"/>
      <c r="M74" s="62"/>
      <c r="N74" s="101"/>
      <c r="O74" s="110"/>
    </row>
    <row r="75" spans="1:15" ht="24.95" customHeight="1" x14ac:dyDescent="0.2">
      <c r="A75" s="114"/>
      <c r="B75" s="63"/>
      <c r="C75" s="117"/>
      <c r="D75" s="70"/>
      <c r="E75" s="61"/>
      <c r="F75" s="61"/>
      <c r="G75" s="64"/>
      <c r="H75" s="101"/>
      <c r="I75" s="105"/>
      <c r="J75" s="62"/>
      <c r="K75" s="62"/>
      <c r="L75" s="64"/>
      <c r="M75" s="62"/>
      <c r="N75" s="101"/>
      <c r="O75" s="110"/>
    </row>
    <row r="76" spans="1:15" ht="24.95" customHeight="1" x14ac:dyDescent="0.2">
      <c r="A76" s="114"/>
      <c r="B76" s="63"/>
      <c r="C76" s="117"/>
      <c r="D76" s="70"/>
      <c r="E76" s="61"/>
      <c r="F76" s="61"/>
      <c r="G76" s="64"/>
      <c r="H76" s="101"/>
      <c r="I76" s="105"/>
      <c r="J76" s="62"/>
      <c r="K76" s="62"/>
      <c r="L76" s="64"/>
      <c r="M76" s="62"/>
      <c r="N76" s="101"/>
      <c r="O76" s="110"/>
    </row>
    <row r="77" spans="1:15" ht="24.95" customHeight="1" thickBot="1" x14ac:dyDescent="0.25">
      <c r="A77" s="118"/>
      <c r="B77" s="119"/>
      <c r="C77" s="120"/>
      <c r="D77" s="71"/>
      <c r="E77" s="69"/>
      <c r="F77" s="69"/>
      <c r="G77" s="102"/>
      <c r="H77" s="103"/>
      <c r="I77" s="106"/>
      <c r="J77" s="107"/>
      <c r="K77" s="107"/>
      <c r="L77" s="102"/>
      <c r="M77" s="107"/>
      <c r="N77" s="103"/>
      <c r="O77" s="111"/>
    </row>
    <row r="78" spans="1:15" ht="24.95" customHeight="1" x14ac:dyDescent="0.2">
      <c r="A78" s="49"/>
      <c r="B78" s="50"/>
      <c r="C78" s="49"/>
      <c r="D78" s="49"/>
      <c r="E78" s="49"/>
      <c r="F78" s="49"/>
      <c r="G78" s="57"/>
      <c r="H78" s="58"/>
      <c r="I78" s="53"/>
      <c r="J78" s="53"/>
      <c r="K78" s="53"/>
      <c r="L78" s="57"/>
      <c r="M78" s="53"/>
      <c r="N78" s="58"/>
      <c r="O78" s="31"/>
    </row>
    <row r="79" spans="1:15" ht="24.95" customHeight="1" x14ac:dyDescent="0.2">
      <c r="A79" s="61"/>
      <c r="B79" s="63"/>
      <c r="C79" s="61"/>
      <c r="D79" s="61"/>
      <c r="E79" s="61"/>
      <c r="F79" s="61"/>
      <c r="G79" s="64"/>
      <c r="H79" s="65"/>
      <c r="I79" s="62"/>
      <c r="J79" s="62"/>
      <c r="K79" s="62"/>
      <c r="L79" s="64"/>
      <c r="M79" s="62"/>
      <c r="N79" s="65"/>
      <c r="O79" s="27"/>
    </row>
    <row r="80" spans="1:15" ht="24.95" customHeight="1" x14ac:dyDescent="0.2">
      <c r="A80" s="61"/>
      <c r="B80" s="63"/>
      <c r="C80" s="61"/>
      <c r="D80" s="61"/>
      <c r="E80" s="61"/>
      <c r="F80" s="61"/>
      <c r="G80" s="64"/>
      <c r="H80" s="65"/>
      <c r="I80" s="62"/>
      <c r="J80" s="62"/>
      <c r="K80" s="62"/>
      <c r="L80" s="64"/>
      <c r="M80" s="62"/>
      <c r="N80" s="65"/>
      <c r="O80" s="27"/>
    </row>
    <row r="81" spans="1:15" ht="24.95" customHeight="1" x14ac:dyDescent="0.2">
      <c r="A81" s="61"/>
      <c r="B81" s="63"/>
      <c r="C81" s="61"/>
      <c r="D81" s="61"/>
      <c r="E81" s="61"/>
      <c r="F81" s="61"/>
      <c r="G81" s="64"/>
      <c r="H81" s="65"/>
      <c r="I81" s="62"/>
      <c r="J81" s="62"/>
      <c r="K81" s="62"/>
      <c r="L81" s="64"/>
      <c r="M81" s="62"/>
      <c r="N81" s="65"/>
      <c r="O81" s="27"/>
    </row>
    <row r="82" spans="1:15" ht="24.95" customHeight="1" x14ac:dyDescent="0.2">
      <c r="A82" s="61"/>
      <c r="B82" s="63"/>
      <c r="C82" s="61"/>
      <c r="D82" s="61"/>
      <c r="E82" s="61"/>
      <c r="F82" s="61"/>
      <c r="G82" s="64"/>
      <c r="H82" s="65"/>
      <c r="I82" s="62"/>
      <c r="J82" s="62"/>
      <c r="K82" s="62"/>
      <c r="L82" s="64"/>
      <c r="M82" s="62"/>
      <c r="N82" s="65"/>
      <c r="O82" s="27"/>
    </row>
    <row r="83" spans="1:15" ht="24.95" customHeight="1" x14ac:dyDescent="0.2">
      <c r="A83" s="61"/>
      <c r="B83" s="63"/>
      <c r="C83" s="61"/>
      <c r="D83" s="61"/>
      <c r="E83" s="61"/>
      <c r="F83" s="61"/>
      <c r="G83" s="64"/>
      <c r="H83" s="65"/>
      <c r="I83" s="62"/>
      <c r="J83" s="62"/>
      <c r="K83" s="62"/>
      <c r="L83" s="64"/>
      <c r="M83" s="62"/>
      <c r="N83" s="65"/>
      <c r="O83" s="27"/>
    </row>
    <row r="84" spans="1:15" ht="24.95" customHeight="1" x14ac:dyDescent="0.2">
      <c r="A84" s="61"/>
      <c r="B84" s="63"/>
      <c r="C84" s="61"/>
      <c r="D84" s="61"/>
      <c r="E84" s="61"/>
      <c r="F84" s="61"/>
      <c r="G84" s="64"/>
      <c r="H84" s="65"/>
      <c r="I84" s="62"/>
      <c r="J84" s="62"/>
      <c r="K84" s="62"/>
      <c r="L84" s="64"/>
      <c r="M84" s="62"/>
      <c r="N84" s="65"/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6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6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6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6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6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6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6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6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6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6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6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6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6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pageMargins left="0.7" right="0.7" top="0.75" bottom="0.75" header="0.3" footer="0.3"/>
  <pageSetup scale="65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5E637-66DF-4A0E-987E-00B74EA8D2BC}">
  <sheetPr codeName="Sheet15">
    <tabColor rgb="FFFF0000"/>
  </sheetPr>
  <dimension ref="A1:S651"/>
  <sheetViews>
    <sheetView zoomScaleNormal="100" workbookViewId="0">
      <selection activeCell="AA8" sqref="AA8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9.140625" style="24"/>
    <col min="17" max="18" width="9.140625" style="147"/>
  </cols>
  <sheetData>
    <row r="1" spans="1:19" ht="38.2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Q1" s="146" t="s">
        <v>333</v>
      </c>
      <c r="R1" s="146" t="s">
        <v>334</v>
      </c>
      <c r="S1" s="1"/>
    </row>
    <row r="2" spans="1:19" ht="24.95" customHeight="1" x14ac:dyDescent="0.2">
      <c r="A2" s="113">
        <v>1</v>
      </c>
      <c r="B2" s="50">
        <v>30</v>
      </c>
      <c r="C2" s="134" t="s">
        <v>295</v>
      </c>
      <c r="D2" s="92">
        <v>3</v>
      </c>
      <c r="E2" s="49">
        <v>5.92</v>
      </c>
      <c r="F2" s="49">
        <v>3</v>
      </c>
      <c r="G2" s="57">
        <v>6.52</v>
      </c>
      <c r="H2" s="100">
        <v>2.48</v>
      </c>
      <c r="I2" s="104">
        <v>5</v>
      </c>
      <c r="J2" s="53">
        <v>8.7200000000000006</v>
      </c>
      <c r="K2" s="53">
        <v>5</v>
      </c>
      <c r="L2" s="57">
        <v>9.7200000000000006</v>
      </c>
      <c r="M2" s="53">
        <v>16.239999999999998</v>
      </c>
      <c r="N2" s="100">
        <v>1</v>
      </c>
      <c r="O2" s="109"/>
    </row>
    <row r="3" spans="1:19" ht="24.95" customHeight="1" x14ac:dyDescent="0.2">
      <c r="A3" s="114">
        <v>2</v>
      </c>
      <c r="B3" s="63">
        <v>58</v>
      </c>
      <c r="C3" s="116" t="s">
        <v>212</v>
      </c>
      <c r="D3" s="70">
        <v>3</v>
      </c>
      <c r="E3" s="61">
        <v>4.8</v>
      </c>
      <c r="F3" s="61">
        <v>3</v>
      </c>
      <c r="G3" s="64">
        <v>5.4</v>
      </c>
      <c r="H3" s="101">
        <v>2.12</v>
      </c>
      <c r="I3" s="105">
        <v>7</v>
      </c>
      <c r="J3" s="62">
        <v>7.24</v>
      </c>
      <c r="K3" s="62">
        <v>7</v>
      </c>
      <c r="L3" s="64">
        <v>8.64</v>
      </c>
      <c r="M3" s="62">
        <v>14.04</v>
      </c>
      <c r="N3" s="101">
        <v>2</v>
      </c>
      <c r="O3" s="110"/>
    </row>
    <row r="4" spans="1:19" ht="24.95" customHeight="1" x14ac:dyDescent="0.2">
      <c r="A4" s="114">
        <v>3</v>
      </c>
      <c r="B4" s="63">
        <v>23</v>
      </c>
      <c r="C4" s="116" t="s">
        <v>251</v>
      </c>
      <c r="D4" s="70">
        <v>2</v>
      </c>
      <c r="E4" s="61">
        <v>4.92</v>
      </c>
      <c r="F4" s="61">
        <v>2</v>
      </c>
      <c r="G4" s="64">
        <v>5.32</v>
      </c>
      <c r="H4" s="101">
        <v>2.56</v>
      </c>
      <c r="I4" s="105">
        <v>5</v>
      </c>
      <c r="J4" s="62">
        <v>7.44</v>
      </c>
      <c r="K4" s="62">
        <v>5</v>
      </c>
      <c r="L4" s="64">
        <v>8.44</v>
      </c>
      <c r="M4" s="62">
        <v>13.76</v>
      </c>
      <c r="N4" s="101">
        <v>0</v>
      </c>
      <c r="O4" s="110"/>
    </row>
    <row r="5" spans="1:19" ht="24.95" customHeight="1" x14ac:dyDescent="0.2">
      <c r="A5" s="114">
        <v>4</v>
      </c>
      <c r="B5" s="63">
        <v>64</v>
      </c>
      <c r="C5" s="116" t="s">
        <v>320</v>
      </c>
      <c r="D5" s="70">
        <v>2</v>
      </c>
      <c r="E5" s="61">
        <v>4</v>
      </c>
      <c r="F5" s="61">
        <v>2</v>
      </c>
      <c r="G5" s="64">
        <v>4.4000000000000004</v>
      </c>
      <c r="H5" s="101">
        <v>2</v>
      </c>
      <c r="I5" s="105">
        <v>4</v>
      </c>
      <c r="J5" s="62">
        <v>7.7</v>
      </c>
      <c r="K5" s="62">
        <v>4</v>
      </c>
      <c r="L5" s="64">
        <v>8.5</v>
      </c>
      <c r="M5" s="62">
        <v>12.9</v>
      </c>
      <c r="N5" s="101">
        <v>0</v>
      </c>
      <c r="O5" s="110"/>
    </row>
    <row r="6" spans="1:19" ht="24.95" customHeight="1" x14ac:dyDescent="0.2">
      <c r="A6" s="114">
        <v>5</v>
      </c>
      <c r="B6" s="63">
        <v>33</v>
      </c>
      <c r="C6" s="116" t="s">
        <v>298</v>
      </c>
      <c r="D6" s="70">
        <v>4</v>
      </c>
      <c r="E6" s="61">
        <v>5.84</v>
      </c>
      <c r="F6" s="61">
        <v>4</v>
      </c>
      <c r="G6" s="64">
        <v>6.64</v>
      </c>
      <c r="H6" s="101">
        <v>2.25</v>
      </c>
      <c r="I6" s="105">
        <v>4</v>
      </c>
      <c r="J6" s="62">
        <v>5</v>
      </c>
      <c r="K6" s="62">
        <v>4</v>
      </c>
      <c r="L6" s="64">
        <v>5.8</v>
      </c>
      <c r="M6" s="62">
        <v>12.44</v>
      </c>
      <c r="N6" s="101">
        <v>0</v>
      </c>
      <c r="O6" s="110"/>
    </row>
    <row r="7" spans="1:19" ht="24.95" customHeight="1" x14ac:dyDescent="0.2">
      <c r="A7" s="114">
        <v>6</v>
      </c>
      <c r="B7" s="63">
        <v>69</v>
      </c>
      <c r="C7" s="116" t="s">
        <v>224</v>
      </c>
      <c r="D7" s="70">
        <v>4</v>
      </c>
      <c r="E7" s="61">
        <v>6</v>
      </c>
      <c r="F7" s="61">
        <v>4</v>
      </c>
      <c r="G7" s="64">
        <v>6.8</v>
      </c>
      <c r="H7" s="101">
        <v>2.1800000000000002</v>
      </c>
      <c r="I7" s="105">
        <v>2</v>
      </c>
      <c r="J7" s="62">
        <v>4.04</v>
      </c>
      <c r="K7" s="62">
        <v>2</v>
      </c>
      <c r="L7" s="64">
        <v>4.4400000000000004</v>
      </c>
      <c r="M7" s="62">
        <v>11.24</v>
      </c>
      <c r="N7" s="101">
        <v>0</v>
      </c>
      <c r="O7" s="110"/>
    </row>
    <row r="8" spans="1:19" ht="24.95" customHeight="1" x14ac:dyDescent="0.2">
      <c r="A8" s="114">
        <v>7</v>
      </c>
      <c r="B8" s="63">
        <v>1</v>
      </c>
      <c r="C8" s="115" t="s">
        <v>197</v>
      </c>
      <c r="D8" s="70">
        <v>4</v>
      </c>
      <c r="E8" s="61">
        <v>6.28</v>
      </c>
      <c r="F8" s="61">
        <v>4</v>
      </c>
      <c r="G8" s="64">
        <v>7.08</v>
      </c>
      <c r="H8" s="101">
        <v>2.1800000000000002</v>
      </c>
      <c r="I8" s="105">
        <v>2</v>
      </c>
      <c r="J8" s="62">
        <v>3.72</v>
      </c>
      <c r="K8" s="62">
        <v>2</v>
      </c>
      <c r="L8" s="64">
        <v>4.12</v>
      </c>
      <c r="M8" s="62">
        <v>11.2</v>
      </c>
      <c r="N8" s="101">
        <v>0</v>
      </c>
      <c r="O8" s="110"/>
    </row>
    <row r="9" spans="1:19" ht="24.95" customHeight="1" x14ac:dyDescent="0.2">
      <c r="A9" s="114">
        <v>8</v>
      </c>
      <c r="B9" s="63">
        <v>35</v>
      </c>
      <c r="C9" s="116" t="s">
        <v>208</v>
      </c>
      <c r="D9" s="70">
        <v>3</v>
      </c>
      <c r="E9" s="61">
        <v>5.32</v>
      </c>
      <c r="F9" s="61">
        <v>3</v>
      </c>
      <c r="G9" s="64">
        <v>5.92</v>
      </c>
      <c r="H9" s="101">
        <v>2.4</v>
      </c>
      <c r="I9" s="105">
        <v>2</v>
      </c>
      <c r="J9" s="62">
        <v>4.84</v>
      </c>
      <c r="K9" s="62">
        <v>2</v>
      </c>
      <c r="L9" s="64">
        <v>5.24</v>
      </c>
      <c r="M9" s="62">
        <v>11.16</v>
      </c>
      <c r="N9" s="101">
        <v>0</v>
      </c>
      <c r="O9" s="110"/>
    </row>
    <row r="10" spans="1:19" ht="24.95" customHeight="1" x14ac:dyDescent="0.2">
      <c r="A10" s="114">
        <v>9</v>
      </c>
      <c r="B10" s="63">
        <v>27</v>
      </c>
      <c r="C10" s="116" t="s">
        <v>234</v>
      </c>
      <c r="D10" s="70">
        <v>3</v>
      </c>
      <c r="E10" s="61">
        <v>4.7</v>
      </c>
      <c r="F10" s="61">
        <v>3</v>
      </c>
      <c r="G10" s="64">
        <v>5.3</v>
      </c>
      <c r="H10" s="101">
        <v>2.2000000000000002</v>
      </c>
      <c r="I10" s="105">
        <v>3</v>
      </c>
      <c r="J10" s="62">
        <v>5.14</v>
      </c>
      <c r="K10" s="62">
        <v>3</v>
      </c>
      <c r="L10" s="64">
        <v>5.74</v>
      </c>
      <c r="M10" s="62">
        <v>11.04</v>
      </c>
      <c r="N10" s="101">
        <v>0</v>
      </c>
      <c r="O10" s="110"/>
    </row>
    <row r="11" spans="1:19" ht="24.95" customHeight="1" x14ac:dyDescent="0.2">
      <c r="A11" s="114">
        <v>10</v>
      </c>
      <c r="B11" s="63">
        <v>42</v>
      </c>
      <c r="C11" s="116" t="s">
        <v>305</v>
      </c>
      <c r="D11" s="70">
        <v>3</v>
      </c>
      <c r="E11" s="61">
        <v>5.38</v>
      </c>
      <c r="F11" s="61">
        <v>3</v>
      </c>
      <c r="G11" s="64">
        <v>5.98</v>
      </c>
      <c r="H11" s="101">
        <v>2.2999999999999998</v>
      </c>
      <c r="I11" s="105">
        <v>2</v>
      </c>
      <c r="J11" s="62">
        <v>4.5999999999999996</v>
      </c>
      <c r="K11" s="62">
        <v>2</v>
      </c>
      <c r="L11" s="64">
        <v>5</v>
      </c>
      <c r="M11" s="62">
        <v>10.98</v>
      </c>
      <c r="N11" s="101">
        <v>0</v>
      </c>
      <c r="O11" s="110"/>
    </row>
    <row r="12" spans="1:19" ht="24.95" customHeight="1" x14ac:dyDescent="0.2">
      <c r="A12" s="114">
        <v>11</v>
      </c>
      <c r="B12" s="63">
        <v>68</v>
      </c>
      <c r="C12" s="116" t="s">
        <v>323</v>
      </c>
      <c r="D12" s="70">
        <v>4</v>
      </c>
      <c r="E12" s="61">
        <v>5.98</v>
      </c>
      <c r="F12" s="61">
        <v>4</v>
      </c>
      <c r="G12" s="64">
        <v>6.78</v>
      </c>
      <c r="H12" s="101">
        <v>2.2000000000000002</v>
      </c>
      <c r="I12" s="105">
        <v>2</v>
      </c>
      <c r="J12" s="62">
        <v>3.78</v>
      </c>
      <c r="K12" s="62">
        <v>2</v>
      </c>
      <c r="L12" s="64">
        <v>4.18</v>
      </c>
      <c r="M12" s="62">
        <v>10.96</v>
      </c>
      <c r="N12" s="101">
        <v>0</v>
      </c>
      <c r="O12" s="110"/>
    </row>
    <row r="13" spans="1:19" ht="24.95" customHeight="1" x14ac:dyDescent="0.2">
      <c r="A13" s="114">
        <v>12</v>
      </c>
      <c r="B13" s="63">
        <v>16</v>
      </c>
      <c r="C13" s="116" t="s">
        <v>330</v>
      </c>
      <c r="D13" s="70">
        <v>2</v>
      </c>
      <c r="E13" s="61">
        <v>4.22</v>
      </c>
      <c r="F13" s="61">
        <v>2</v>
      </c>
      <c r="G13" s="64">
        <v>4.62</v>
      </c>
      <c r="H13" s="101">
        <v>2.1800000000000002</v>
      </c>
      <c r="I13" s="105">
        <v>4</v>
      </c>
      <c r="J13" s="62">
        <v>5.2</v>
      </c>
      <c r="K13" s="62">
        <v>4</v>
      </c>
      <c r="L13" s="64">
        <v>6</v>
      </c>
      <c r="M13" s="62">
        <v>10.62</v>
      </c>
      <c r="N13" s="101">
        <v>0</v>
      </c>
      <c r="O13" s="110"/>
    </row>
    <row r="14" spans="1:19" ht="24.95" customHeight="1" x14ac:dyDescent="0.2">
      <c r="A14" s="114">
        <v>13</v>
      </c>
      <c r="B14" s="63">
        <v>44</v>
      </c>
      <c r="C14" s="116" t="s">
        <v>307</v>
      </c>
      <c r="D14" s="70">
        <v>3</v>
      </c>
      <c r="E14" s="61">
        <v>5.08</v>
      </c>
      <c r="F14" s="61">
        <v>3</v>
      </c>
      <c r="G14" s="64">
        <v>5.68</v>
      </c>
      <c r="H14" s="101">
        <v>2.12</v>
      </c>
      <c r="I14" s="105">
        <v>2</v>
      </c>
      <c r="J14" s="62">
        <v>4.24</v>
      </c>
      <c r="K14" s="62">
        <v>2</v>
      </c>
      <c r="L14" s="64">
        <v>4.6399999999999997</v>
      </c>
      <c r="M14" s="62">
        <v>10.32</v>
      </c>
      <c r="N14" s="101">
        <v>0</v>
      </c>
      <c r="O14" s="110"/>
    </row>
    <row r="15" spans="1:19" ht="24.95" customHeight="1" x14ac:dyDescent="0.2">
      <c r="A15" s="114">
        <v>14</v>
      </c>
      <c r="B15" s="63">
        <v>56</v>
      </c>
      <c r="C15" s="116" t="s">
        <v>200</v>
      </c>
      <c r="D15" s="70">
        <v>2</v>
      </c>
      <c r="E15" s="61">
        <v>4.16</v>
      </c>
      <c r="F15" s="61">
        <v>2</v>
      </c>
      <c r="G15" s="64">
        <v>4.5599999999999996</v>
      </c>
      <c r="H15" s="101">
        <v>2.08</v>
      </c>
      <c r="I15" s="105">
        <v>3</v>
      </c>
      <c r="J15" s="62">
        <v>4.6399999999999997</v>
      </c>
      <c r="K15" s="62">
        <v>3</v>
      </c>
      <c r="L15" s="64">
        <v>5.24</v>
      </c>
      <c r="M15" s="62">
        <v>9.8000000000000007</v>
      </c>
      <c r="N15" s="101">
        <v>0</v>
      </c>
      <c r="O15" s="110"/>
    </row>
    <row r="16" spans="1:19" ht="24.95" customHeight="1" x14ac:dyDescent="0.2">
      <c r="A16" s="114">
        <v>15</v>
      </c>
      <c r="B16" s="63">
        <v>63</v>
      </c>
      <c r="C16" s="116" t="s">
        <v>238</v>
      </c>
      <c r="D16" s="70">
        <v>1</v>
      </c>
      <c r="E16" s="61">
        <v>2.34</v>
      </c>
      <c r="F16" s="61">
        <v>1</v>
      </c>
      <c r="G16" s="64">
        <v>2.54</v>
      </c>
      <c r="H16" s="101">
        <v>2.34</v>
      </c>
      <c r="I16" s="105">
        <v>5</v>
      </c>
      <c r="J16" s="62">
        <v>6</v>
      </c>
      <c r="K16" s="62">
        <v>5</v>
      </c>
      <c r="L16" s="64">
        <v>7</v>
      </c>
      <c r="M16" s="62">
        <v>9.5399999999999991</v>
      </c>
      <c r="N16" s="101">
        <v>0</v>
      </c>
      <c r="O16" s="110"/>
    </row>
    <row r="17" spans="1:15" ht="24.95" customHeight="1" x14ac:dyDescent="0.2">
      <c r="A17" s="114">
        <v>16</v>
      </c>
      <c r="B17" s="63">
        <v>59</v>
      </c>
      <c r="C17" s="116" t="s">
        <v>231</v>
      </c>
      <c r="D17" s="70">
        <v>1</v>
      </c>
      <c r="E17" s="61">
        <v>2.2400000000000002</v>
      </c>
      <c r="F17" s="61">
        <v>1</v>
      </c>
      <c r="G17" s="64">
        <v>2.44</v>
      </c>
      <c r="H17" s="101">
        <v>2.2400000000000002</v>
      </c>
      <c r="I17" s="105">
        <v>4</v>
      </c>
      <c r="J17" s="62">
        <v>6.2</v>
      </c>
      <c r="K17" s="62">
        <v>4</v>
      </c>
      <c r="L17" s="64">
        <v>7</v>
      </c>
      <c r="M17" s="62">
        <v>9.44</v>
      </c>
      <c r="N17" s="101">
        <v>0</v>
      </c>
      <c r="O17" s="110"/>
    </row>
    <row r="18" spans="1:15" ht="24.95" customHeight="1" x14ac:dyDescent="0.2">
      <c r="A18" s="114">
        <v>17</v>
      </c>
      <c r="B18" s="63">
        <v>18</v>
      </c>
      <c r="C18" s="116" t="s">
        <v>242</v>
      </c>
      <c r="D18" s="70">
        <v>2</v>
      </c>
      <c r="E18" s="61">
        <v>4.3600000000000003</v>
      </c>
      <c r="F18" s="61">
        <v>2</v>
      </c>
      <c r="G18" s="64">
        <v>4.76</v>
      </c>
      <c r="H18" s="101">
        <v>2.0299999999999998</v>
      </c>
      <c r="I18" s="105">
        <v>2</v>
      </c>
      <c r="J18" s="62" t="s">
        <v>331</v>
      </c>
      <c r="K18" s="62">
        <v>2</v>
      </c>
      <c r="L18" s="64">
        <v>4.5599999999999996</v>
      </c>
      <c r="M18" s="62">
        <v>9.32</v>
      </c>
      <c r="N18" s="101">
        <v>0</v>
      </c>
      <c r="O18" s="110"/>
    </row>
    <row r="19" spans="1:15" ht="24.95" customHeight="1" x14ac:dyDescent="0.2">
      <c r="A19" s="114">
        <v>18</v>
      </c>
      <c r="B19" s="63">
        <v>34</v>
      </c>
      <c r="C19" s="116" t="s">
        <v>228</v>
      </c>
      <c r="D19" s="70">
        <v>2</v>
      </c>
      <c r="E19" s="61">
        <v>4.0999999999999996</v>
      </c>
      <c r="F19" s="61">
        <v>2</v>
      </c>
      <c r="G19" s="64">
        <v>4.5</v>
      </c>
      <c r="H19" s="101">
        <v>2.08</v>
      </c>
      <c r="I19" s="105">
        <v>6</v>
      </c>
      <c r="J19" s="62">
        <v>3.54</v>
      </c>
      <c r="K19" s="62">
        <v>6</v>
      </c>
      <c r="L19" s="64">
        <v>4.74</v>
      </c>
      <c r="M19" s="62">
        <v>9.24</v>
      </c>
      <c r="N19" s="101">
        <v>0</v>
      </c>
      <c r="O19" s="110"/>
    </row>
    <row r="20" spans="1:15" ht="24.95" customHeight="1" x14ac:dyDescent="0.2">
      <c r="A20" s="114">
        <v>19</v>
      </c>
      <c r="B20" s="63">
        <v>50</v>
      </c>
      <c r="C20" s="116" t="s">
        <v>312</v>
      </c>
      <c r="D20" s="70">
        <v>3</v>
      </c>
      <c r="E20" s="61">
        <v>5.0599999999999996</v>
      </c>
      <c r="F20" s="61">
        <v>3</v>
      </c>
      <c r="G20" s="64">
        <v>5.66</v>
      </c>
      <c r="H20" s="101">
        <v>2.08</v>
      </c>
      <c r="I20" s="105">
        <v>2</v>
      </c>
      <c r="J20" s="62">
        <v>3.12</v>
      </c>
      <c r="K20" s="62">
        <v>2</v>
      </c>
      <c r="L20" s="64">
        <v>3.52</v>
      </c>
      <c r="M20" s="62">
        <v>9.18</v>
      </c>
      <c r="N20" s="101">
        <v>0</v>
      </c>
      <c r="O20" s="110"/>
    </row>
    <row r="21" spans="1:15" ht="24.95" customHeight="1" x14ac:dyDescent="0.2">
      <c r="A21" s="114">
        <v>20</v>
      </c>
      <c r="B21" s="63">
        <v>74</v>
      </c>
      <c r="C21" s="116" t="s">
        <v>327</v>
      </c>
      <c r="D21" s="70">
        <v>2</v>
      </c>
      <c r="E21" s="61">
        <v>4.0999999999999996</v>
      </c>
      <c r="F21" s="61">
        <v>2</v>
      </c>
      <c r="G21" s="64">
        <v>4.5</v>
      </c>
      <c r="H21" s="101">
        <v>1.84</v>
      </c>
      <c r="I21" s="105">
        <v>2</v>
      </c>
      <c r="J21" s="62">
        <v>4.12</v>
      </c>
      <c r="K21" s="62">
        <v>2</v>
      </c>
      <c r="L21" s="64">
        <v>4.5199999999999996</v>
      </c>
      <c r="M21" s="62">
        <v>9.02</v>
      </c>
      <c r="N21" s="101">
        <v>0</v>
      </c>
      <c r="O21" s="110"/>
    </row>
    <row r="22" spans="1:15" ht="24.95" customHeight="1" x14ac:dyDescent="0.2">
      <c r="A22" s="114">
        <v>21</v>
      </c>
      <c r="B22" s="63">
        <v>72</v>
      </c>
      <c r="C22" s="116" t="s">
        <v>326</v>
      </c>
      <c r="D22" s="70">
        <v>2</v>
      </c>
      <c r="E22" s="61">
        <v>4.16</v>
      </c>
      <c r="F22" s="61">
        <v>2</v>
      </c>
      <c r="G22" s="64">
        <v>4.5599999999999996</v>
      </c>
      <c r="H22" s="101">
        <v>2.12</v>
      </c>
      <c r="I22" s="105">
        <v>2</v>
      </c>
      <c r="J22" s="62">
        <v>3.84</v>
      </c>
      <c r="K22" s="62">
        <v>2</v>
      </c>
      <c r="L22" s="64">
        <v>4.24</v>
      </c>
      <c r="M22" s="62">
        <v>8.8000000000000007</v>
      </c>
      <c r="N22" s="101">
        <v>0</v>
      </c>
      <c r="O22" s="110"/>
    </row>
    <row r="23" spans="1:15" ht="24.95" customHeight="1" x14ac:dyDescent="0.2">
      <c r="A23" s="114">
        <v>22</v>
      </c>
      <c r="B23" s="63">
        <v>43</v>
      </c>
      <c r="C23" s="116" t="s">
        <v>306</v>
      </c>
      <c r="D23" s="70">
        <v>2</v>
      </c>
      <c r="E23" s="61">
        <v>4.04</v>
      </c>
      <c r="F23" s="61">
        <v>2</v>
      </c>
      <c r="G23" s="64">
        <v>4.4400000000000004</v>
      </c>
      <c r="H23" s="101">
        <v>2.06</v>
      </c>
      <c r="I23" s="105">
        <v>2</v>
      </c>
      <c r="J23" s="62">
        <v>3.92</v>
      </c>
      <c r="K23" s="62">
        <v>2</v>
      </c>
      <c r="L23" s="64">
        <v>4.32</v>
      </c>
      <c r="M23" s="62">
        <v>8.76</v>
      </c>
      <c r="N23" s="101">
        <v>0</v>
      </c>
      <c r="O23" s="110"/>
    </row>
    <row r="24" spans="1:15" ht="24.95" customHeight="1" x14ac:dyDescent="0.2">
      <c r="A24" s="114">
        <v>23</v>
      </c>
      <c r="B24" s="63">
        <v>9</v>
      </c>
      <c r="C24" s="115" t="s">
        <v>283</v>
      </c>
      <c r="D24" s="70">
        <v>1</v>
      </c>
      <c r="E24" s="61">
        <v>1.84</v>
      </c>
      <c r="F24" s="61">
        <v>1</v>
      </c>
      <c r="G24" s="64">
        <v>2.04</v>
      </c>
      <c r="H24" s="101">
        <v>1.84</v>
      </c>
      <c r="I24" s="105">
        <v>3</v>
      </c>
      <c r="J24" s="62">
        <v>5.54</v>
      </c>
      <c r="K24" s="62">
        <v>3</v>
      </c>
      <c r="L24" s="64">
        <v>6.14</v>
      </c>
      <c r="M24" s="62">
        <v>8.18</v>
      </c>
      <c r="N24" s="101">
        <v>0</v>
      </c>
      <c r="O24" s="110"/>
    </row>
    <row r="25" spans="1:15" ht="24.95" customHeight="1" x14ac:dyDescent="0.2">
      <c r="A25" s="114">
        <v>24</v>
      </c>
      <c r="B25" s="63">
        <v>38</v>
      </c>
      <c r="C25" s="116" t="s">
        <v>301</v>
      </c>
      <c r="D25" s="70">
        <v>0</v>
      </c>
      <c r="E25" s="61">
        <v>0</v>
      </c>
      <c r="F25" s="61">
        <v>0</v>
      </c>
      <c r="G25" s="64">
        <v>0</v>
      </c>
      <c r="H25" s="101">
        <v>0</v>
      </c>
      <c r="I25" s="105">
        <v>5</v>
      </c>
      <c r="J25" s="62">
        <v>6.56</v>
      </c>
      <c r="K25" s="62">
        <v>5</v>
      </c>
      <c r="L25" s="64">
        <v>7.56</v>
      </c>
      <c r="M25" s="62">
        <v>7.56</v>
      </c>
      <c r="N25" s="101">
        <v>0</v>
      </c>
      <c r="O25" s="110"/>
    </row>
    <row r="26" spans="1:15" ht="24.95" customHeight="1" x14ac:dyDescent="0.2">
      <c r="A26" s="114">
        <v>25</v>
      </c>
      <c r="B26" s="63">
        <v>49</v>
      </c>
      <c r="C26" s="116" t="s">
        <v>311</v>
      </c>
      <c r="D26" s="70">
        <v>0</v>
      </c>
      <c r="E26" s="61">
        <v>0</v>
      </c>
      <c r="F26" s="61">
        <v>0</v>
      </c>
      <c r="G26" s="64">
        <v>0</v>
      </c>
      <c r="H26" s="101">
        <v>0</v>
      </c>
      <c r="I26" s="105">
        <v>5</v>
      </c>
      <c r="J26" s="62">
        <v>6.48</v>
      </c>
      <c r="K26" s="62">
        <v>5</v>
      </c>
      <c r="L26" s="64">
        <v>7.48</v>
      </c>
      <c r="M26" s="62">
        <v>7.48</v>
      </c>
      <c r="N26" s="101">
        <v>0</v>
      </c>
      <c r="O26" s="110"/>
    </row>
    <row r="27" spans="1:15" ht="24.95" customHeight="1" x14ac:dyDescent="0.2">
      <c r="A27" s="114">
        <v>26</v>
      </c>
      <c r="B27" s="63">
        <v>13</v>
      </c>
      <c r="C27" s="116" t="s">
        <v>287</v>
      </c>
      <c r="D27" s="70">
        <v>2</v>
      </c>
      <c r="E27" s="61">
        <v>2.8</v>
      </c>
      <c r="F27" s="61">
        <v>2</v>
      </c>
      <c r="G27" s="64">
        <v>3.2</v>
      </c>
      <c r="H27" s="101">
        <v>2.2599999999999998</v>
      </c>
      <c r="I27" s="105">
        <v>2</v>
      </c>
      <c r="J27" s="62">
        <v>3.84</v>
      </c>
      <c r="K27" s="62">
        <v>2</v>
      </c>
      <c r="L27" s="64">
        <v>4.24</v>
      </c>
      <c r="M27" s="62">
        <v>7.44</v>
      </c>
      <c r="N27" s="101">
        <v>0</v>
      </c>
      <c r="O27" s="110"/>
    </row>
    <row r="28" spans="1:15" ht="24.95" customHeight="1" x14ac:dyDescent="0.2">
      <c r="A28" s="114">
        <v>27</v>
      </c>
      <c r="B28" s="63">
        <v>53</v>
      </c>
      <c r="C28" s="116" t="s">
        <v>314</v>
      </c>
      <c r="D28" s="70">
        <v>1</v>
      </c>
      <c r="E28" s="61">
        <v>1.96</v>
      </c>
      <c r="F28" s="61">
        <v>1</v>
      </c>
      <c r="G28" s="64">
        <v>2.16</v>
      </c>
      <c r="H28" s="101">
        <v>1.96</v>
      </c>
      <c r="I28" s="105">
        <v>3</v>
      </c>
      <c r="J28" s="62">
        <v>4.58</v>
      </c>
      <c r="K28" s="62">
        <v>3</v>
      </c>
      <c r="L28" s="64">
        <v>5.18</v>
      </c>
      <c r="M28" s="62">
        <v>7.34</v>
      </c>
      <c r="N28" s="101">
        <v>0</v>
      </c>
      <c r="O28" s="110"/>
    </row>
    <row r="29" spans="1:15" ht="24.95" customHeight="1" x14ac:dyDescent="0.2">
      <c r="A29" s="114">
        <v>28</v>
      </c>
      <c r="B29" s="63">
        <v>5</v>
      </c>
      <c r="C29" s="116" t="s">
        <v>241</v>
      </c>
      <c r="D29" s="70">
        <v>0</v>
      </c>
      <c r="E29" s="61">
        <v>0</v>
      </c>
      <c r="F29" s="61">
        <v>0</v>
      </c>
      <c r="G29" s="64">
        <v>0</v>
      </c>
      <c r="H29" s="101">
        <v>0</v>
      </c>
      <c r="I29" s="105">
        <v>4</v>
      </c>
      <c r="J29" s="62">
        <v>6.46</v>
      </c>
      <c r="K29" s="62">
        <v>4</v>
      </c>
      <c r="L29" s="64">
        <v>7.26</v>
      </c>
      <c r="M29" s="62">
        <v>7.26</v>
      </c>
      <c r="N29" s="101">
        <v>0</v>
      </c>
      <c r="O29" s="110"/>
    </row>
    <row r="30" spans="1:15" ht="24.95" customHeight="1" x14ac:dyDescent="0.2">
      <c r="A30" s="114">
        <v>29</v>
      </c>
      <c r="B30" s="63">
        <v>60</v>
      </c>
      <c r="C30" s="116" t="s">
        <v>317</v>
      </c>
      <c r="D30" s="70">
        <v>3</v>
      </c>
      <c r="E30" s="61">
        <v>3.28</v>
      </c>
      <c r="F30" s="61">
        <v>3</v>
      </c>
      <c r="G30" s="64">
        <v>3.88</v>
      </c>
      <c r="H30" s="101">
        <v>1.9</v>
      </c>
      <c r="I30" s="105">
        <v>2</v>
      </c>
      <c r="J30" s="62">
        <v>2.94</v>
      </c>
      <c r="K30" s="62">
        <v>2</v>
      </c>
      <c r="L30" s="64">
        <v>3.34</v>
      </c>
      <c r="M30" s="62">
        <v>7.22</v>
      </c>
      <c r="N30" s="101">
        <v>0</v>
      </c>
      <c r="O30" s="110"/>
    </row>
    <row r="31" spans="1:15" ht="24.95" customHeight="1" x14ac:dyDescent="0.2">
      <c r="A31" s="114">
        <v>30</v>
      </c>
      <c r="B31" s="63">
        <v>24</v>
      </c>
      <c r="C31" s="116" t="s">
        <v>253</v>
      </c>
      <c r="D31" s="70">
        <v>2</v>
      </c>
      <c r="E31" s="61">
        <v>4.4000000000000004</v>
      </c>
      <c r="F31" s="61">
        <v>2</v>
      </c>
      <c r="G31" s="64">
        <v>4.8</v>
      </c>
      <c r="H31" s="101">
        <v>2.36</v>
      </c>
      <c r="I31" s="105">
        <v>1</v>
      </c>
      <c r="J31" s="62">
        <v>2.02</v>
      </c>
      <c r="K31" s="62">
        <v>1</v>
      </c>
      <c r="L31" s="64">
        <v>2.2200000000000002</v>
      </c>
      <c r="M31" s="62">
        <v>7.02</v>
      </c>
      <c r="N31" s="101">
        <v>0</v>
      </c>
      <c r="O31" s="110"/>
    </row>
    <row r="32" spans="1:15" ht="24.95" customHeight="1" x14ac:dyDescent="0.2">
      <c r="A32" s="114">
        <v>31</v>
      </c>
      <c r="B32" s="63">
        <v>20</v>
      </c>
      <c r="C32" s="116" t="s">
        <v>291</v>
      </c>
      <c r="D32" s="70">
        <v>2</v>
      </c>
      <c r="E32" s="61">
        <v>4.08</v>
      </c>
      <c r="F32" s="61">
        <v>2</v>
      </c>
      <c r="G32" s="64">
        <v>4.4800000000000004</v>
      </c>
      <c r="H32" s="101">
        <v>2.06</v>
      </c>
      <c r="I32" s="105">
        <v>1</v>
      </c>
      <c r="J32" s="62">
        <v>2.2000000000000002</v>
      </c>
      <c r="K32" s="62">
        <v>1</v>
      </c>
      <c r="L32" s="64">
        <v>2.4</v>
      </c>
      <c r="M32" s="62">
        <v>6.88</v>
      </c>
      <c r="N32" s="101">
        <v>0</v>
      </c>
      <c r="O32" s="110"/>
    </row>
    <row r="33" spans="1:15" ht="24.95" customHeight="1" x14ac:dyDescent="0.2">
      <c r="A33" s="114">
        <v>32</v>
      </c>
      <c r="B33" s="63">
        <v>15</v>
      </c>
      <c r="C33" s="116" t="s">
        <v>289</v>
      </c>
      <c r="D33" s="70">
        <v>0</v>
      </c>
      <c r="E33" s="61">
        <v>0</v>
      </c>
      <c r="F33" s="61">
        <v>0</v>
      </c>
      <c r="G33" s="64">
        <v>0</v>
      </c>
      <c r="H33" s="101">
        <v>0</v>
      </c>
      <c r="I33" s="105">
        <v>4</v>
      </c>
      <c r="J33" s="62">
        <v>6.06</v>
      </c>
      <c r="K33" s="62">
        <v>4</v>
      </c>
      <c r="L33" s="64">
        <v>6.86</v>
      </c>
      <c r="M33" s="62">
        <v>6.86</v>
      </c>
      <c r="N33" s="101">
        <v>0</v>
      </c>
      <c r="O33" s="110"/>
    </row>
    <row r="34" spans="1:15" ht="24.95" customHeight="1" x14ac:dyDescent="0.2">
      <c r="A34" s="114">
        <v>33</v>
      </c>
      <c r="B34" s="63">
        <v>2</v>
      </c>
      <c r="C34" s="116" t="s">
        <v>279</v>
      </c>
      <c r="D34" s="70">
        <v>2</v>
      </c>
      <c r="E34" s="61">
        <v>4.3600000000000003</v>
      </c>
      <c r="F34" s="61">
        <v>2</v>
      </c>
      <c r="G34" s="64">
        <v>4.76</v>
      </c>
      <c r="H34" s="101">
        <v>2.44</v>
      </c>
      <c r="I34" s="105">
        <v>1</v>
      </c>
      <c r="J34" s="62">
        <v>1.84</v>
      </c>
      <c r="K34" s="62">
        <v>1</v>
      </c>
      <c r="L34" s="64">
        <v>2.04</v>
      </c>
      <c r="M34" s="62">
        <v>6.8</v>
      </c>
      <c r="N34" s="101">
        <v>0</v>
      </c>
      <c r="O34" s="110"/>
    </row>
    <row r="35" spans="1:15" ht="24.95" customHeight="1" x14ac:dyDescent="0.2">
      <c r="A35" s="114">
        <v>34</v>
      </c>
      <c r="B35" s="63">
        <v>28</v>
      </c>
      <c r="C35" s="116" t="s">
        <v>210</v>
      </c>
      <c r="D35" s="70">
        <v>0</v>
      </c>
      <c r="E35" s="61">
        <v>0</v>
      </c>
      <c r="F35" s="61">
        <v>0</v>
      </c>
      <c r="G35" s="64">
        <v>0</v>
      </c>
      <c r="H35" s="101">
        <v>0</v>
      </c>
      <c r="I35" s="105">
        <v>4</v>
      </c>
      <c r="J35" s="62">
        <v>5.92</v>
      </c>
      <c r="K35" s="62">
        <v>4</v>
      </c>
      <c r="L35" s="64">
        <v>6.72</v>
      </c>
      <c r="M35" s="62">
        <v>6.72</v>
      </c>
      <c r="N35" s="101">
        <v>0</v>
      </c>
      <c r="O35" s="110"/>
    </row>
    <row r="36" spans="1:15" ht="24.95" customHeight="1" x14ac:dyDescent="0.2">
      <c r="A36" s="114">
        <v>35</v>
      </c>
      <c r="B36" s="63">
        <v>52</v>
      </c>
      <c r="C36" s="116" t="s">
        <v>219</v>
      </c>
      <c r="D36" s="70">
        <v>3</v>
      </c>
      <c r="E36" s="61">
        <v>6.08</v>
      </c>
      <c r="F36" s="61">
        <v>3</v>
      </c>
      <c r="G36" s="64">
        <v>6.68</v>
      </c>
      <c r="H36" s="101">
        <v>2.98</v>
      </c>
      <c r="I36" s="105">
        <v>0</v>
      </c>
      <c r="J36" s="62">
        <v>0</v>
      </c>
      <c r="K36" s="62">
        <v>0</v>
      </c>
      <c r="L36" s="64">
        <v>0</v>
      </c>
      <c r="M36" s="62">
        <v>6.68</v>
      </c>
      <c r="N36" s="101">
        <v>0</v>
      </c>
      <c r="O36" s="110"/>
    </row>
    <row r="37" spans="1:15" ht="24.95" customHeight="1" x14ac:dyDescent="0.2">
      <c r="A37" s="114">
        <v>36</v>
      </c>
      <c r="B37" s="63">
        <v>32</v>
      </c>
      <c r="C37" s="116" t="s">
        <v>297</v>
      </c>
      <c r="D37" s="70">
        <v>1</v>
      </c>
      <c r="E37" s="61">
        <v>1.82</v>
      </c>
      <c r="F37" s="61">
        <v>1</v>
      </c>
      <c r="G37" s="64">
        <v>2.02</v>
      </c>
      <c r="H37" s="101">
        <v>1.82</v>
      </c>
      <c r="I37" s="105">
        <v>3</v>
      </c>
      <c r="J37" s="62">
        <v>3.86</v>
      </c>
      <c r="K37" s="62">
        <v>3</v>
      </c>
      <c r="L37" s="64">
        <v>4.46</v>
      </c>
      <c r="M37" s="62">
        <v>6.48</v>
      </c>
      <c r="N37" s="101">
        <v>0</v>
      </c>
      <c r="O37" s="110"/>
    </row>
    <row r="38" spans="1:15" ht="24.95" customHeight="1" x14ac:dyDescent="0.2">
      <c r="A38" s="114">
        <v>37</v>
      </c>
      <c r="B38" s="63">
        <v>70</v>
      </c>
      <c r="C38" s="116" t="s">
        <v>324</v>
      </c>
      <c r="D38" s="70">
        <v>0</v>
      </c>
      <c r="E38" s="61">
        <v>0</v>
      </c>
      <c r="F38" s="61">
        <v>0</v>
      </c>
      <c r="G38" s="64">
        <v>0</v>
      </c>
      <c r="H38" s="101">
        <v>0</v>
      </c>
      <c r="I38" s="105">
        <v>3</v>
      </c>
      <c r="J38" s="62">
        <v>5.72</v>
      </c>
      <c r="K38" s="62">
        <v>3</v>
      </c>
      <c r="L38" s="64">
        <v>6.32</v>
      </c>
      <c r="M38" s="62">
        <v>6.32</v>
      </c>
      <c r="N38" s="101">
        <v>0</v>
      </c>
      <c r="O38" s="110"/>
    </row>
    <row r="39" spans="1:15" ht="24.95" customHeight="1" x14ac:dyDescent="0.2">
      <c r="A39" s="114">
        <v>38</v>
      </c>
      <c r="B39" s="63">
        <v>29</v>
      </c>
      <c r="C39" s="116" t="s">
        <v>294</v>
      </c>
      <c r="D39" s="70">
        <v>0</v>
      </c>
      <c r="E39" s="61">
        <v>0</v>
      </c>
      <c r="F39" s="61">
        <v>0</v>
      </c>
      <c r="G39" s="64">
        <v>0</v>
      </c>
      <c r="H39" s="101">
        <v>0</v>
      </c>
      <c r="I39" s="105">
        <v>2</v>
      </c>
      <c r="J39" s="62">
        <v>5.84</v>
      </c>
      <c r="K39" s="62">
        <v>2</v>
      </c>
      <c r="L39" s="64">
        <v>6.24</v>
      </c>
      <c r="M39" s="62">
        <v>6.24</v>
      </c>
      <c r="N39" s="101">
        <v>0</v>
      </c>
      <c r="O39" s="110"/>
    </row>
    <row r="40" spans="1:15" ht="24.95" customHeight="1" x14ac:dyDescent="0.2">
      <c r="A40" s="114">
        <v>39</v>
      </c>
      <c r="B40" s="63">
        <v>12</v>
      </c>
      <c r="C40" s="116" t="s">
        <v>286</v>
      </c>
      <c r="D40" s="70">
        <v>1</v>
      </c>
      <c r="E40" s="61">
        <v>1.02</v>
      </c>
      <c r="F40" s="61">
        <v>1</v>
      </c>
      <c r="G40" s="64">
        <v>1.22</v>
      </c>
      <c r="H40" s="101">
        <v>1.02</v>
      </c>
      <c r="I40" s="105">
        <v>2</v>
      </c>
      <c r="J40" s="62">
        <v>4.5</v>
      </c>
      <c r="K40" s="62">
        <v>2</v>
      </c>
      <c r="L40" s="64">
        <v>4.9000000000000004</v>
      </c>
      <c r="M40" s="62">
        <v>6.12</v>
      </c>
      <c r="N40" s="101">
        <v>0</v>
      </c>
      <c r="O40" s="110"/>
    </row>
    <row r="41" spans="1:15" ht="24.95" customHeight="1" x14ac:dyDescent="0.2">
      <c r="A41" s="114">
        <v>40</v>
      </c>
      <c r="B41" s="63">
        <v>73</v>
      </c>
      <c r="C41" s="116" t="s">
        <v>252</v>
      </c>
      <c r="D41" s="70">
        <v>2</v>
      </c>
      <c r="E41" s="61">
        <v>2.76</v>
      </c>
      <c r="F41" s="61">
        <v>2</v>
      </c>
      <c r="G41" s="64">
        <v>3.16</v>
      </c>
      <c r="H41" s="101">
        <v>1.94</v>
      </c>
      <c r="I41" s="105">
        <v>1</v>
      </c>
      <c r="J41" s="62">
        <v>2.54</v>
      </c>
      <c r="K41" s="62">
        <v>1</v>
      </c>
      <c r="L41" s="64">
        <v>2.74</v>
      </c>
      <c r="M41" s="62">
        <v>5.9</v>
      </c>
      <c r="N41" s="101">
        <v>0</v>
      </c>
      <c r="O41" s="110"/>
    </row>
    <row r="42" spans="1:15" ht="24.95" customHeight="1" x14ac:dyDescent="0.2">
      <c r="A42" s="114">
        <v>41</v>
      </c>
      <c r="B42" s="63">
        <v>4</v>
      </c>
      <c r="C42" s="115" t="s">
        <v>227</v>
      </c>
      <c r="D42" s="70">
        <v>2</v>
      </c>
      <c r="E42" s="61">
        <v>3.12</v>
      </c>
      <c r="F42" s="61">
        <v>2</v>
      </c>
      <c r="G42" s="64">
        <v>3.52</v>
      </c>
      <c r="H42" s="101">
        <v>2.2400000000000002</v>
      </c>
      <c r="I42" s="105">
        <v>1</v>
      </c>
      <c r="J42" s="62">
        <v>2.16</v>
      </c>
      <c r="K42" s="62">
        <v>1</v>
      </c>
      <c r="L42" s="64">
        <v>2.36</v>
      </c>
      <c r="M42" s="62">
        <v>5.88</v>
      </c>
      <c r="N42" s="101">
        <v>0</v>
      </c>
      <c r="O42" s="110"/>
    </row>
    <row r="43" spans="1:15" ht="24.95" customHeight="1" x14ac:dyDescent="0.2">
      <c r="A43" s="114">
        <v>42</v>
      </c>
      <c r="B43" s="63">
        <v>17</v>
      </c>
      <c r="C43" s="116" t="s">
        <v>226</v>
      </c>
      <c r="D43" s="70">
        <v>1</v>
      </c>
      <c r="E43" s="61">
        <v>2.48</v>
      </c>
      <c r="F43" s="61">
        <v>1</v>
      </c>
      <c r="G43" s="64">
        <v>2.68</v>
      </c>
      <c r="H43" s="101">
        <v>2.48</v>
      </c>
      <c r="I43" s="105">
        <v>2</v>
      </c>
      <c r="J43" s="62">
        <v>2.78</v>
      </c>
      <c r="K43" s="62">
        <v>2</v>
      </c>
      <c r="L43" s="64">
        <v>3.18</v>
      </c>
      <c r="M43" s="62">
        <v>5.86</v>
      </c>
      <c r="N43" s="101">
        <v>0</v>
      </c>
      <c r="O43" s="110"/>
    </row>
    <row r="44" spans="1:15" ht="24.95" customHeight="1" x14ac:dyDescent="0.2">
      <c r="A44" s="114">
        <v>43</v>
      </c>
      <c r="B44" s="63">
        <v>47</v>
      </c>
      <c r="C44" s="116" t="s">
        <v>310</v>
      </c>
      <c r="D44" s="70">
        <v>0</v>
      </c>
      <c r="E44" s="61">
        <v>0</v>
      </c>
      <c r="F44" s="61">
        <v>0</v>
      </c>
      <c r="G44" s="64">
        <v>0</v>
      </c>
      <c r="H44" s="101">
        <v>0</v>
      </c>
      <c r="I44" s="105">
        <v>3</v>
      </c>
      <c r="J44" s="62">
        <v>5.0599999999999996</v>
      </c>
      <c r="K44" s="62">
        <v>3</v>
      </c>
      <c r="L44" s="64">
        <v>5.66</v>
      </c>
      <c r="M44" s="62">
        <v>5.66</v>
      </c>
      <c r="N44" s="101">
        <v>0</v>
      </c>
      <c r="O44" s="110"/>
    </row>
    <row r="45" spans="1:15" ht="24.95" customHeight="1" x14ac:dyDescent="0.2">
      <c r="A45" s="114">
        <v>44</v>
      </c>
      <c r="B45" s="63">
        <v>71</v>
      </c>
      <c r="C45" s="116" t="s">
        <v>325</v>
      </c>
      <c r="D45" s="70">
        <v>3</v>
      </c>
      <c r="E45" s="61">
        <v>5.16</v>
      </c>
      <c r="F45" s="61">
        <v>2</v>
      </c>
      <c r="G45" s="64">
        <v>5.56</v>
      </c>
      <c r="H45" s="101">
        <v>2.2200000000000002</v>
      </c>
      <c r="I45" s="105">
        <v>0</v>
      </c>
      <c r="J45" s="62">
        <v>0</v>
      </c>
      <c r="K45" s="62">
        <v>0</v>
      </c>
      <c r="L45" s="64">
        <v>0</v>
      </c>
      <c r="M45" s="62">
        <v>5.56</v>
      </c>
      <c r="N45" s="101">
        <v>0</v>
      </c>
      <c r="O45" s="110"/>
    </row>
    <row r="46" spans="1:15" ht="24.95" customHeight="1" x14ac:dyDescent="0.2">
      <c r="A46" s="114">
        <v>45</v>
      </c>
      <c r="B46" s="63">
        <v>67</v>
      </c>
      <c r="C46" s="116" t="s">
        <v>322</v>
      </c>
      <c r="D46" s="70">
        <v>1</v>
      </c>
      <c r="E46" s="61">
        <v>1.7</v>
      </c>
      <c r="F46" s="61">
        <v>1</v>
      </c>
      <c r="G46" s="64">
        <v>1.9</v>
      </c>
      <c r="H46" s="101">
        <v>1.7</v>
      </c>
      <c r="I46" s="105">
        <v>2</v>
      </c>
      <c r="J46" s="62">
        <v>3.2</v>
      </c>
      <c r="K46" s="62">
        <v>2</v>
      </c>
      <c r="L46" s="64">
        <v>3.6</v>
      </c>
      <c r="M46" s="62">
        <v>5.5</v>
      </c>
      <c r="N46" s="101">
        <v>0</v>
      </c>
      <c r="O46" s="110"/>
    </row>
    <row r="47" spans="1:15" ht="24.95" customHeight="1" x14ac:dyDescent="0.2">
      <c r="A47" s="114">
        <v>46</v>
      </c>
      <c r="B47" s="63">
        <v>55</v>
      </c>
      <c r="C47" s="116" t="s">
        <v>316</v>
      </c>
      <c r="D47" s="70">
        <v>2</v>
      </c>
      <c r="E47" s="61">
        <v>4.9400000000000004</v>
      </c>
      <c r="F47" s="61">
        <v>2</v>
      </c>
      <c r="G47" s="64">
        <v>5.34</v>
      </c>
      <c r="H47" s="101">
        <v>2.48</v>
      </c>
      <c r="I47" s="105">
        <v>0</v>
      </c>
      <c r="J47" s="62">
        <v>0</v>
      </c>
      <c r="K47" s="62">
        <v>0</v>
      </c>
      <c r="L47" s="64">
        <v>0</v>
      </c>
      <c r="M47" s="62">
        <v>5.34</v>
      </c>
      <c r="N47" s="101">
        <v>0</v>
      </c>
      <c r="O47" s="110"/>
    </row>
    <row r="48" spans="1:15" ht="24.95" customHeight="1" x14ac:dyDescent="0.2">
      <c r="A48" s="114">
        <v>47</v>
      </c>
      <c r="B48" s="63">
        <v>3</v>
      </c>
      <c r="C48" s="116" t="s">
        <v>280</v>
      </c>
      <c r="D48" s="70">
        <v>1</v>
      </c>
      <c r="E48" s="61">
        <v>2.02</v>
      </c>
      <c r="F48" s="61">
        <v>1</v>
      </c>
      <c r="G48" s="64">
        <v>2.2200000000000002</v>
      </c>
      <c r="H48" s="101">
        <v>2.02</v>
      </c>
      <c r="I48" s="105">
        <v>2</v>
      </c>
      <c r="J48" s="62">
        <v>2.66</v>
      </c>
      <c r="K48" s="62">
        <v>2</v>
      </c>
      <c r="L48" s="64">
        <v>3.06</v>
      </c>
      <c r="M48" s="62">
        <v>5.28</v>
      </c>
      <c r="N48" s="101">
        <v>0</v>
      </c>
      <c r="O48" s="110"/>
    </row>
    <row r="49" spans="1:15" ht="24.95" customHeight="1" x14ac:dyDescent="0.2">
      <c r="A49" s="114">
        <v>48</v>
      </c>
      <c r="B49" s="63">
        <v>6</v>
      </c>
      <c r="C49" s="115" t="s">
        <v>281</v>
      </c>
      <c r="D49" s="70">
        <v>0</v>
      </c>
      <c r="E49" s="61">
        <v>0</v>
      </c>
      <c r="F49" s="61">
        <v>0</v>
      </c>
      <c r="G49" s="64">
        <v>0</v>
      </c>
      <c r="H49" s="101">
        <v>0</v>
      </c>
      <c r="I49" s="105">
        <v>3</v>
      </c>
      <c r="J49" s="62">
        <v>4.68</v>
      </c>
      <c r="K49" s="62">
        <v>3</v>
      </c>
      <c r="L49" s="64">
        <v>5.28</v>
      </c>
      <c r="M49" s="62">
        <v>5.28</v>
      </c>
      <c r="N49" s="101">
        <v>0</v>
      </c>
      <c r="O49" s="110"/>
    </row>
    <row r="50" spans="1:15" ht="24.95" customHeight="1" x14ac:dyDescent="0.2">
      <c r="A50" s="114">
        <v>49</v>
      </c>
      <c r="B50" s="63">
        <v>39</v>
      </c>
      <c r="C50" s="116" t="s">
        <v>302</v>
      </c>
      <c r="D50" s="70">
        <v>3</v>
      </c>
      <c r="E50" s="61">
        <v>4.54</v>
      </c>
      <c r="F50" s="61">
        <v>3</v>
      </c>
      <c r="G50" s="64">
        <v>5.14</v>
      </c>
      <c r="H50" s="101">
        <v>2.2000000000000002</v>
      </c>
      <c r="I50" s="105">
        <v>0</v>
      </c>
      <c r="J50" s="62">
        <v>0</v>
      </c>
      <c r="K50" s="62">
        <v>0</v>
      </c>
      <c r="L50" s="64">
        <v>0</v>
      </c>
      <c r="M50" s="62">
        <v>5.14</v>
      </c>
      <c r="N50" s="101">
        <v>0</v>
      </c>
      <c r="O50" s="110"/>
    </row>
    <row r="51" spans="1:15" ht="24.95" customHeight="1" x14ac:dyDescent="0.2">
      <c r="A51" s="114">
        <v>50</v>
      </c>
      <c r="B51" s="63">
        <v>22</v>
      </c>
      <c r="C51" s="116" t="s">
        <v>218</v>
      </c>
      <c r="D51" s="70">
        <v>3</v>
      </c>
      <c r="E51" s="61">
        <v>4.4000000000000004</v>
      </c>
      <c r="F51" s="61">
        <v>3</v>
      </c>
      <c r="G51" s="64">
        <v>5</v>
      </c>
      <c r="H51" s="101">
        <v>1.92</v>
      </c>
      <c r="I51" s="105">
        <v>0</v>
      </c>
      <c r="J51" s="62">
        <v>0</v>
      </c>
      <c r="K51" s="62">
        <v>0</v>
      </c>
      <c r="L51" s="64">
        <v>0</v>
      </c>
      <c r="M51" s="62">
        <v>5</v>
      </c>
      <c r="N51" s="101">
        <v>0</v>
      </c>
      <c r="O51" s="110"/>
    </row>
    <row r="52" spans="1:15" ht="24.95" customHeight="1" x14ac:dyDescent="0.2">
      <c r="A52" s="114">
        <v>51</v>
      </c>
      <c r="B52" s="63">
        <v>14</v>
      </c>
      <c r="C52" s="116" t="s">
        <v>288</v>
      </c>
      <c r="D52" s="70">
        <v>1</v>
      </c>
      <c r="E52" s="61">
        <v>0.54</v>
      </c>
      <c r="F52" s="61">
        <v>1</v>
      </c>
      <c r="G52" s="64">
        <v>0.74</v>
      </c>
      <c r="H52" s="101">
        <v>0.54</v>
      </c>
      <c r="I52" s="105">
        <v>2</v>
      </c>
      <c r="J52" s="62">
        <v>3.84</v>
      </c>
      <c r="K52" s="62">
        <v>2</v>
      </c>
      <c r="L52" s="64">
        <v>4.24</v>
      </c>
      <c r="M52" s="62">
        <v>4.9800000000000004</v>
      </c>
      <c r="N52" s="101">
        <v>0</v>
      </c>
      <c r="O52" s="110"/>
    </row>
    <row r="53" spans="1:15" ht="24.95" customHeight="1" x14ac:dyDescent="0.2">
      <c r="A53" s="114">
        <v>52</v>
      </c>
      <c r="B53" s="63">
        <v>57</v>
      </c>
      <c r="C53" s="116" t="s">
        <v>211</v>
      </c>
      <c r="D53" s="70">
        <v>1</v>
      </c>
      <c r="E53" s="61">
        <v>0.18</v>
      </c>
      <c r="F53" s="61">
        <v>1</v>
      </c>
      <c r="G53" s="64">
        <v>0.38</v>
      </c>
      <c r="H53" s="101">
        <v>0.18</v>
      </c>
      <c r="I53" s="105">
        <v>2</v>
      </c>
      <c r="J53" s="62">
        <v>4.12</v>
      </c>
      <c r="K53" s="62">
        <v>2</v>
      </c>
      <c r="L53" s="64">
        <v>4.5199999999999996</v>
      </c>
      <c r="M53" s="62">
        <v>4.9000000000000004</v>
      </c>
      <c r="N53" s="101">
        <v>0</v>
      </c>
      <c r="O53" s="110"/>
    </row>
    <row r="54" spans="1:15" ht="24.95" customHeight="1" x14ac:dyDescent="0.2">
      <c r="A54" s="114">
        <v>53</v>
      </c>
      <c r="B54" s="63">
        <v>48</v>
      </c>
      <c r="C54" s="116" t="s">
        <v>225</v>
      </c>
      <c r="D54" s="70">
        <v>2</v>
      </c>
      <c r="E54" s="61">
        <v>4.42</v>
      </c>
      <c r="F54" s="61">
        <v>2</v>
      </c>
      <c r="G54" s="64">
        <v>4.82</v>
      </c>
      <c r="H54" s="101">
        <v>2.2400000000000002</v>
      </c>
      <c r="I54" s="105">
        <v>0</v>
      </c>
      <c r="J54" s="62">
        <v>0</v>
      </c>
      <c r="K54" s="62">
        <v>0</v>
      </c>
      <c r="L54" s="64">
        <v>0</v>
      </c>
      <c r="M54" s="62">
        <v>4.82</v>
      </c>
      <c r="N54" s="101">
        <v>0</v>
      </c>
      <c r="O54" s="110"/>
    </row>
    <row r="55" spans="1:15" ht="24.95" customHeight="1" x14ac:dyDescent="0.2">
      <c r="A55" s="114">
        <v>54</v>
      </c>
      <c r="B55" s="63">
        <v>62</v>
      </c>
      <c r="C55" s="116" t="s">
        <v>319</v>
      </c>
      <c r="D55" s="70">
        <v>2</v>
      </c>
      <c r="E55" s="61">
        <v>4.3600000000000003</v>
      </c>
      <c r="F55" s="61">
        <v>2</v>
      </c>
      <c r="G55" s="64">
        <v>4.76</v>
      </c>
      <c r="H55" s="101">
        <v>2.34</v>
      </c>
      <c r="I55" s="105">
        <v>0</v>
      </c>
      <c r="J55" s="62">
        <v>0</v>
      </c>
      <c r="K55" s="62">
        <v>0</v>
      </c>
      <c r="L55" s="64">
        <v>0</v>
      </c>
      <c r="M55" s="62">
        <v>4.76</v>
      </c>
      <c r="N55" s="101">
        <v>0</v>
      </c>
      <c r="O55" s="110"/>
    </row>
    <row r="56" spans="1:15" ht="24.95" customHeight="1" x14ac:dyDescent="0.2">
      <c r="A56" s="114">
        <v>55</v>
      </c>
      <c r="B56" s="63">
        <v>19</v>
      </c>
      <c r="C56" s="116" t="s">
        <v>290</v>
      </c>
      <c r="D56" s="70">
        <v>2</v>
      </c>
      <c r="E56" s="61">
        <v>4.04</v>
      </c>
      <c r="F56" s="61">
        <v>2</v>
      </c>
      <c r="G56" s="64">
        <v>4.4400000000000004</v>
      </c>
      <c r="H56" s="101">
        <v>2.02</v>
      </c>
      <c r="I56" s="105">
        <v>0</v>
      </c>
      <c r="J56" s="62">
        <v>0</v>
      </c>
      <c r="K56" s="62">
        <v>0</v>
      </c>
      <c r="L56" s="64">
        <v>0</v>
      </c>
      <c r="M56" s="62">
        <v>4.4400000000000004</v>
      </c>
      <c r="N56" s="101">
        <v>0</v>
      </c>
      <c r="O56" s="110"/>
    </row>
    <row r="57" spans="1:15" ht="24.95" customHeight="1" x14ac:dyDescent="0.2">
      <c r="A57" s="114">
        <v>56</v>
      </c>
      <c r="B57" s="63">
        <v>31</v>
      </c>
      <c r="C57" s="116" t="s">
        <v>296</v>
      </c>
      <c r="D57" s="70">
        <v>2</v>
      </c>
      <c r="E57" s="61">
        <v>4</v>
      </c>
      <c r="F57" s="61">
        <v>2</v>
      </c>
      <c r="G57" s="64">
        <v>4.4000000000000004</v>
      </c>
      <c r="H57" s="101">
        <v>2.02</v>
      </c>
      <c r="I57" s="105">
        <v>0</v>
      </c>
      <c r="J57" s="62">
        <v>0</v>
      </c>
      <c r="K57" s="62">
        <v>0</v>
      </c>
      <c r="L57" s="64">
        <v>0</v>
      </c>
      <c r="M57" s="62">
        <v>4.4000000000000004</v>
      </c>
      <c r="N57" s="101">
        <v>0</v>
      </c>
      <c r="O57" s="110"/>
    </row>
    <row r="58" spans="1:15" ht="24.95" customHeight="1" x14ac:dyDescent="0.2">
      <c r="A58" s="114">
        <v>57</v>
      </c>
      <c r="B58" s="63">
        <v>65</v>
      </c>
      <c r="C58" s="116" t="s">
        <v>257</v>
      </c>
      <c r="D58" s="70">
        <v>1</v>
      </c>
      <c r="E58" s="61">
        <v>2.06</v>
      </c>
      <c r="F58" s="61">
        <v>1</v>
      </c>
      <c r="G58" s="64">
        <v>2.2599999999999998</v>
      </c>
      <c r="H58" s="101">
        <v>2.06</v>
      </c>
      <c r="I58" s="105">
        <v>1</v>
      </c>
      <c r="J58" s="62">
        <v>1.9</v>
      </c>
      <c r="K58" s="62">
        <v>1</v>
      </c>
      <c r="L58" s="64">
        <v>2.1</v>
      </c>
      <c r="M58" s="62">
        <v>4.3600000000000003</v>
      </c>
      <c r="N58" s="101">
        <v>0</v>
      </c>
      <c r="O58" s="110"/>
    </row>
    <row r="59" spans="1:15" ht="24.95" customHeight="1" x14ac:dyDescent="0.2">
      <c r="A59" s="114">
        <v>58</v>
      </c>
      <c r="B59" s="63">
        <v>8</v>
      </c>
      <c r="C59" s="115" t="s">
        <v>272</v>
      </c>
      <c r="D59" s="70">
        <v>1</v>
      </c>
      <c r="E59" s="61">
        <v>1.94</v>
      </c>
      <c r="F59" s="61">
        <v>1</v>
      </c>
      <c r="G59" s="64">
        <v>2.14</v>
      </c>
      <c r="H59" s="101">
        <v>1.94</v>
      </c>
      <c r="I59" s="105">
        <v>1</v>
      </c>
      <c r="J59" s="62">
        <v>2.02</v>
      </c>
      <c r="K59" s="62">
        <v>1</v>
      </c>
      <c r="L59" s="64">
        <v>2.2200000000000002</v>
      </c>
      <c r="M59" s="62">
        <v>4.3600000000000003</v>
      </c>
      <c r="N59" s="101">
        <v>0</v>
      </c>
      <c r="O59" s="110"/>
    </row>
    <row r="60" spans="1:15" ht="24.95" customHeight="1" x14ac:dyDescent="0.2">
      <c r="A60" s="114">
        <v>59</v>
      </c>
      <c r="B60" s="63">
        <v>25</v>
      </c>
      <c r="C60" s="116" t="s">
        <v>293</v>
      </c>
      <c r="D60" s="70">
        <v>2</v>
      </c>
      <c r="E60" s="61">
        <v>3.94</v>
      </c>
      <c r="F60" s="61">
        <v>2</v>
      </c>
      <c r="G60" s="64">
        <v>4.34</v>
      </c>
      <c r="H60" s="101">
        <v>2.12</v>
      </c>
      <c r="I60" s="105">
        <v>0</v>
      </c>
      <c r="J60" s="62">
        <v>0</v>
      </c>
      <c r="K60" s="62">
        <v>0</v>
      </c>
      <c r="L60" s="64">
        <v>0</v>
      </c>
      <c r="M60" s="62">
        <v>4.34</v>
      </c>
      <c r="N60" s="101">
        <v>0</v>
      </c>
      <c r="O60" s="110"/>
    </row>
    <row r="61" spans="1:15" ht="24.95" customHeight="1" x14ac:dyDescent="0.2">
      <c r="A61" s="114">
        <v>60</v>
      </c>
      <c r="B61" s="63">
        <v>46</v>
      </c>
      <c r="C61" s="116" t="s">
        <v>309</v>
      </c>
      <c r="D61" s="70">
        <v>0</v>
      </c>
      <c r="E61" s="61">
        <v>0</v>
      </c>
      <c r="F61" s="61">
        <v>0</v>
      </c>
      <c r="G61" s="64">
        <v>0</v>
      </c>
      <c r="H61" s="101">
        <v>0</v>
      </c>
      <c r="I61" s="105">
        <v>2</v>
      </c>
      <c r="J61" s="62">
        <v>3.78</v>
      </c>
      <c r="K61" s="62">
        <v>2</v>
      </c>
      <c r="L61" s="64">
        <v>4.18</v>
      </c>
      <c r="M61" s="62">
        <v>4.18</v>
      </c>
      <c r="N61" s="101">
        <v>0</v>
      </c>
      <c r="O61" s="110"/>
    </row>
    <row r="62" spans="1:15" ht="24.95" customHeight="1" x14ac:dyDescent="0.2">
      <c r="A62" s="114">
        <v>61</v>
      </c>
      <c r="B62" s="63">
        <v>21</v>
      </c>
      <c r="C62" s="116" t="s">
        <v>292</v>
      </c>
      <c r="D62" s="70">
        <v>1</v>
      </c>
      <c r="E62" s="61">
        <v>2.66</v>
      </c>
      <c r="F62" s="61">
        <v>1</v>
      </c>
      <c r="G62" s="64">
        <v>2.86</v>
      </c>
      <c r="H62" s="101">
        <v>2.66</v>
      </c>
      <c r="I62" s="105">
        <v>0</v>
      </c>
      <c r="J62" s="62">
        <v>0</v>
      </c>
      <c r="K62" s="62">
        <v>0</v>
      </c>
      <c r="L62" s="64">
        <v>0</v>
      </c>
      <c r="M62" s="62">
        <v>2.86</v>
      </c>
      <c r="N62" s="101">
        <v>0</v>
      </c>
      <c r="O62" s="110"/>
    </row>
    <row r="63" spans="1:15" ht="24.95" customHeight="1" x14ac:dyDescent="0.2">
      <c r="A63" s="114">
        <v>62</v>
      </c>
      <c r="B63" s="63">
        <v>41</v>
      </c>
      <c r="C63" s="116" t="s">
        <v>304</v>
      </c>
      <c r="D63" s="70">
        <v>1</v>
      </c>
      <c r="E63" s="61">
        <v>2.66</v>
      </c>
      <c r="F63" s="61">
        <v>1</v>
      </c>
      <c r="G63" s="64">
        <v>2.86</v>
      </c>
      <c r="H63" s="101">
        <v>2.66</v>
      </c>
      <c r="I63" s="105">
        <v>0</v>
      </c>
      <c r="J63" s="62">
        <v>0</v>
      </c>
      <c r="K63" s="62">
        <v>0</v>
      </c>
      <c r="L63" s="64">
        <v>0</v>
      </c>
      <c r="M63" s="62">
        <v>2.86</v>
      </c>
      <c r="N63" s="101">
        <v>0</v>
      </c>
      <c r="O63" s="110"/>
    </row>
    <row r="64" spans="1:15" ht="24.95" customHeight="1" x14ac:dyDescent="0.2">
      <c r="A64" s="114">
        <v>63</v>
      </c>
      <c r="B64" s="63">
        <v>45</v>
      </c>
      <c r="C64" s="116" t="s">
        <v>308</v>
      </c>
      <c r="D64" s="70">
        <v>2</v>
      </c>
      <c r="E64" s="61">
        <v>2.3199999999999998</v>
      </c>
      <c r="F64" s="61">
        <v>2</v>
      </c>
      <c r="G64" s="64">
        <v>2.72</v>
      </c>
      <c r="H64" s="101">
        <v>1.8</v>
      </c>
      <c r="I64" s="105">
        <v>0</v>
      </c>
      <c r="J64" s="62">
        <v>0</v>
      </c>
      <c r="K64" s="62">
        <v>0</v>
      </c>
      <c r="L64" s="64">
        <v>0</v>
      </c>
      <c r="M64" s="62">
        <v>2.72</v>
      </c>
      <c r="N64" s="101">
        <v>0</v>
      </c>
      <c r="O64" s="110"/>
    </row>
    <row r="65" spans="1:15" ht="24.95" customHeight="1" x14ac:dyDescent="0.2">
      <c r="A65" s="114">
        <v>64</v>
      </c>
      <c r="B65" s="63">
        <v>10</v>
      </c>
      <c r="C65" s="116" t="s">
        <v>284</v>
      </c>
      <c r="D65" s="70">
        <v>1</v>
      </c>
      <c r="E65" s="61">
        <v>2.36</v>
      </c>
      <c r="F65" s="61">
        <v>1</v>
      </c>
      <c r="G65" s="64">
        <v>2.56</v>
      </c>
      <c r="H65" s="101">
        <v>2.36</v>
      </c>
      <c r="I65" s="105">
        <v>0</v>
      </c>
      <c r="J65" s="62">
        <v>0</v>
      </c>
      <c r="K65" s="62">
        <v>0</v>
      </c>
      <c r="L65" s="64">
        <v>0</v>
      </c>
      <c r="M65" s="62">
        <v>2.56</v>
      </c>
      <c r="N65" s="101">
        <v>0</v>
      </c>
      <c r="O65" s="110"/>
    </row>
    <row r="66" spans="1:15" ht="24.95" customHeight="1" x14ac:dyDescent="0.2">
      <c r="A66" s="114">
        <v>65</v>
      </c>
      <c r="B66" s="63">
        <v>51</v>
      </c>
      <c r="C66" s="116" t="s">
        <v>313</v>
      </c>
      <c r="D66" s="70">
        <v>1</v>
      </c>
      <c r="E66" s="61">
        <v>2.2000000000000002</v>
      </c>
      <c r="F66" s="61">
        <v>1</v>
      </c>
      <c r="G66" s="64">
        <v>2.4</v>
      </c>
      <c r="H66" s="101">
        <v>2.2000000000000002</v>
      </c>
      <c r="I66" s="105">
        <v>0</v>
      </c>
      <c r="J66" s="62">
        <v>0</v>
      </c>
      <c r="K66" s="62">
        <v>0</v>
      </c>
      <c r="L66" s="64">
        <v>0</v>
      </c>
      <c r="M66" s="62">
        <v>2.4</v>
      </c>
      <c r="N66" s="101">
        <v>0</v>
      </c>
      <c r="O66" s="110"/>
    </row>
    <row r="67" spans="1:15" ht="24.95" customHeight="1" x14ac:dyDescent="0.2">
      <c r="A67" s="114">
        <v>66</v>
      </c>
      <c r="B67" s="63">
        <v>76</v>
      </c>
      <c r="C67" s="116" t="s">
        <v>329</v>
      </c>
      <c r="D67" s="70">
        <v>0</v>
      </c>
      <c r="E67" s="61">
        <v>0</v>
      </c>
      <c r="F67" s="61">
        <v>0</v>
      </c>
      <c r="G67" s="64">
        <v>0</v>
      </c>
      <c r="H67" s="101">
        <v>0</v>
      </c>
      <c r="I67" s="105">
        <v>1</v>
      </c>
      <c r="J67" s="62">
        <v>2.1</v>
      </c>
      <c r="K67" s="62">
        <v>1</v>
      </c>
      <c r="L67" s="64">
        <v>2.2999999999999998</v>
      </c>
      <c r="M67" s="62">
        <v>2.2999999999999998</v>
      </c>
      <c r="N67" s="101">
        <v>0</v>
      </c>
      <c r="O67" s="110"/>
    </row>
    <row r="68" spans="1:15" ht="24.95" customHeight="1" x14ac:dyDescent="0.2">
      <c r="A68" s="114">
        <v>67</v>
      </c>
      <c r="B68" s="63">
        <v>11</v>
      </c>
      <c r="C68" s="116" t="s">
        <v>285</v>
      </c>
      <c r="D68" s="70">
        <v>0</v>
      </c>
      <c r="E68" s="61">
        <v>0</v>
      </c>
      <c r="F68" s="61">
        <v>0</v>
      </c>
      <c r="G68" s="64">
        <v>0</v>
      </c>
      <c r="H68" s="101">
        <v>0</v>
      </c>
      <c r="I68" s="105">
        <v>1</v>
      </c>
      <c r="J68" s="62">
        <v>2</v>
      </c>
      <c r="K68" s="62">
        <v>1</v>
      </c>
      <c r="L68" s="64">
        <v>2.2000000000000002</v>
      </c>
      <c r="M68" s="62">
        <v>2.2000000000000002</v>
      </c>
      <c r="N68" s="101">
        <v>0</v>
      </c>
      <c r="O68" s="110"/>
    </row>
    <row r="69" spans="1:15" ht="24.95" customHeight="1" x14ac:dyDescent="0.2">
      <c r="A69" s="114">
        <v>68</v>
      </c>
      <c r="B69" s="63">
        <v>66</v>
      </c>
      <c r="C69" s="116" t="s">
        <v>321</v>
      </c>
      <c r="D69" s="70">
        <v>1</v>
      </c>
      <c r="E69" s="61">
        <v>1.88</v>
      </c>
      <c r="F69" s="61">
        <v>1</v>
      </c>
      <c r="G69" s="64">
        <v>2.08</v>
      </c>
      <c r="H69" s="101">
        <v>1.88</v>
      </c>
      <c r="I69" s="105">
        <v>0</v>
      </c>
      <c r="J69" s="62">
        <v>0</v>
      </c>
      <c r="K69" s="62">
        <v>0</v>
      </c>
      <c r="L69" s="64">
        <v>0</v>
      </c>
      <c r="M69" s="62">
        <v>2.08</v>
      </c>
      <c r="N69" s="101">
        <v>0</v>
      </c>
      <c r="O69" s="110"/>
    </row>
    <row r="70" spans="1:15" ht="24.95" customHeight="1" x14ac:dyDescent="0.2">
      <c r="A70" s="114">
        <v>69</v>
      </c>
      <c r="B70" s="63">
        <v>37</v>
      </c>
      <c r="C70" s="116" t="s">
        <v>300</v>
      </c>
      <c r="D70" s="70">
        <v>1</v>
      </c>
      <c r="E70" s="61">
        <v>1.84</v>
      </c>
      <c r="F70" s="61">
        <v>1</v>
      </c>
      <c r="G70" s="64">
        <v>2.04</v>
      </c>
      <c r="H70" s="101">
        <v>1.84</v>
      </c>
      <c r="I70" s="105">
        <v>0</v>
      </c>
      <c r="J70" s="62">
        <v>0</v>
      </c>
      <c r="K70" s="62">
        <v>0</v>
      </c>
      <c r="L70" s="64">
        <v>0</v>
      </c>
      <c r="M70" s="62">
        <v>2.04</v>
      </c>
      <c r="N70" s="101">
        <v>0</v>
      </c>
      <c r="O70" s="110"/>
    </row>
    <row r="71" spans="1:15" ht="24.95" customHeight="1" x14ac:dyDescent="0.2">
      <c r="A71" s="114">
        <v>70</v>
      </c>
      <c r="B71" s="63">
        <v>7</v>
      </c>
      <c r="C71" s="116" t="s">
        <v>282</v>
      </c>
      <c r="D71" s="70">
        <v>0</v>
      </c>
      <c r="E71" s="61">
        <v>0</v>
      </c>
      <c r="F71" s="61">
        <v>0</v>
      </c>
      <c r="G71" s="64">
        <v>0</v>
      </c>
      <c r="H71" s="101">
        <v>0</v>
      </c>
      <c r="I71" s="105">
        <v>0</v>
      </c>
      <c r="J71" s="62">
        <v>0</v>
      </c>
      <c r="K71" s="62">
        <v>0</v>
      </c>
      <c r="L71" s="64">
        <v>0</v>
      </c>
      <c r="M71" s="62">
        <v>0</v>
      </c>
      <c r="N71" s="101">
        <v>0</v>
      </c>
      <c r="O71" s="110"/>
    </row>
    <row r="72" spans="1:15" ht="24.95" customHeight="1" x14ac:dyDescent="0.2">
      <c r="A72" s="114">
        <v>71</v>
      </c>
      <c r="B72" s="63">
        <v>26</v>
      </c>
      <c r="C72" s="116" t="s">
        <v>246</v>
      </c>
      <c r="D72" s="70">
        <v>0</v>
      </c>
      <c r="E72" s="61">
        <v>0</v>
      </c>
      <c r="F72" s="61">
        <v>0</v>
      </c>
      <c r="G72" s="64">
        <v>0</v>
      </c>
      <c r="H72" s="101">
        <v>0</v>
      </c>
      <c r="I72" s="105">
        <v>0</v>
      </c>
      <c r="J72" s="62">
        <v>0</v>
      </c>
      <c r="K72" s="62">
        <v>0</v>
      </c>
      <c r="L72" s="64">
        <v>0</v>
      </c>
      <c r="M72" s="62">
        <v>0</v>
      </c>
      <c r="N72" s="101">
        <v>0</v>
      </c>
      <c r="O72" s="110"/>
    </row>
    <row r="73" spans="1:15" ht="24.95" customHeight="1" x14ac:dyDescent="0.2">
      <c r="A73" s="114">
        <v>72</v>
      </c>
      <c r="B73" s="63">
        <v>36</v>
      </c>
      <c r="C73" s="116" t="s">
        <v>299</v>
      </c>
      <c r="D73" s="70">
        <v>0</v>
      </c>
      <c r="E73" s="61">
        <v>0</v>
      </c>
      <c r="F73" s="61">
        <v>0</v>
      </c>
      <c r="G73" s="64">
        <v>0</v>
      </c>
      <c r="H73" s="101">
        <v>0</v>
      </c>
      <c r="I73" s="105">
        <v>0</v>
      </c>
      <c r="J73" s="62">
        <v>0</v>
      </c>
      <c r="K73" s="62">
        <v>0</v>
      </c>
      <c r="L73" s="64">
        <v>0</v>
      </c>
      <c r="M73" s="62">
        <v>0</v>
      </c>
      <c r="N73" s="101">
        <v>0</v>
      </c>
      <c r="O73" s="110"/>
    </row>
    <row r="74" spans="1:15" ht="24.95" customHeight="1" x14ac:dyDescent="0.2">
      <c r="A74" s="114">
        <v>73</v>
      </c>
      <c r="B74" s="63">
        <v>40</v>
      </c>
      <c r="C74" s="116" t="s">
        <v>303</v>
      </c>
      <c r="D74" s="70">
        <v>0</v>
      </c>
      <c r="E74" s="61">
        <v>0</v>
      </c>
      <c r="F74" s="61">
        <v>0</v>
      </c>
      <c r="G74" s="64">
        <v>0</v>
      </c>
      <c r="H74" s="101">
        <v>0</v>
      </c>
      <c r="I74" s="105">
        <v>0</v>
      </c>
      <c r="J74" s="62">
        <v>0</v>
      </c>
      <c r="K74" s="62">
        <v>0</v>
      </c>
      <c r="L74" s="64">
        <v>0</v>
      </c>
      <c r="M74" s="62">
        <v>0</v>
      </c>
      <c r="N74" s="101">
        <v>0</v>
      </c>
      <c r="O74" s="110"/>
    </row>
    <row r="75" spans="1:15" ht="24.95" customHeight="1" x14ac:dyDescent="0.2">
      <c r="A75" s="114">
        <v>74</v>
      </c>
      <c r="B75" s="63">
        <v>54</v>
      </c>
      <c r="C75" s="116" t="s">
        <v>315</v>
      </c>
      <c r="D75" s="70">
        <v>0</v>
      </c>
      <c r="E75" s="61">
        <v>0</v>
      </c>
      <c r="F75" s="61">
        <v>0</v>
      </c>
      <c r="G75" s="64">
        <v>0</v>
      </c>
      <c r="H75" s="101">
        <v>0</v>
      </c>
      <c r="I75" s="105">
        <v>0</v>
      </c>
      <c r="J75" s="62">
        <v>0</v>
      </c>
      <c r="K75" s="62">
        <v>0</v>
      </c>
      <c r="L75" s="64">
        <v>0</v>
      </c>
      <c r="M75" s="62">
        <v>0</v>
      </c>
      <c r="N75" s="101">
        <v>0</v>
      </c>
      <c r="O75" s="110"/>
    </row>
    <row r="76" spans="1:15" ht="24.95" customHeight="1" x14ac:dyDescent="0.2">
      <c r="A76" s="114">
        <v>75</v>
      </c>
      <c r="B76" s="63">
        <v>61</v>
      </c>
      <c r="C76" s="116" t="s">
        <v>318</v>
      </c>
      <c r="D76" s="70">
        <v>0</v>
      </c>
      <c r="E76" s="61">
        <v>0</v>
      </c>
      <c r="F76" s="61">
        <v>0</v>
      </c>
      <c r="G76" s="64">
        <v>0</v>
      </c>
      <c r="H76" s="101">
        <v>0</v>
      </c>
      <c r="I76" s="105">
        <v>0</v>
      </c>
      <c r="J76" s="62">
        <v>0</v>
      </c>
      <c r="K76" s="62">
        <v>0</v>
      </c>
      <c r="L76" s="64">
        <v>0</v>
      </c>
      <c r="M76" s="62">
        <v>0</v>
      </c>
      <c r="N76" s="101">
        <v>0</v>
      </c>
      <c r="O76" s="110"/>
    </row>
    <row r="77" spans="1:15" ht="24.95" customHeight="1" thickBot="1" x14ac:dyDescent="0.25">
      <c r="A77" s="118">
        <v>76</v>
      </c>
      <c r="B77" s="119">
        <v>75</v>
      </c>
      <c r="C77" s="145" t="s">
        <v>328</v>
      </c>
      <c r="D77" s="71">
        <v>0</v>
      </c>
      <c r="E77" s="69">
        <v>0</v>
      </c>
      <c r="F77" s="69">
        <v>0</v>
      </c>
      <c r="G77" s="102">
        <v>0</v>
      </c>
      <c r="H77" s="103">
        <v>0</v>
      </c>
      <c r="I77" s="106">
        <v>0</v>
      </c>
      <c r="J77" s="107">
        <v>0</v>
      </c>
      <c r="K77" s="107">
        <v>0</v>
      </c>
      <c r="L77" s="102">
        <v>0</v>
      </c>
      <c r="M77" s="107">
        <v>0</v>
      </c>
      <c r="N77" s="103">
        <v>0</v>
      </c>
      <c r="O77" s="111"/>
    </row>
    <row r="78" spans="1:15" ht="24.95" customHeight="1" x14ac:dyDescent="0.2">
      <c r="A78" s="49"/>
      <c r="B78" s="50"/>
      <c r="C78" s="49"/>
      <c r="D78" s="49"/>
      <c r="E78" s="49"/>
      <c r="F78" s="49"/>
      <c r="G78" s="57"/>
      <c r="H78" s="58"/>
      <c r="I78" s="53"/>
      <c r="J78" s="53"/>
      <c r="K78" s="53"/>
      <c r="L78" s="57"/>
      <c r="M78" s="53"/>
      <c r="N78" s="58"/>
      <c r="O78" s="31"/>
    </row>
    <row r="79" spans="1:15" ht="24.95" customHeight="1" x14ac:dyDescent="0.2">
      <c r="A79" s="61"/>
      <c r="B79" s="63"/>
      <c r="C79" s="61"/>
      <c r="D79" s="61"/>
      <c r="E79" s="61"/>
      <c r="F79" s="61"/>
      <c r="G79" s="64"/>
      <c r="H79" s="65"/>
      <c r="I79" s="62"/>
      <c r="J79" s="62"/>
      <c r="K79" s="62"/>
      <c r="L79" s="64"/>
      <c r="M79" s="62"/>
      <c r="N79" s="65"/>
      <c r="O79" s="27"/>
    </row>
    <row r="80" spans="1:15" ht="24.95" customHeight="1" x14ac:dyDescent="0.2">
      <c r="A80" s="61"/>
      <c r="B80" s="63"/>
      <c r="C80" s="61"/>
      <c r="D80" s="61"/>
      <c r="E80" s="61"/>
      <c r="F80" s="61"/>
      <c r="G80" s="64"/>
      <c r="H80" s="65"/>
      <c r="I80" s="62"/>
      <c r="J80" s="62"/>
      <c r="K80" s="62"/>
      <c r="L80" s="64"/>
      <c r="M80" s="62"/>
      <c r="N80" s="65"/>
      <c r="O80" s="27"/>
    </row>
    <row r="81" spans="1:15" ht="24.95" customHeight="1" x14ac:dyDescent="0.2">
      <c r="A81" s="61"/>
      <c r="B81" s="63"/>
      <c r="C81" s="61"/>
      <c r="D81" s="61"/>
      <c r="E81" s="61"/>
      <c r="F81" s="61"/>
      <c r="G81" s="64"/>
      <c r="H81" s="65"/>
      <c r="I81" s="62"/>
      <c r="J81" s="62"/>
      <c r="K81" s="62"/>
      <c r="L81" s="64"/>
      <c r="M81" s="62"/>
      <c r="N81" s="65"/>
      <c r="O81" s="27"/>
    </row>
    <row r="82" spans="1:15" ht="24.95" customHeight="1" x14ac:dyDescent="0.2">
      <c r="A82" s="61"/>
      <c r="B82" s="63"/>
      <c r="C82" s="61"/>
      <c r="D82" s="61"/>
      <c r="E82" s="61"/>
      <c r="F82" s="61"/>
      <c r="G82" s="64"/>
      <c r="H82" s="65"/>
      <c r="I82" s="62"/>
      <c r="J82" s="62"/>
      <c r="K82" s="62"/>
      <c r="L82" s="64"/>
      <c r="M82" s="62"/>
      <c r="N82" s="65"/>
      <c r="O82" s="27"/>
    </row>
    <row r="83" spans="1:15" ht="24.95" customHeight="1" x14ac:dyDescent="0.2">
      <c r="A83" s="61"/>
      <c r="B83" s="63"/>
      <c r="C83" s="61"/>
      <c r="D83" s="61"/>
      <c r="E83" s="61"/>
      <c r="F83" s="61"/>
      <c r="G83" s="64"/>
      <c r="H83" s="65"/>
      <c r="I83" s="62"/>
      <c r="J83" s="62"/>
      <c r="K83" s="62"/>
      <c r="L83" s="64"/>
      <c r="M83" s="62"/>
      <c r="N83" s="65"/>
      <c r="O83" s="27"/>
    </row>
    <row r="84" spans="1:15" ht="24.95" customHeight="1" x14ac:dyDescent="0.2">
      <c r="A84" s="61"/>
      <c r="B84" s="63"/>
      <c r="C84" s="61"/>
      <c r="D84" s="61"/>
      <c r="E84" s="61"/>
      <c r="F84" s="61"/>
      <c r="G84" s="64"/>
      <c r="H84" s="65"/>
      <c r="I84" s="62"/>
      <c r="J84" s="62"/>
      <c r="K84" s="62"/>
      <c r="L84" s="64"/>
      <c r="M84" s="62"/>
      <c r="N84" s="65"/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6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6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6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6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6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6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6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6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6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6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6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6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6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xmlns:xlrd2="http://schemas.microsoft.com/office/spreadsheetml/2017/richdata2" ref="A2:O77">
    <sortCondition descending="1" ref="M1:M77"/>
  </sortState>
  <pageMargins left="0.7" right="0.7" top="0.75" bottom="0.75" header="0.3" footer="0.3"/>
  <pageSetup scale="65" orientation="portrait" horizontalDpi="4294967294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tabColor rgb="FFFF0000"/>
  </sheetPr>
  <dimension ref="A1:S651"/>
  <sheetViews>
    <sheetView zoomScaleNormal="100" workbookViewId="0">
      <selection activeCell="M2" sqref="M2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9.140625" style="24"/>
  </cols>
  <sheetData>
    <row r="1" spans="1:19" ht="38.2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  <c r="O1" s="108" t="s">
        <v>164</v>
      </c>
      <c r="Q1" s="60"/>
      <c r="R1" s="1"/>
      <c r="S1" s="1"/>
    </row>
    <row r="2" spans="1:19" ht="24.95" customHeight="1" x14ac:dyDescent="0.2">
      <c r="A2" s="113">
        <v>1</v>
      </c>
      <c r="B2" s="50">
        <v>52</v>
      </c>
      <c r="C2" s="140" t="s">
        <v>197</v>
      </c>
      <c r="D2" s="92">
        <v>7</v>
      </c>
      <c r="E2" s="49">
        <v>8.52</v>
      </c>
      <c r="F2" s="49">
        <v>7</v>
      </c>
      <c r="G2" s="57">
        <v>9.92</v>
      </c>
      <c r="H2" s="140">
        <v>2.14</v>
      </c>
      <c r="I2" s="104">
        <v>7</v>
      </c>
      <c r="J2" s="53">
        <v>9.8800000000000008</v>
      </c>
      <c r="K2" s="53">
        <v>7</v>
      </c>
      <c r="L2" s="57">
        <v>11.28</v>
      </c>
      <c r="M2" s="134">
        <v>21.2</v>
      </c>
      <c r="N2" s="141">
        <v>3.42</v>
      </c>
      <c r="O2" s="135"/>
    </row>
    <row r="3" spans="1:19" ht="24.95" customHeight="1" x14ac:dyDescent="0.2">
      <c r="A3" s="114">
        <v>2</v>
      </c>
      <c r="B3" s="63">
        <v>35</v>
      </c>
      <c r="C3" s="142" t="s">
        <v>198</v>
      </c>
      <c r="D3" s="70">
        <v>7</v>
      </c>
      <c r="E3" s="61">
        <v>8.34</v>
      </c>
      <c r="F3" s="61">
        <v>7</v>
      </c>
      <c r="G3" s="64">
        <v>9.74</v>
      </c>
      <c r="H3" s="142">
        <v>1.9</v>
      </c>
      <c r="I3" s="105">
        <v>7</v>
      </c>
      <c r="J3" s="62">
        <v>8.08</v>
      </c>
      <c r="K3" s="62">
        <v>7</v>
      </c>
      <c r="L3" s="64">
        <v>9.48</v>
      </c>
      <c r="M3" s="116">
        <v>19.22</v>
      </c>
      <c r="N3" s="143">
        <v>1.98</v>
      </c>
      <c r="O3" s="110"/>
    </row>
    <row r="4" spans="1:19" ht="24.95" customHeight="1" x14ac:dyDescent="0.2">
      <c r="A4" s="114">
        <v>3</v>
      </c>
      <c r="B4" s="63">
        <v>4</v>
      </c>
      <c r="C4" s="144" t="s">
        <v>199</v>
      </c>
      <c r="D4" s="70">
        <v>7</v>
      </c>
      <c r="E4" s="61">
        <v>7.72</v>
      </c>
      <c r="F4" s="61">
        <v>7</v>
      </c>
      <c r="G4" s="64">
        <v>9.1199999999999992</v>
      </c>
      <c r="H4" s="142">
        <v>2.06</v>
      </c>
      <c r="I4" s="105">
        <v>7</v>
      </c>
      <c r="J4" s="62">
        <v>8.0399999999999991</v>
      </c>
      <c r="K4" s="62">
        <v>7</v>
      </c>
      <c r="L4" s="64">
        <v>9.44</v>
      </c>
      <c r="M4" s="116">
        <v>18.559999999999999</v>
      </c>
      <c r="N4" s="143">
        <v>1.84</v>
      </c>
      <c r="O4" s="110"/>
    </row>
    <row r="5" spans="1:19" ht="24.95" customHeight="1" x14ac:dyDescent="0.2">
      <c r="A5" s="114">
        <v>4</v>
      </c>
      <c r="B5" s="63">
        <v>51</v>
      </c>
      <c r="C5" s="142" t="s">
        <v>200</v>
      </c>
      <c r="D5" s="70">
        <v>7</v>
      </c>
      <c r="E5" s="61">
        <v>7.44</v>
      </c>
      <c r="F5" s="61">
        <v>7</v>
      </c>
      <c r="G5" s="64">
        <v>8.84</v>
      </c>
      <c r="H5" s="142">
        <v>1.98</v>
      </c>
      <c r="I5" s="105">
        <v>7</v>
      </c>
      <c r="J5" s="62">
        <v>7.8</v>
      </c>
      <c r="K5" s="62">
        <v>7</v>
      </c>
      <c r="L5" s="64">
        <v>9.1999999999999993</v>
      </c>
      <c r="M5" s="116">
        <v>18.04</v>
      </c>
      <c r="N5" s="143">
        <v>2.2799999999999998</v>
      </c>
      <c r="O5" s="110"/>
    </row>
    <row r="6" spans="1:19" ht="24.95" customHeight="1" x14ac:dyDescent="0.2">
      <c r="A6" s="114">
        <v>5</v>
      </c>
      <c r="B6" s="63">
        <v>8</v>
      </c>
      <c r="C6" s="144" t="s">
        <v>201</v>
      </c>
      <c r="D6" s="70">
        <v>4</v>
      </c>
      <c r="E6" s="61">
        <v>6.34</v>
      </c>
      <c r="F6" s="61">
        <v>4</v>
      </c>
      <c r="G6" s="64">
        <v>7.14</v>
      </c>
      <c r="H6" s="142">
        <v>2.64</v>
      </c>
      <c r="I6" s="105">
        <v>7</v>
      </c>
      <c r="J6" s="62">
        <v>8.32</v>
      </c>
      <c r="K6" s="62">
        <v>7</v>
      </c>
      <c r="L6" s="64">
        <v>9.7200000000000006</v>
      </c>
      <c r="M6" s="116">
        <v>16.86</v>
      </c>
      <c r="N6" s="143">
        <v>2.4</v>
      </c>
      <c r="O6" s="110"/>
    </row>
    <row r="7" spans="1:19" ht="24.95" customHeight="1" x14ac:dyDescent="0.2">
      <c r="A7" s="114">
        <v>6</v>
      </c>
      <c r="B7" s="63">
        <v>6</v>
      </c>
      <c r="C7" s="142" t="s">
        <v>202</v>
      </c>
      <c r="D7" s="70">
        <v>5</v>
      </c>
      <c r="E7" s="61">
        <v>6.1</v>
      </c>
      <c r="F7" s="61">
        <v>5</v>
      </c>
      <c r="G7" s="64">
        <v>7.1</v>
      </c>
      <c r="H7" s="142">
        <v>2.2200000000000002</v>
      </c>
      <c r="I7" s="105">
        <v>6</v>
      </c>
      <c r="J7" s="62">
        <v>8.0399999999999991</v>
      </c>
      <c r="K7" s="62">
        <v>6</v>
      </c>
      <c r="L7" s="64">
        <v>9.24</v>
      </c>
      <c r="M7" s="116">
        <v>16.34</v>
      </c>
      <c r="N7" s="143">
        <v>2.36</v>
      </c>
      <c r="O7" s="110"/>
    </row>
    <row r="8" spans="1:19" ht="24.95" customHeight="1" x14ac:dyDescent="0.2">
      <c r="A8" s="114">
        <v>7</v>
      </c>
      <c r="B8" s="63">
        <v>11</v>
      </c>
      <c r="C8" s="142" t="s">
        <v>203</v>
      </c>
      <c r="D8" s="70">
        <v>4</v>
      </c>
      <c r="E8" s="61">
        <v>7.68</v>
      </c>
      <c r="F8" s="61">
        <v>4</v>
      </c>
      <c r="G8" s="64">
        <v>8.48</v>
      </c>
      <c r="H8" s="142">
        <v>3.82</v>
      </c>
      <c r="I8" s="105">
        <v>5</v>
      </c>
      <c r="J8" s="62">
        <v>6.68</v>
      </c>
      <c r="K8" s="62">
        <v>5</v>
      </c>
      <c r="L8" s="64">
        <v>7.68</v>
      </c>
      <c r="M8" s="116">
        <v>16.16</v>
      </c>
      <c r="N8" s="143">
        <v>2.46</v>
      </c>
      <c r="O8" s="110"/>
    </row>
    <row r="9" spans="1:19" ht="24.95" customHeight="1" x14ac:dyDescent="0.2">
      <c r="A9" s="114">
        <v>8</v>
      </c>
      <c r="B9" s="63">
        <v>13</v>
      </c>
      <c r="C9" s="142" t="s">
        <v>204</v>
      </c>
      <c r="D9" s="70">
        <v>5</v>
      </c>
      <c r="E9" s="61">
        <v>6.36</v>
      </c>
      <c r="F9" s="61">
        <v>5</v>
      </c>
      <c r="G9" s="64">
        <v>7.36</v>
      </c>
      <c r="H9" s="142">
        <v>1.84</v>
      </c>
      <c r="I9" s="105">
        <v>6</v>
      </c>
      <c r="J9" s="62">
        <v>7.5</v>
      </c>
      <c r="K9" s="62">
        <v>6</v>
      </c>
      <c r="L9" s="64">
        <v>8.6999999999999993</v>
      </c>
      <c r="M9" s="116">
        <v>16.059999999999999</v>
      </c>
      <c r="N9" s="143">
        <v>1.86</v>
      </c>
      <c r="O9" s="110"/>
    </row>
    <row r="10" spans="1:19" ht="24.95" customHeight="1" x14ac:dyDescent="0.2">
      <c r="A10" s="114">
        <v>9</v>
      </c>
      <c r="B10" s="63">
        <v>45</v>
      </c>
      <c r="C10" s="142" t="s">
        <v>205</v>
      </c>
      <c r="D10" s="70">
        <v>4</v>
      </c>
      <c r="E10" s="61">
        <v>4.84</v>
      </c>
      <c r="F10" s="61">
        <v>4</v>
      </c>
      <c r="G10" s="64">
        <v>5.64</v>
      </c>
      <c r="H10" s="142">
        <v>1.82</v>
      </c>
      <c r="I10" s="105">
        <v>7</v>
      </c>
      <c r="J10" s="62">
        <v>8.94</v>
      </c>
      <c r="K10" s="62">
        <v>7</v>
      </c>
      <c r="L10" s="64">
        <v>10.34</v>
      </c>
      <c r="M10" s="116">
        <v>15.98</v>
      </c>
      <c r="N10" s="143">
        <v>2.2400000000000002</v>
      </c>
      <c r="O10" s="110"/>
    </row>
    <row r="11" spans="1:19" ht="24.95" customHeight="1" x14ac:dyDescent="0.2">
      <c r="A11" s="114">
        <v>10</v>
      </c>
      <c r="B11" s="63">
        <v>49</v>
      </c>
      <c r="C11" s="142" t="s">
        <v>206</v>
      </c>
      <c r="D11" s="70">
        <v>6</v>
      </c>
      <c r="E11" s="61">
        <v>6.38</v>
      </c>
      <c r="F11" s="61">
        <v>6</v>
      </c>
      <c r="G11" s="64">
        <v>7.58</v>
      </c>
      <c r="H11" s="142">
        <v>1.84</v>
      </c>
      <c r="I11" s="105">
        <v>7</v>
      </c>
      <c r="J11" s="62">
        <v>6.92</v>
      </c>
      <c r="K11" s="62">
        <v>7</v>
      </c>
      <c r="L11" s="64">
        <v>8.32</v>
      </c>
      <c r="M11" s="116">
        <v>15.9</v>
      </c>
      <c r="N11" s="143">
        <v>1.84</v>
      </c>
      <c r="O11" s="110"/>
    </row>
    <row r="12" spans="1:19" ht="24.95" customHeight="1" x14ac:dyDescent="0.2">
      <c r="A12" s="114">
        <v>11</v>
      </c>
      <c r="B12" s="63">
        <v>53</v>
      </c>
      <c r="C12" s="142" t="s">
        <v>207</v>
      </c>
      <c r="D12" s="70">
        <v>4</v>
      </c>
      <c r="E12" s="61">
        <v>5.14</v>
      </c>
      <c r="F12" s="61">
        <v>4</v>
      </c>
      <c r="G12" s="64">
        <v>5.94</v>
      </c>
      <c r="H12" s="142">
        <v>1.94</v>
      </c>
      <c r="I12" s="105">
        <v>7</v>
      </c>
      <c r="J12" s="62">
        <v>8.24</v>
      </c>
      <c r="K12" s="62">
        <v>7</v>
      </c>
      <c r="L12" s="64">
        <v>9.64</v>
      </c>
      <c r="M12" s="116">
        <v>15.58</v>
      </c>
      <c r="N12" s="143">
        <v>2.04</v>
      </c>
      <c r="O12" s="110"/>
    </row>
    <row r="13" spans="1:19" ht="24.95" customHeight="1" x14ac:dyDescent="0.2">
      <c r="A13" s="114">
        <v>12</v>
      </c>
      <c r="B13" s="63">
        <v>21</v>
      </c>
      <c r="C13" s="142" t="s">
        <v>208</v>
      </c>
      <c r="D13" s="70">
        <v>7</v>
      </c>
      <c r="E13" s="61">
        <v>8.24</v>
      </c>
      <c r="F13" s="61">
        <v>7</v>
      </c>
      <c r="G13" s="64">
        <v>9.64</v>
      </c>
      <c r="H13" s="142">
        <v>1.92</v>
      </c>
      <c r="I13" s="105">
        <v>3</v>
      </c>
      <c r="J13" s="62">
        <v>5.18</v>
      </c>
      <c r="K13" s="62">
        <v>3</v>
      </c>
      <c r="L13" s="64">
        <v>5.78</v>
      </c>
      <c r="M13" s="116">
        <v>15.42</v>
      </c>
      <c r="N13" s="143">
        <v>2.1800000000000002</v>
      </c>
      <c r="O13" s="110"/>
    </row>
    <row r="14" spans="1:19" ht="24.95" customHeight="1" x14ac:dyDescent="0.2">
      <c r="A14" s="114">
        <v>13</v>
      </c>
      <c r="B14" s="63">
        <v>23</v>
      </c>
      <c r="C14" s="142" t="s">
        <v>209</v>
      </c>
      <c r="D14" s="70">
        <v>5</v>
      </c>
      <c r="E14" s="61">
        <v>5.9</v>
      </c>
      <c r="F14" s="61">
        <v>5</v>
      </c>
      <c r="G14" s="64">
        <v>6.9</v>
      </c>
      <c r="H14" s="142">
        <v>2.2400000000000002</v>
      </c>
      <c r="I14" s="105">
        <v>7</v>
      </c>
      <c r="J14" s="62">
        <v>7.08</v>
      </c>
      <c r="K14" s="62">
        <v>7</v>
      </c>
      <c r="L14" s="64">
        <v>8.48</v>
      </c>
      <c r="M14" s="116">
        <v>15.38</v>
      </c>
      <c r="N14" s="143">
        <v>2.04</v>
      </c>
      <c r="O14" s="110"/>
    </row>
    <row r="15" spans="1:19" ht="24.95" customHeight="1" x14ac:dyDescent="0.2">
      <c r="A15" s="114">
        <v>14</v>
      </c>
      <c r="B15" s="63">
        <v>14</v>
      </c>
      <c r="C15" s="142" t="s">
        <v>210</v>
      </c>
      <c r="D15" s="70">
        <v>7</v>
      </c>
      <c r="E15" s="61">
        <v>7.32</v>
      </c>
      <c r="F15" s="61">
        <v>7</v>
      </c>
      <c r="G15" s="64">
        <v>8.7200000000000006</v>
      </c>
      <c r="H15" s="142">
        <v>1.88</v>
      </c>
      <c r="I15" s="105">
        <v>6</v>
      </c>
      <c r="J15" s="62">
        <v>5.08</v>
      </c>
      <c r="K15" s="62">
        <v>6</v>
      </c>
      <c r="L15" s="64">
        <v>6.28</v>
      </c>
      <c r="M15" s="116">
        <v>15</v>
      </c>
      <c r="N15" s="143">
        <v>0.98</v>
      </c>
      <c r="O15" s="110"/>
    </row>
    <row r="16" spans="1:19" ht="24.95" customHeight="1" x14ac:dyDescent="0.2">
      <c r="A16" s="114">
        <v>15</v>
      </c>
      <c r="B16" s="63">
        <v>46</v>
      </c>
      <c r="C16" s="142" t="s">
        <v>211</v>
      </c>
      <c r="D16" s="70">
        <v>7</v>
      </c>
      <c r="E16" s="61">
        <v>6.84</v>
      </c>
      <c r="F16" s="61">
        <v>7</v>
      </c>
      <c r="G16" s="64">
        <v>8.24</v>
      </c>
      <c r="H16" s="142">
        <v>2.04</v>
      </c>
      <c r="I16" s="105">
        <v>5</v>
      </c>
      <c r="J16" s="62">
        <v>5.72</v>
      </c>
      <c r="K16" s="62">
        <v>5</v>
      </c>
      <c r="L16" s="64">
        <v>6.72</v>
      </c>
      <c r="M16" s="116">
        <v>14.96</v>
      </c>
      <c r="N16" s="143">
        <v>2.1800000000000002</v>
      </c>
      <c r="O16" s="110"/>
    </row>
    <row r="17" spans="1:15" ht="24.95" customHeight="1" x14ac:dyDescent="0.2">
      <c r="A17" s="114">
        <v>16</v>
      </c>
      <c r="B17" s="63">
        <v>43</v>
      </c>
      <c r="C17" s="142" t="s">
        <v>212</v>
      </c>
      <c r="D17" s="70">
        <v>2</v>
      </c>
      <c r="E17" s="61">
        <v>4.0999999999999996</v>
      </c>
      <c r="F17" s="61">
        <v>2</v>
      </c>
      <c r="G17" s="64">
        <v>4.5</v>
      </c>
      <c r="H17" s="142">
        <v>2.1</v>
      </c>
      <c r="I17" s="105">
        <v>7</v>
      </c>
      <c r="J17" s="62">
        <v>9.2200000000000006</v>
      </c>
      <c r="K17" s="62">
        <v>6</v>
      </c>
      <c r="L17" s="64">
        <v>10.42</v>
      </c>
      <c r="M17" s="116">
        <v>14.92</v>
      </c>
      <c r="N17" s="143">
        <v>3.08</v>
      </c>
      <c r="O17" s="110"/>
    </row>
    <row r="18" spans="1:15" ht="24.95" customHeight="1" x14ac:dyDescent="0.2">
      <c r="A18" s="114">
        <v>17</v>
      </c>
      <c r="B18" s="63">
        <v>34</v>
      </c>
      <c r="C18" s="142" t="s">
        <v>213</v>
      </c>
      <c r="D18" s="70">
        <v>5</v>
      </c>
      <c r="E18" s="61">
        <v>4.28</v>
      </c>
      <c r="F18" s="61">
        <v>4</v>
      </c>
      <c r="G18" s="64">
        <v>5.08</v>
      </c>
      <c r="H18" s="142">
        <v>1.02</v>
      </c>
      <c r="I18" s="105">
        <v>7</v>
      </c>
      <c r="J18" s="62">
        <v>8.02</v>
      </c>
      <c r="K18" s="62">
        <v>7</v>
      </c>
      <c r="L18" s="64">
        <v>9.42</v>
      </c>
      <c r="M18" s="116">
        <v>14.5</v>
      </c>
      <c r="N18" s="143">
        <v>1.9</v>
      </c>
      <c r="O18" s="110"/>
    </row>
    <row r="19" spans="1:15" ht="24.95" customHeight="1" x14ac:dyDescent="0.2">
      <c r="A19" s="114">
        <v>18</v>
      </c>
      <c r="B19" s="63">
        <v>1</v>
      </c>
      <c r="C19" s="142" t="s">
        <v>214</v>
      </c>
      <c r="D19" s="70">
        <v>4</v>
      </c>
      <c r="E19" s="61">
        <v>5.72</v>
      </c>
      <c r="F19" s="61">
        <v>4</v>
      </c>
      <c r="G19" s="64">
        <v>6.52</v>
      </c>
      <c r="H19" s="142">
        <v>2.54</v>
      </c>
      <c r="I19" s="105">
        <v>6</v>
      </c>
      <c r="J19" s="62">
        <v>6.68</v>
      </c>
      <c r="K19" s="62">
        <v>6</v>
      </c>
      <c r="L19" s="64">
        <v>7.88</v>
      </c>
      <c r="M19" s="116">
        <v>14.4</v>
      </c>
      <c r="N19" s="143">
        <v>2.04</v>
      </c>
      <c r="O19" s="110"/>
    </row>
    <row r="20" spans="1:15" ht="24.95" customHeight="1" x14ac:dyDescent="0.2">
      <c r="A20" s="114">
        <v>19</v>
      </c>
      <c r="B20" s="63">
        <v>72</v>
      </c>
      <c r="C20" s="142" t="s">
        <v>215</v>
      </c>
      <c r="D20" s="70">
        <v>5</v>
      </c>
      <c r="E20" s="61">
        <v>7.68</v>
      </c>
      <c r="F20" s="61">
        <v>5</v>
      </c>
      <c r="G20" s="64">
        <v>8.68</v>
      </c>
      <c r="H20" s="142">
        <v>2.84</v>
      </c>
      <c r="I20" s="105">
        <v>3</v>
      </c>
      <c r="J20" s="62">
        <v>4.88</v>
      </c>
      <c r="K20" s="62">
        <v>3</v>
      </c>
      <c r="L20" s="64">
        <v>5.48</v>
      </c>
      <c r="M20" s="116">
        <v>14.16</v>
      </c>
      <c r="N20" s="143">
        <v>1.94</v>
      </c>
      <c r="O20" s="110"/>
    </row>
    <row r="21" spans="1:15" ht="24.95" customHeight="1" x14ac:dyDescent="0.2">
      <c r="A21" s="114">
        <v>20</v>
      </c>
      <c r="B21" s="63">
        <v>74</v>
      </c>
      <c r="C21" s="142" t="s">
        <v>216</v>
      </c>
      <c r="D21" s="70">
        <v>5</v>
      </c>
      <c r="E21" s="61">
        <v>6.02</v>
      </c>
      <c r="F21" s="61">
        <v>5</v>
      </c>
      <c r="G21" s="64">
        <v>7.02</v>
      </c>
      <c r="H21" s="142">
        <v>2.02</v>
      </c>
      <c r="I21" s="105">
        <v>6</v>
      </c>
      <c r="J21" s="62">
        <v>5.8</v>
      </c>
      <c r="K21" s="62">
        <v>6</v>
      </c>
      <c r="L21" s="64">
        <v>7</v>
      </c>
      <c r="M21" s="116">
        <v>14.02</v>
      </c>
      <c r="N21" s="143">
        <v>1.9</v>
      </c>
      <c r="O21" s="110"/>
    </row>
    <row r="22" spans="1:15" ht="24.95" customHeight="1" x14ac:dyDescent="0.2">
      <c r="A22" s="114">
        <v>21</v>
      </c>
      <c r="B22" s="63">
        <v>76</v>
      </c>
      <c r="C22" s="142" t="s">
        <v>217</v>
      </c>
      <c r="D22" s="70">
        <v>2</v>
      </c>
      <c r="E22" s="61">
        <v>3.92</v>
      </c>
      <c r="F22" s="61">
        <v>2</v>
      </c>
      <c r="G22" s="64">
        <v>4.32</v>
      </c>
      <c r="H22" s="142">
        <v>2.06</v>
      </c>
      <c r="I22" s="105">
        <v>6</v>
      </c>
      <c r="J22" s="62">
        <v>8.32</v>
      </c>
      <c r="K22" s="62">
        <v>6</v>
      </c>
      <c r="L22" s="64">
        <v>9.52</v>
      </c>
      <c r="M22" s="116">
        <v>13.84</v>
      </c>
      <c r="N22" s="143">
        <v>2.48</v>
      </c>
      <c r="O22" s="110"/>
    </row>
    <row r="23" spans="1:15" ht="24.95" customHeight="1" x14ac:dyDescent="0.2">
      <c r="A23" s="114">
        <v>22</v>
      </c>
      <c r="B23" s="63">
        <v>41</v>
      </c>
      <c r="C23" s="142" t="s">
        <v>218</v>
      </c>
      <c r="D23" s="70">
        <v>4</v>
      </c>
      <c r="E23" s="61">
        <v>6.32</v>
      </c>
      <c r="F23" s="61">
        <v>4</v>
      </c>
      <c r="G23" s="64">
        <v>7.12</v>
      </c>
      <c r="H23" s="142">
        <v>2.34</v>
      </c>
      <c r="I23" s="105">
        <v>4</v>
      </c>
      <c r="J23" s="62">
        <v>5.8</v>
      </c>
      <c r="K23" s="62">
        <v>4</v>
      </c>
      <c r="L23" s="64">
        <v>6.6</v>
      </c>
      <c r="M23" s="116">
        <v>13.72</v>
      </c>
      <c r="N23" s="143">
        <v>2.36</v>
      </c>
      <c r="O23" s="110"/>
    </row>
    <row r="24" spans="1:15" ht="24.95" customHeight="1" x14ac:dyDescent="0.2">
      <c r="A24" s="114">
        <v>23</v>
      </c>
      <c r="B24" s="63">
        <v>3</v>
      </c>
      <c r="C24" s="142" t="s">
        <v>219</v>
      </c>
      <c r="D24" s="70">
        <v>2</v>
      </c>
      <c r="E24" s="61">
        <v>3.88</v>
      </c>
      <c r="F24" s="61">
        <v>2</v>
      </c>
      <c r="G24" s="64">
        <v>4.28</v>
      </c>
      <c r="H24" s="142">
        <v>2</v>
      </c>
      <c r="I24" s="105">
        <v>7</v>
      </c>
      <c r="J24" s="62">
        <v>7.94</v>
      </c>
      <c r="K24" s="62">
        <v>7</v>
      </c>
      <c r="L24" s="64">
        <v>9.34</v>
      </c>
      <c r="M24" s="116">
        <v>13.62</v>
      </c>
      <c r="N24" s="143">
        <v>2.08</v>
      </c>
      <c r="O24" s="110"/>
    </row>
    <row r="25" spans="1:15" ht="24.95" customHeight="1" x14ac:dyDescent="0.2">
      <c r="A25" s="114">
        <v>24</v>
      </c>
      <c r="B25" s="63">
        <v>55</v>
      </c>
      <c r="C25" s="142" t="s">
        <v>220</v>
      </c>
      <c r="D25" s="70">
        <v>4</v>
      </c>
      <c r="E25" s="61">
        <v>6.66</v>
      </c>
      <c r="F25" s="61">
        <v>4</v>
      </c>
      <c r="G25" s="64">
        <v>7.46</v>
      </c>
      <c r="H25" s="142">
        <v>2.5</v>
      </c>
      <c r="I25" s="105">
        <v>3</v>
      </c>
      <c r="J25" s="62">
        <v>4.78</v>
      </c>
      <c r="K25" s="62">
        <v>3</v>
      </c>
      <c r="L25" s="64">
        <v>5.38</v>
      </c>
      <c r="M25" s="116">
        <v>12.84</v>
      </c>
      <c r="N25" s="143">
        <v>2.04</v>
      </c>
      <c r="O25" s="110"/>
    </row>
    <row r="26" spans="1:15" ht="24.95" customHeight="1" x14ac:dyDescent="0.2">
      <c r="A26" s="114">
        <v>25</v>
      </c>
      <c r="B26" s="63">
        <v>27</v>
      </c>
      <c r="C26" s="142" t="s">
        <v>221</v>
      </c>
      <c r="D26" s="70">
        <v>4</v>
      </c>
      <c r="E26" s="61">
        <v>4.76</v>
      </c>
      <c r="F26" s="61">
        <v>4</v>
      </c>
      <c r="G26" s="64">
        <v>5.56</v>
      </c>
      <c r="H26" s="142">
        <v>1.92</v>
      </c>
      <c r="I26" s="105">
        <v>4</v>
      </c>
      <c r="J26" s="62">
        <v>6.3</v>
      </c>
      <c r="K26" s="62">
        <v>4</v>
      </c>
      <c r="L26" s="64">
        <v>7.1</v>
      </c>
      <c r="M26" s="116">
        <v>12.66</v>
      </c>
      <c r="N26" s="143">
        <v>2.52</v>
      </c>
      <c r="O26" s="110"/>
    </row>
    <row r="27" spans="1:15" ht="24.95" customHeight="1" x14ac:dyDescent="0.2">
      <c r="A27" s="114">
        <v>26</v>
      </c>
      <c r="B27" s="63">
        <v>64</v>
      </c>
      <c r="C27" s="142" t="s">
        <v>222</v>
      </c>
      <c r="D27" s="70">
        <v>3</v>
      </c>
      <c r="E27" s="61">
        <v>5.58</v>
      </c>
      <c r="F27" s="61">
        <v>3</v>
      </c>
      <c r="G27" s="64">
        <v>6.18</v>
      </c>
      <c r="H27" s="142">
        <v>2.04</v>
      </c>
      <c r="I27" s="105">
        <v>4</v>
      </c>
      <c r="J27" s="62">
        <v>5.46</v>
      </c>
      <c r="K27" s="62">
        <v>4</v>
      </c>
      <c r="L27" s="64">
        <v>6.26</v>
      </c>
      <c r="M27" s="116">
        <v>12.44</v>
      </c>
      <c r="N27" s="143">
        <v>2</v>
      </c>
      <c r="O27" s="110"/>
    </row>
    <row r="28" spans="1:15" ht="24.95" customHeight="1" x14ac:dyDescent="0.2">
      <c r="A28" s="114">
        <v>27</v>
      </c>
      <c r="B28" s="63">
        <v>26</v>
      </c>
      <c r="C28" s="142" t="s">
        <v>223</v>
      </c>
      <c r="D28" s="70">
        <v>2</v>
      </c>
      <c r="E28" s="61">
        <v>2.92</v>
      </c>
      <c r="F28" s="61">
        <v>2</v>
      </c>
      <c r="G28" s="64">
        <v>3.32</v>
      </c>
      <c r="H28" s="142">
        <v>1.94</v>
      </c>
      <c r="I28" s="105">
        <v>7</v>
      </c>
      <c r="J28" s="62">
        <v>7.42</v>
      </c>
      <c r="K28" s="62">
        <v>7</v>
      </c>
      <c r="L28" s="64">
        <v>8.82</v>
      </c>
      <c r="M28" s="116">
        <v>12.14</v>
      </c>
      <c r="N28" s="143">
        <v>1.82</v>
      </c>
      <c r="O28" s="110"/>
    </row>
    <row r="29" spans="1:15" ht="24.95" customHeight="1" x14ac:dyDescent="0.2">
      <c r="A29" s="114">
        <v>28</v>
      </c>
      <c r="B29" s="63">
        <v>61</v>
      </c>
      <c r="C29" s="142" t="s">
        <v>224</v>
      </c>
      <c r="D29" s="70">
        <v>3</v>
      </c>
      <c r="E29" s="61">
        <v>4.38</v>
      </c>
      <c r="F29" s="61">
        <v>3</v>
      </c>
      <c r="G29" s="64">
        <v>4.9800000000000004</v>
      </c>
      <c r="H29" s="142">
        <v>1.84</v>
      </c>
      <c r="I29" s="105">
        <v>4</v>
      </c>
      <c r="J29" s="62">
        <v>5.96</v>
      </c>
      <c r="K29" s="62">
        <v>4</v>
      </c>
      <c r="L29" s="64">
        <v>6.76</v>
      </c>
      <c r="M29" s="116">
        <v>11.74</v>
      </c>
      <c r="N29" s="143">
        <v>2.12</v>
      </c>
      <c r="O29" s="110"/>
    </row>
    <row r="30" spans="1:15" ht="24.95" customHeight="1" x14ac:dyDescent="0.2">
      <c r="A30" s="114">
        <v>29</v>
      </c>
      <c r="B30" s="63">
        <v>62</v>
      </c>
      <c r="C30" s="142" t="s">
        <v>225</v>
      </c>
      <c r="D30" s="70">
        <v>3</v>
      </c>
      <c r="E30" s="61">
        <v>4.72</v>
      </c>
      <c r="F30" s="61">
        <v>3</v>
      </c>
      <c r="G30" s="64">
        <v>5.32</v>
      </c>
      <c r="H30" s="142">
        <v>1.96</v>
      </c>
      <c r="I30" s="105">
        <v>6</v>
      </c>
      <c r="J30" s="62">
        <v>5.08</v>
      </c>
      <c r="K30" s="62">
        <v>6</v>
      </c>
      <c r="L30" s="64">
        <v>6.28</v>
      </c>
      <c r="M30" s="116">
        <v>11.6</v>
      </c>
      <c r="N30" s="143">
        <v>1.68</v>
      </c>
      <c r="O30" s="110"/>
    </row>
    <row r="31" spans="1:15" ht="24.95" customHeight="1" x14ac:dyDescent="0.2">
      <c r="A31" s="114">
        <v>30</v>
      </c>
      <c r="B31" s="63">
        <v>12</v>
      </c>
      <c r="C31" s="142" t="s">
        <v>226</v>
      </c>
      <c r="D31" s="70">
        <v>4</v>
      </c>
      <c r="E31" s="61">
        <v>4.7</v>
      </c>
      <c r="F31" s="61">
        <v>4</v>
      </c>
      <c r="G31" s="64">
        <v>5.5</v>
      </c>
      <c r="H31" s="142">
        <v>2.12</v>
      </c>
      <c r="I31" s="105">
        <v>4</v>
      </c>
      <c r="J31" s="62">
        <v>5.26</v>
      </c>
      <c r="K31" s="62">
        <v>4</v>
      </c>
      <c r="L31" s="64">
        <v>6.06</v>
      </c>
      <c r="M31" s="116">
        <v>11.56</v>
      </c>
      <c r="N31" s="143">
        <v>2.16</v>
      </c>
      <c r="O31" s="110"/>
    </row>
    <row r="32" spans="1:15" ht="24.95" customHeight="1" x14ac:dyDescent="0.2">
      <c r="A32" s="114">
        <v>31</v>
      </c>
      <c r="B32" s="63">
        <v>33</v>
      </c>
      <c r="C32" s="142" t="s">
        <v>227</v>
      </c>
      <c r="D32" s="70">
        <v>2</v>
      </c>
      <c r="E32" s="61">
        <v>5.5</v>
      </c>
      <c r="F32" s="61">
        <v>2</v>
      </c>
      <c r="G32" s="64">
        <v>5.9</v>
      </c>
      <c r="H32" s="142">
        <v>3.16</v>
      </c>
      <c r="I32" s="105">
        <v>4</v>
      </c>
      <c r="J32" s="62">
        <v>4.5599999999999996</v>
      </c>
      <c r="K32" s="62">
        <v>4</v>
      </c>
      <c r="L32" s="64">
        <v>5.36</v>
      </c>
      <c r="M32" s="116">
        <v>11.26</v>
      </c>
      <c r="N32" s="143">
        <v>2.08</v>
      </c>
      <c r="O32" s="110"/>
    </row>
    <row r="33" spans="1:15" ht="24.95" customHeight="1" x14ac:dyDescent="0.2">
      <c r="A33" s="114">
        <v>32</v>
      </c>
      <c r="B33" s="63">
        <v>39</v>
      </c>
      <c r="C33" s="142" t="s">
        <v>228</v>
      </c>
      <c r="D33" s="70">
        <v>3</v>
      </c>
      <c r="E33" s="61">
        <v>5.22</v>
      </c>
      <c r="F33" s="61">
        <v>3</v>
      </c>
      <c r="G33" s="64">
        <v>5.82</v>
      </c>
      <c r="H33" s="142">
        <v>2.68</v>
      </c>
      <c r="I33" s="105">
        <v>3</v>
      </c>
      <c r="J33" s="62">
        <v>4.74</v>
      </c>
      <c r="K33" s="62">
        <v>3</v>
      </c>
      <c r="L33" s="64">
        <v>5.34</v>
      </c>
      <c r="M33" s="116">
        <v>11.16</v>
      </c>
      <c r="N33" s="143">
        <v>1.96</v>
      </c>
      <c r="O33" s="110"/>
    </row>
    <row r="34" spans="1:15" ht="24.95" customHeight="1" x14ac:dyDescent="0.2">
      <c r="A34" s="114">
        <v>33</v>
      </c>
      <c r="B34" s="63">
        <v>75</v>
      </c>
      <c r="C34" s="142" t="s">
        <v>229</v>
      </c>
      <c r="D34" s="70">
        <v>2</v>
      </c>
      <c r="E34" s="61">
        <v>2.86</v>
      </c>
      <c r="F34" s="61">
        <v>2</v>
      </c>
      <c r="G34" s="64">
        <v>3.26</v>
      </c>
      <c r="H34" s="142">
        <v>2</v>
      </c>
      <c r="I34" s="105">
        <v>6</v>
      </c>
      <c r="J34" s="62">
        <v>6.3</v>
      </c>
      <c r="K34" s="62">
        <v>6</v>
      </c>
      <c r="L34" s="64">
        <v>7.5</v>
      </c>
      <c r="M34" s="116">
        <v>10.76</v>
      </c>
      <c r="N34" s="143">
        <v>2</v>
      </c>
      <c r="O34" s="110"/>
    </row>
    <row r="35" spans="1:15" ht="24.95" customHeight="1" x14ac:dyDescent="0.2">
      <c r="A35" s="114">
        <v>34</v>
      </c>
      <c r="B35" s="63">
        <v>17</v>
      </c>
      <c r="C35" s="142" t="s">
        <v>230</v>
      </c>
      <c r="D35" s="70">
        <v>4</v>
      </c>
      <c r="E35" s="61">
        <v>5.0199999999999996</v>
      </c>
      <c r="F35" s="61">
        <v>2</v>
      </c>
      <c r="G35" s="64">
        <v>5.42</v>
      </c>
      <c r="H35" s="142">
        <v>1.76</v>
      </c>
      <c r="I35" s="105">
        <v>4</v>
      </c>
      <c r="J35" s="62">
        <v>4.46</v>
      </c>
      <c r="K35" s="62">
        <v>4</v>
      </c>
      <c r="L35" s="64">
        <v>5.26</v>
      </c>
      <c r="M35" s="116">
        <v>10.68</v>
      </c>
      <c r="N35" s="143">
        <v>1.88</v>
      </c>
      <c r="O35" s="110"/>
    </row>
    <row r="36" spans="1:15" ht="24.95" customHeight="1" x14ac:dyDescent="0.2">
      <c r="A36" s="114">
        <v>35</v>
      </c>
      <c r="B36" s="63">
        <v>32</v>
      </c>
      <c r="C36" s="142" t="s">
        <v>231</v>
      </c>
      <c r="D36" s="70">
        <v>3</v>
      </c>
      <c r="E36" s="61">
        <v>4.88</v>
      </c>
      <c r="F36" s="61">
        <v>3</v>
      </c>
      <c r="G36" s="64">
        <v>5.48</v>
      </c>
      <c r="H36" s="142">
        <v>2.04</v>
      </c>
      <c r="I36" s="105">
        <v>3</v>
      </c>
      <c r="J36" s="62">
        <v>4.32</v>
      </c>
      <c r="K36" s="62">
        <v>3</v>
      </c>
      <c r="L36" s="64">
        <v>4.92</v>
      </c>
      <c r="M36" s="116">
        <v>10.4</v>
      </c>
      <c r="N36" s="143">
        <v>1.88</v>
      </c>
      <c r="O36" s="110"/>
    </row>
    <row r="37" spans="1:15" ht="24.95" customHeight="1" x14ac:dyDescent="0.2">
      <c r="A37" s="114">
        <v>36</v>
      </c>
      <c r="B37" s="63">
        <v>50</v>
      </c>
      <c r="C37" s="142" t="s">
        <v>232</v>
      </c>
      <c r="D37" s="70">
        <v>2</v>
      </c>
      <c r="E37" s="61">
        <v>3.54</v>
      </c>
      <c r="F37" s="61">
        <v>2</v>
      </c>
      <c r="G37" s="64">
        <v>3.94</v>
      </c>
      <c r="H37" s="142">
        <v>1.84</v>
      </c>
      <c r="I37" s="105">
        <v>6</v>
      </c>
      <c r="J37" s="62">
        <v>5.16</v>
      </c>
      <c r="K37" s="62">
        <v>6</v>
      </c>
      <c r="L37" s="64">
        <v>6.36</v>
      </c>
      <c r="M37" s="116">
        <v>10.3</v>
      </c>
      <c r="N37" s="143">
        <v>1.04</v>
      </c>
      <c r="O37" s="110"/>
    </row>
    <row r="38" spans="1:15" ht="24.95" customHeight="1" x14ac:dyDescent="0.2">
      <c r="A38" s="114">
        <v>37</v>
      </c>
      <c r="B38" s="63">
        <v>38</v>
      </c>
      <c r="C38" s="142" t="s">
        <v>233</v>
      </c>
      <c r="D38" s="70">
        <v>2</v>
      </c>
      <c r="E38" s="61">
        <v>2.62</v>
      </c>
      <c r="F38" s="61">
        <v>2</v>
      </c>
      <c r="G38" s="64">
        <v>3.02</v>
      </c>
      <c r="H38" s="142">
        <v>1.8</v>
      </c>
      <c r="I38" s="105">
        <v>4</v>
      </c>
      <c r="J38" s="62">
        <v>6.46</v>
      </c>
      <c r="K38" s="62">
        <v>4</v>
      </c>
      <c r="L38" s="64">
        <v>7.26</v>
      </c>
      <c r="M38" s="116">
        <v>10.28</v>
      </c>
      <c r="N38" s="143">
        <v>2.34</v>
      </c>
      <c r="O38" s="110"/>
    </row>
    <row r="39" spans="1:15" ht="24.95" customHeight="1" x14ac:dyDescent="0.2">
      <c r="A39" s="114">
        <v>38</v>
      </c>
      <c r="B39" s="63">
        <v>20</v>
      </c>
      <c r="C39" s="142" t="s">
        <v>234</v>
      </c>
      <c r="D39" s="70">
        <v>2</v>
      </c>
      <c r="E39" s="61">
        <v>3.8</v>
      </c>
      <c r="F39" s="61">
        <v>2</v>
      </c>
      <c r="G39" s="64">
        <v>4.2</v>
      </c>
      <c r="H39" s="142">
        <v>1.92</v>
      </c>
      <c r="I39" s="105">
        <v>3</v>
      </c>
      <c r="J39" s="62">
        <v>5.0199999999999996</v>
      </c>
      <c r="K39" s="62">
        <v>3</v>
      </c>
      <c r="L39" s="64">
        <v>5.62</v>
      </c>
      <c r="M39" s="116">
        <v>9.82</v>
      </c>
      <c r="N39" s="143">
        <v>2.2200000000000002</v>
      </c>
      <c r="O39" s="110"/>
    </row>
    <row r="40" spans="1:15" ht="24.95" customHeight="1" x14ac:dyDescent="0.2">
      <c r="A40" s="114">
        <v>39</v>
      </c>
      <c r="B40" s="63">
        <v>71</v>
      </c>
      <c r="C40" s="142" t="s">
        <v>235</v>
      </c>
      <c r="D40" s="70">
        <v>2</v>
      </c>
      <c r="E40" s="61">
        <v>2.88</v>
      </c>
      <c r="F40" s="61">
        <v>2</v>
      </c>
      <c r="G40" s="64">
        <v>3.28</v>
      </c>
      <c r="H40" s="142">
        <v>1.82</v>
      </c>
      <c r="I40" s="105">
        <v>4</v>
      </c>
      <c r="J40" s="62">
        <v>5.66</v>
      </c>
      <c r="K40" s="62">
        <v>4</v>
      </c>
      <c r="L40" s="64">
        <v>6.46</v>
      </c>
      <c r="M40" s="116">
        <v>9.74</v>
      </c>
      <c r="N40" s="143">
        <v>1.94</v>
      </c>
      <c r="O40" s="110"/>
    </row>
    <row r="41" spans="1:15" ht="24.95" customHeight="1" x14ac:dyDescent="0.2">
      <c r="A41" s="114">
        <v>40</v>
      </c>
      <c r="B41" s="63">
        <v>57</v>
      </c>
      <c r="C41" s="142" t="s">
        <v>236</v>
      </c>
      <c r="D41" s="70">
        <v>0</v>
      </c>
      <c r="E41" s="61">
        <v>0</v>
      </c>
      <c r="F41" s="61">
        <v>0</v>
      </c>
      <c r="G41" s="64">
        <v>0</v>
      </c>
      <c r="H41" s="142">
        <v>0</v>
      </c>
      <c r="I41" s="105">
        <v>7</v>
      </c>
      <c r="J41" s="62">
        <v>8.16</v>
      </c>
      <c r="K41" s="62">
        <v>7</v>
      </c>
      <c r="L41" s="64">
        <v>9.56</v>
      </c>
      <c r="M41" s="116">
        <v>9.56</v>
      </c>
      <c r="N41" s="143">
        <v>2.2200000000000002</v>
      </c>
      <c r="O41" s="110"/>
    </row>
    <row r="42" spans="1:15" ht="24.95" customHeight="1" x14ac:dyDescent="0.2">
      <c r="A42" s="114">
        <v>41</v>
      </c>
      <c r="B42" s="63">
        <v>69</v>
      </c>
      <c r="C42" s="142" t="s">
        <v>237</v>
      </c>
      <c r="D42" s="70">
        <v>1</v>
      </c>
      <c r="E42" s="61">
        <v>0.84</v>
      </c>
      <c r="F42" s="61">
        <v>1</v>
      </c>
      <c r="G42" s="64">
        <v>1.04</v>
      </c>
      <c r="H42" s="142">
        <v>0</v>
      </c>
      <c r="I42" s="105">
        <v>7</v>
      </c>
      <c r="J42" s="62">
        <v>7.04</v>
      </c>
      <c r="K42" s="62">
        <v>7</v>
      </c>
      <c r="L42" s="64">
        <v>8.44</v>
      </c>
      <c r="M42" s="116">
        <v>9.48</v>
      </c>
      <c r="N42" s="143">
        <v>1.92</v>
      </c>
      <c r="O42" s="110"/>
    </row>
    <row r="43" spans="1:15" ht="24.95" customHeight="1" x14ac:dyDescent="0.2">
      <c r="A43" s="114">
        <v>42</v>
      </c>
      <c r="B43" s="63">
        <v>63</v>
      </c>
      <c r="C43" s="142" t="s">
        <v>238</v>
      </c>
      <c r="D43" s="70">
        <v>1</v>
      </c>
      <c r="E43" s="61">
        <v>2.1</v>
      </c>
      <c r="F43" s="61">
        <v>1</v>
      </c>
      <c r="G43" s="64">
        <v>2.2999999999999998</v>
      </c>
      <c r="H43" s="142">
        <v>2.1</v>
      </c>
      <c r="I43" s="105">
        <v>7</v>
      </c>
      <c r="J43" s="62">
        <v>5.52</v>
      </c>
      <c r="K43" s="62">
        <v>7</v>
      </c>
      <c r="L43" s="64">
        <v>6.92</v>
      </c>
      <c r="M43" s="116">
        <v>9.2200000000000006</v>
      </c>
      <c r="N43" s="143">
        <v>2.12</v>
      </c>
      <c r="O43" s="110"/>
    </row>
    <row r="44" spans="1:15" ht="24.95" customHeight="1" x14ac:dyDescent="0.2">
      <c r="A44" s="114">
        <v>43</v>
      </c>
      <c r="B44" s="63">
        <v>70</v>
      </c>
      <c r="C44" s="142" t="s">
        <v>239</v>
      </c>
      <c r="D44" s="70">
        <v>0</v>
      </c>
      <c r="E44" s="61">
        <v>0</v>
      </c>
      <c r="F44" s="61">
        <v>0</v>
      </c>
      <c r="G44" s="64">
        <v>0</v>
      </c>
      <c r="H44" s="142">
        <v>0</v>
      </c>
      <c r="I44" s="105">
        <v>7</v>
      </c>
      <c r="J44" s="62">
        <v>7.8</v>
      </c>
      <c r="K44" s="62">
        <v>7</v>
      </c>
      <c r="L44" s="64">
        <v>9.1999999999999993</v>
      </c>
      <c r="M44" s="116">
        <v>9.1999999999999993</v>
      </c>
      <c r="N44" s="143">
        <v>2.2400000000000002</v>
      </c>
      <c r="O44" s="110"/>
    </row>
    <row r="45" spans="1:15" ht="24.95" customHeight="1" x14ac:dyDescent="0.2">
      <c r="A45" s="114">
        <v>44</v>
      </c>
      <c r="B45" s="63">
        <v>58</v>
      </c>
      <c r="C45" s="142" t="s">
        <v>240</v>
      </c>
      <c r="D45" s="70">
        <v>3</v>
      </c>
      <c r="E45" s="61">
        <v>4.66</v>
      </c>
      <c r="F45" s="61">
        <v>3</v>
      </c>
      <c r="G45" s="64">
        <v>5.26</v>
      </c>
      <c r="H45" s="142">
        <v>2.14</v>
      </c>
      <c r="I45" s="105">
        <v>3</v>
      </c>
      <c r="J45" s="62">
        <v>3.3</v>
      </c>
      <c r="K45" s="62">
        <v>3</v>
      </c>
      <c r="L45" s="64">
        <v>3.9</v>
      </c>
      <c r="M45" s="116">
        <v>9.16</v>
      </c>
      <c r="N45" s="143">
        <v>1.86</v>
      </c>
      <c r="O45" s="110"/>
    </row>
    <row r="46" spans="1:15" ht="24.95" customHeight="1" x14ac:dyDescent="0.2">
      <c r="A46" s="114">
        <v>45</v>
      </c>
      <c r="B46" s="63">
        <v>2</v>
      </c>
      <c r="C46" s="144" t="s">
        <v>241</v>
      </c>
      <c r="D46" s="70">
        <v>2</v>
      </c>
      <c r="E46" s="61">
        <v>3.5</v>
      </c>
      <c r="F46" s="61">
        <v>2</v>
      </c>
      <c r="G46" s="64">
        <v>3.9</v>
      </c>
      <c r="H46" s="142">
        <v>1.8</v>
      </c>
      <c r="I46" s="105">
        <v>4</v>
      </c>
      <c r="J46" s="62">
        <v>4.4000000000000004</v>
      </c>
      <c r="K46" s="62">
        <v>4</v>
      </c>
      <c r="L46" s="64">
        <v>5.2</v>
      </c>
      <c r="M46" s="116">
        <v>9.1</v>
      </c>
      <c r="N46" s="143">
        <v>1.9</v>
      </c>
      <c r="O46" s="110"/>
    </row>
    <row r="47" spans="1:15" ht="24.95" customHeight="1" x14ac:dyDescent="0.2">
      <c r="A47" s="114">
        <v>46</v>
      </c>
      <c r="B47" s="63">
        <v>48</v>
      </c>
      <c r="C47" s="142" t="s">
        <v>242</v>
      </c>
      <c r="D47" s="70">
        <v>1</v>
      </c>
      <c r="E47" s="61">
        <v>1.8</v>
      </c>
      <c r="F47" s="61">
        <v>1</v>
      </c>
      <c r="G47" s="64">
        <v>2</v>
      </c>
      <c r="H47" s="142">
        <v>0</v>
      </c>
      <c r="I47" s="105">
        <v>4</v>
      </c>
      <c r="J47" s="62">
        <v>5.82</v>
      </c>
      <c r="K47" s="62">
        <v>3</v>
      </c>
      <c r="L47" s="64">
        <v>6.42</v>
      </c>
      <c r="M47" s="116">
        <v>8.42</v>
      </c>
      <c r="N47" s="143">
        <v>2.06</v>
      </c>
      <c r="O47" s="110"/>
    </row>
    <row r="48" spans="1:15" ht="24.95" customHeight="1" x14ac:dyDescent="0.2">
      <c r="A48" s="114">
        <v>47</v>
      </c>
      <c r="B48" s="63">
        <v>68</v>
      </c>
      <c r="C48" s="142" t="s">
        <v>243</v>
      </c>
      <c r="D48" s="70">
        <v>2</v>
      </c>
      <c r="E48" s="61">
        <v>2.68</v>
      </c>
      <c r="F48" s="61">
        <v>1</v>
      </c>
      <c r="G48" s="64">
        <v>2.88</v>
      </c>
      <c r="H48" s="142">
        <v>1.84</v>
      </c>
      <c r="I48" s="105">
        <v>3</v>
      </c>
      <c r="J48" s="62">
        <v>4.92</v>
      </c>
      <c r="K48" s="62">
        <v>3</v>
      </c>
      <c r="L48" s="64">
        <v>5.52</v>
      </c>
      <c r="M48" s="116">
        <v>8.4</v>
      </c>
      <c r="N48" s="143">
        <v>2.2400000000000002</v>
      </c>
      <c r="O48" s="110"/>
    </row>
    <row r="49" spans="1:15" ht="24.95" customHeight="1" x14ac:dyDescent="0.2">
      <c r="A49" s="114">
        <v>48</v>
      </c>
      <c r="B49" s="63">
        <v>47</v>
      </c>
      <c r="C49" s="142" t="s">
        <v>244</v>
      </c>
      <c r="D49" s="70">
        <v>1</v>
      </c>
      <c r="E49" s="61">
        <v>2.38</v>
      </c>
      <c r="F49" s="61">
        <v>1</v>
      </c>
      <c r="G49" s="64">
        <v>2.58</v>
      </c>
      <c r="H49" s="142">
        <v>0</v>
      </c>
      <c r="I49" s="105">
        <v>3</v>
      </c>
      <c r="J49" s="62">
        <v>5.14</v>
      </c>
      <c r="K49" s="62">
        <v>3</v>
      </c>
      <c r="L49" s="64">
        <v>5.74</v>
      </c>
      <c r="M49" s="116">
        <v>8.32</v>
      </c>
      <c r="N49" s="143">
        <v>2.3199999999999998</v>
      </c>
      <c r="O49" s="110"/>
    </row>
    <row r="50" spans="1:15" ht="24.95" customHeight="1" x14ac:dyDescent="0.2">
      <c r="A50" s="114">
        <v>49</v>
      </c>
      <c r="B50" s="63">
        <v>9</v>
      </c>
      <c r="C50" s="144" t="s">
        <v>245</v>
      </c>
      <c r="D50" s="70">
        <v>2</v>
      </c>
      <c r="E50" s="61">
        <v>3.96</v>
      </c>
      <c r="F50" s="61">
        <v>2</v>
      </c>
      <c r="G50" s="64">
        <v>4.3600000000000003</v>
      </c>
      <c r="H50" s="142">
        <v>3.54</v>
      </c>
      <c r="I50" s="105">
        <v>4</v>
      </c>
      <c r="J50" s="62">
        <v>3</v>
      </c>
      <c r="K50" s="62">
        <v>4</v>
      </c>
      <c r="L50" s="64">
        <v>3.8</v>
      </c>
      <c r="M50" s="116">
        <v>8.16</v>
      </c>
      <c r="N50" s="143">
        <v>0.92</v>
      </c>
      <c r="O50" s="110"/>
    </row>
    <row r="51" spans="1:15" ht="24.95" customHeight="1" x14ac:dyDescent="0.2">
      <c r="A51" s="114">
        <v>50</v>
      </c>
      <c r="B51" s="63">
        <v>10</v>
      </c>
      <c r="C51" s="144" t="s">
        <v>246</v>
      </c>
      <c r="D51" s="70">
        <v>2</v>
      </c>
      <c r="E51" s="61">
        <v>3.68</v>
      </c>
      <c r="F51" s="61">
        <v>1</v>
      </c>
      <c r="G51" s="64">
        <v>3.88</v>
      </c>
      <c r="H51" s="142">
        <v>2</v>
      </c>
      <c r="I51" s="105">
        <v>2</v>
      </c>
      <c r="J51" s="62">
        <v>3.64</v>
      </c>
      <c r="K51" s="62">
        <v>2</v>
      </c>
      <c r="L51" s="64">
        <v>4.04</v>
      </c>
      <c r="M51" s="116">
        <v>7.92</v>
      </c>
      <c r="N51" s="143">
        <v>1.94</v>
      </c>
      <c r="O51" s="110"/>
    </row>
    <row r="52" spans="1:15" ht="24.95" customHeight="1" x14ac:dyDescent="0.2">
      <c r="A52" s="114">
        <v>51</v>
      </c>
      <c r="B52" s="63">
        <v>56</v>
      </c>
      <c r="C52" s="142" t="s">
        <v>247</v>
      </c>
      <c r="D52" s="70">
        <v>2</v>
      </c>
      <c r="E52" s="61">
        <v>2.62</v>
      </c>
      <c r="F52" s="61">
        <v>2</v>
      </c>
      <c r="G52" s="64">
        <v>3.02</v>
      </c>
      <c r="H52" s="142">
        <v>1.66</v>
      </c>
      <c r="I52" s="105">
        <v>2</v>
      </c>
      <c r="J52" s="62">
        <v>4.3600000000000003</v>
      </c>
      <c r="K52" s="62">
        <v>2</v>
      </c>
      <c r="L52" s="64">
        <v>4.76</v>
      </c>
      <c r="M52" s="116">
        <v>7.78</v>
      </c>
      <c r="N52" s="143">
        <v>2.2599999999999998</v>
      </c>
      <c r="O52" s="110"/>
    </row>
    <row r="53" spans="1:15" ht="24.95" customHeight="1" x14ac:dyDescent="0.2">
      <c r="A53" s="114">
        <v>52</v>
      </c>
      <c r="B53" s="63">
        <v>28</v>
      </c>
      <c r="C53" s="142" t="s">
        <v>248</v>
      </c>
      <c r="D53" s="70">
        <v>2</v>
      </c>
      <c r="E53" s="61">
        <v>4.96</v>
      </c>
      <c r="F53" s="61">
        <v>2</v>
      </c>
      <c r="G53" s="64">
        <v>5.36</v>
      </c>
      <c r="H53" s="142">
        <v>3.24</v>
      </c>
      <c r="I53" s="105">
        <v>1</v>
      </c>
      <c r="J53" s="62">
        <v>1.88</v>
      </c>
      <c r="K53" s="62">
        <v>1</v>
      </c>
      <c r="L53" s="64">
        <v>2.08</v>
      </c>
      <c r="M53" s="116">
        <v>7.44</v>
      </c>
      <c r="N53" s="143">
        <v>1.88</v>
      </c>
      <c r="O53" s="110"/>
    </row>
    <row r="54" spans="1:15" ht="24.95" customHeight="1" x14ac:dyDescent="0.2">
      <c r="A54" s="114">
        <v>53</v>
      </c>
      <c r="B54" s="63">
        <v>15</v>
      </c>
      <c r="C54" s="142" t="s">
        <v>249</v>
      </c>
      <c r="D54" s="70">
        <v>0</v>
      </c>
      <c r="E54" s="61">
        <v>0</v>
      </c>
      <c r="F54" s="61">
        <v>0</v>
      </c>
      <c r="G54" s="64">
        <v>0</v>
      </c>
      <c r="H54" s="142">
        <v>0</v>
      </c>
      <c r="I54" s="105">
        <v>4</v>
      </c>
      <c r="J54" s="62">
        <v>6.62</v>
      </c>
      <c r="K54" s="62">
        <v>4</v>
      </c>
      <c r="L54" s="64">
        <v>7.42</v>
      </c>
      <c r="M54" s="116">
        <v>7.42</v>
      </c>
      <c r="N54" s="143">
        <v>3.5</v>
      </c>
      <c r="O54" s="110"/>
    </row>
    <row r="55" spans="1:15" ht="24.95" customHeight="1" x14ac:dyDescent="0.2">
      <c r="A55" s="114">
        <v>54</v>
      </c>
      <c r="B55" s="63">
        <v>30</v>
      </c>
      <c r="C55" s="142" t="s">
        <v>250</v>
      </c>
      <c r="D55" s="70">
        <v>2</v>
      </c>
      <c r="E55" s="61">
        <v>3.18</v>
      </c>
      <c r="F55" s="61">
        <v>1</v>
      </c>
      <c r="G55" s="64">
        <v>3.38</v>
      </c>
      <c r="H55" s="142">
        <v>0</v>
      </c>
      <c r="I55" s="105">
        <v>4</v>
      </c>
      <c r="J55" s="62">
        <v>3.22</v>
      </c>
      <c r="K55" s="62">
        <v>4</v>
      </c>
      <c r="L55" s="64">
        <v>4.0199999999999996</v>
      </c>
      <c r="M55" s="116">
        <v>7.4</v>
      </c>
      <c r="N55" s="143">
        <v>1.1000000000000001</v>
      </c>
      <c r="O55" s="110"/>
    </row>
    <row r="56" spans="1:15" ht="24.95" customHeight="1" x14ac:dyDescent="0.2">
      <c r="A56" s="114">
        <v>55</v>
      </c>
      <c r="B56" s="63">
        <v>66</v>
      </c>
      <c r="C56" s="142" t="s">
        <v>251</v>
      </c>
      <c r="D56" s="70">
        <v>4</v>
      </c>
      <c r="E56" s="61">
        <v>4.96</v>
      </c>
      <c r="F56" s="61">
        <v>4</v>
      </c>
      <c r="G56" s="64">
        <v>5.76</v>
      </c>
      <c r="H56" s="142">
        <v>2.04</v>
      </c>
      <c r="I56" s="105">
        <v>2</v>
      </c>
      <c r="J56" s="62">
        <v>1.1000000000000001</v>
      </c>
      <c r="K56" s="62">
        <v>2</v>
      </c>
      <c r="L56" s="64">
        <v>1.5</v>
      </c>
      <c r="M56" s="116">
        <v>7.26</v>
      </c>
      <c r="N56" s="143">
        <v>0.56000000000000005</v>
      </c>
      <c r="O56" s="110"/>
    </row>
    <row r="57" spans="1:15" ht="24.95" customHeight="1" x14ac:dyDescent="0.2">
      <c r="A57" s="114">
        <v>56</v>
      </c>
      <c r="B57" s="63">
        <v>59</v>
      </c>
      <c r="C57" s="142" t="s">
        <v>252</v>
      </c>
      <c r="D57" s="70">
        <v>0</v>
      </c>
      <c r="E57" s="61">
        <v>0</v>
      </c>
      <c r="F57" s="61">
        <v>0</v>
      </c>
      <c r="G57" s="64">
        <v>0</v>
      </c>
      <c r="H57" s="142">
        <v>0</v>
      </c>
      <c r="I57" s="105">
        <v>4</v>
      </c>
      <c r="J57" s="62">
        <v>6.18</v>
      </c>
      <c r="K57" s="62">
        <v>4</v>
      </c>
      <c r="L57" s="64">
        <v>6.98</v>
      </c>
      <c r="M57" s="116">
        <v>6.98</v>
      </c>
      <c r="N57" s="143">
        <v>2.2599999999999998</v>
      </c>
      <c r="O57" s="110"/>
    </row>
    <row r="58" spans="1:15" ht="24.95" customHeight="1" x14ac:dyDescent="0.2">
      <c r="A58" s="114">
        <v>57</v>
      </c>
      <c r="B58" s="63">
        <v>24</v>
      </c>
      <c r="C58" s="142" t="s">
        <v>253</v>
      </c>
      <c r="D58" s="70">
        <v>2</v>
      </c>
      <c r="E58" s="61">
        <v>1.32</v>
      </c>
      <c r="F58" s="61">
        <v>2</v>
      </c>
      <c r="G58" s="64">
        <v>1.72</v>
      </c>
      <c r="H58" s="142">
        <v>0</v>
      </c>
      <c r="I58" s="105">
        <v>3</v>
      </c>
      <c r="J58" s="62">
        <v>4.5199999999999996</v>
      </c>
      <c r="K58" s="62">
        <v>3</v>
      </c>
      <c r="L58" s="64">
        <v>5.12</v>
      </c>
      <c r="M58" s="116">
        <v>6.84</v>
      </c>
      <c r="N58" s="143">
        <v>2.2999999999999998</v>
      </c>
      <c r="O58" s="110"/>
    </row>
    <row r="59" spans="1:15" ht="24.95" customHeight="1" x14ac:dyDescent="0.2">
      <c r="A59" s="114">
        <v>58</v>
      </c>
      <c r="B59" s="63">
        <v>65</v>
      </c>
      <c r="C59" s="142" t="s">
        <v>254</v>
      </c>
      <c r="D59" s="70">
        <v>2</v>
      </c>
      <c r="E59" s="61">
        <v>3.04</v>
      </c>
      <c r="F59" s="61">
        <v>2</v>
      </c>
      <c r="G59" s="64">
        <v>3.44</v>
      </c>
      <c r="H59" s="142">
        <v>2.14</v>
      </c>
      <c r="I59" s="105">
        <v>2</v>
      </c>
      <c r="J59" s="62">
        <v>2.8</v>
      </c>
      <c r="K59" s="62">
        <v>2</v>
      </c>
      <c r="L59" s="64">
        <v>3.2</v>
      </c>
      <c r="M59" s="116">
        <v>6.64</v>
      </c>
      <c r="N59" s="143">
        <v>2.16</v>
      </c>
      <c r="O59" s="110"/>
    </row>
    <row r="60" spans="1:15" ht="24.95" customHeight="1" x14ac:dyDescent="0.2">
      <c r="A60" s="114">
        <v>59</v>
      </c>
      <c r="B60" s="63">
        <v>22</v>
      </c>
      <c r="C60" s="142" t="s">
        <v>256</v>
      </c>
      <c r="D60" s="70">
        <v>2</v>
      </c>
      <c r="E60" s="61">
        <v>3.72</v>
      </c>
      <c r="F60" s="61">
        <v>2</v>
      </c>
      <c r="G60" s="64">
        <v>4.12</v>
      </c>
      <c r="H60" s="142">
        <v>2.06</v>
      </c>
      <c r="I60" s="105">
        <v>3</v>
      </c>
      <c r="J60" s="62">
        <v>1.76</v>
      </c>
      <c r="K60" s="62">
        <v>3</v>
      </c>
      <c r="L60" s="64">
        <v>2.36</v>
      </c>
      <c r="M60" s="116">
        <v>6.48</v>
      </c>
      <c r="N60" s="143">
        <v>0.88</v>
      </c>
      <c r="O60" s="110"/>
    </row>
    <row r="61" spans="1:15" ht="24.95" customHeight="1" x14ac:dyDescent="0.2">
      <c r="A61" s="114">
        <v>60</v>
      </c>
      <c r="B61" s="63">
        <v>67</v>
      </c>
      <c r="C61" s="142" t="s">
        <v>255</v>
      </c>
      <c r="D61" s="70">
        <v>1</v>
      </c>
      <c r="E61" s="61">
        <v>2.04</v>
      </c>
      <c r="F61" s="61">
        <v>1</v>
      </c>
      <c r="G61" s="64">
        <v>2.2400000000000002</v>
      </c>
      <c r="H61" s="142">
        <v>0</v>
      </c>
      <c r="I61" s="105">
        <v>2</v>
      </c>
      <c r="J61" s="62">
        <v>3.84</v>
      </c>
      <c r="K61" s="62">
        <v>2</v>
      </c>
      <c r="L61" s="64">
        <v>4.24</v>
      </c>
      <c r="M61" s="116">
        <v>6.48</v>
      </c>
      <c r="N61" s="143">
        <v>1.96</v>
      </c>
      <c r="O61" s="110"/>
    </row>
    <row r="62" spans="1:15" ht="24.95" customHeight="1" x14ac:dyDescent="0.2">
      <c r="A62" s="114">
        <v>61</v>
      </c>
      <c r="B62" s="63">
        <v>44</v>
      </c>
      <c r="C62" s="142" t="s">
        <v>257</v>
      </c>
      <c r="D62" s="70">
        <v>2</v>
      </c>
      <c r="E62" s="61">
        <v>2.7</v>
      </c>
      <c r="F62" s="61">
        <v>2</v>
      </c>
      <c r="G62" s="64">
        <v>3.1</v>
      </c>
      <c r="H62" s="142">
        <v>1.78</v>
      </c>
      <c r="I62" s="105">
        <v>2</v>
      </c>
      <c r="J62" s="62">
        <v>2.78</v>
      </c>
      <c r="K62" s="62">
        <v>2</v>
      </c>
      <c r="L62" s="64">
        <v>3.18</v>
      </c>
      <c r="M62" s="116">
        <v>6.28</v>
      </c>
      <c r="N62" s="143">
        <v>1.78</v>
      </c>
      <c r="O62" s="110"/>
    </row>
    <row r="63" spans="1:15" ht="24.95" customHeight="1" x14ac:dyDescent="0.2">
      <c r="A63" s="114">
        <v>62</v>
      </c>
      <c r="B63" s="63">
        <v>5</v>
      </c>
      <c r="C63" s="142" t="s">
        <v>258</v>
      </c>
      <c r="D63" s="70">
        <v>2</v>
      </c>
      <c r="E63" s="61">
        <v>3.96</v>
      </c>
      <c r="F63" s="61">
        <v>2</v>
      </c>
      <c r="G63" s="64">
        <v>4.3600000000000003</v>
      </c>
      <c r="H63" s="142">
        <v>2</v>
      </c>
      <c r="I63" s="105">
        <v>2</v>
      </c>
      <c r="J63" s="62">
        <v>1.46</v>
      </c>
      <c r="K63" s="62">
        <v>2</v>
      </c>
      <c r="L63" s="64">
        <v>1.86</v>
      </c>
      <c r="M63" s="116">
        <v>6.22</v>
      </c>
      <c r="N63" s="143">
        <v>0.84</v>
      </c>
      <c r="O63" s="110"/>
    </row>
    <row r="64" spans="1:15" ht="24.95" customHeight="1" x14ac:dyDescent="0.2">
      <c r="A64" s="114">
        <v>63</v>
      </c>
      <c r="B64" s="63">
        <v>37</v>
      </c>
      <c r="C64" s="142" t="s">
        <v>259</v>
      </c>
      <c r="D64" s="70">
        <v>1</v>
      </c>
      <c r="E64" s="61">
        <v>1</v>
      </c>
      <c r="F64" s="61">
        <v>1</v>
      </c>
      <c r="G64" s="64">
        <v>1.2</v>
      </c>
      <c r="H64" s="142">
        <v>0</v>
      </c>
      <c r="I64" s="105">
        <v>4</v>
      </c>
      <c r="J64" s="62">
        <v>4.76</v>
      </c>
      <c r="K64" s="62">
        <v>0</v>
      </c>
      <c r="L64" s="64">
        <v>4.76</v>
      </c>
      <c r="M64" s="116">
        <v>5.96</v>
      </c>
      <c r="N64" s="143">
        <v>1.82</v>
      </c>
      <c r="O64" s="110"/>
    </row>
    <row r="65" spans="1:15" ht="24.95" customHeight="1" x14ac:dyDescent="0.2">
      <c r="A65" s="114">
        <v>64</v>
      </c>
      <c r="B65" s="63">
        <v>7</v>
      </c>
      <c r="C65" s="142" t="s">
        <v>260</v>
      </c>
      <c r="D65" s="70">
        <v>2</v>
      </c>
      <c r="E65" s="61">
        <v>2.16</v>
      </c>
      <c r="F65" s="61">
        <v>2</v>
      </c>
      <c r="G65" s="64">
        <v>2.56</v>
      </c>
      <c r="H65" s="142">
        <v>1.7</v>
      </c>
      <c r="I65" s="105">
        <v>2</v>
      </c>
      <c r="J65" s="62">
        <v>2.86</v>
      </c>
      <c r="K65" s="62">
        <v>2</v>
      </c>
      <c r="L65" s="64">
        <v>3.26</v>
      </c>
      <c r="M65" s="116">
        <v>5.82</v>
      </c>
      <c r="N65" s="143">
        <v>1.98</v>
      </c>
      <c r="O65" s="110"/>
    </row>
    <row r="66" spans="1:15" ht="24.95" customHeight="1" x14ac:dyDescent="0.2">
      <c r="A66" s="114">
        <v>65</v>
      </c>
      <c r="B66" s="63">
        <v>29</v>
      </c>
      <c r="C66" s="142" t="s">
        <v>261</v>
      </c>
      <c r="D66" s="70">
        <v>1</v>
      </c>
      <c r="E66" s="61">
        <v>1.78</v>
      </c>
      <c r="F66" s="61">
        <v>1</v>
      </c>
      <c r="G66" s="64">
        <v>1.98</v>
      </c>
      <c r="H66" s="142">
        <v>0</v>
      </c>
      <c r="I66" s="105">
        <v>2</v>
      </c>
      <c r="J66" s="62">
        <v>2.56</v>
      </c>
      <c r="K66" s="62">
        <v>2</v>
      </c>
      <c r="L66" s="64">
        <v>2.96</v>
      </c>
      <c r="M66" s="116">
        <v>4.9400000000000004</v>
      </c>
      <c r="N66" s="143">
        <v>2</v>
      </c>
      <c r="O66" s="110"/>
    </row>
    <row r="67" spans="1:15" ht="24.95" customHeight="1" x14ac:dyDescent="0.2">
      <c r="A67" s="114">
        <v>66</v>
      </c>
      <c r="B67" s="63">
        <v>19</v>
      </c>
      <c r="C67" s="142" t="s">
        <v>262</v>
      </c>
      <c r="D67" s="70">
        <v>0</v>
      </c>
      <c r="E67" s="61">
        <v>0</v>
      </c>
      <c r="F67" s="61">
        <v>0</v>
      </c>
      <c r="G67" s="64">
        <v>0</v>
      </c>
      <c r="H67" s="142">
        <v>0</v>
      </c>
      <c r="I67" s="105">
        <v>2</v>
      </c>
      <c r="J67" s="62">
        <v>3.98</v>
      </c>
      <c r="K67" s="62">
        <v>2</v>
      </c>
      <c r="L67" s="64">
        <v>4.38</v>
      </c>
      <c r="M67" s="116">
        <v>4.38</v>
      </c>
      <c r="N67" s="143">
        <v>2</v>
      </c>
      <c r="O67" s="110"/>
    </row>
    <row r="68" spans="1:15" ht="24.95" customHeight="1" x14ac:dyDescent="0.2">
      <c r="A68" s="114">
        <v>67</v>
      </c>
      <c r="B68" s="63">
        <v>25</v>
      </c>
      <c r="C68" s="142" t="s">
        <v>263</v>
      </c>
      <c r="D68" s="70">
        <v>1</v>
      </c>
      <c r="E68" s="61">
        <v>1.96</v>
      </c>
      <c r="F68" s="61">
        <v>1</v>
      </c>
      <c r="G68" s="64">
        <v>2.16</v>
      </c>
      <c r="H68" s="142">
        <v>1.96</v>
      </c>
      <c r="I68" s="105">
        <v>1</v>
      </c>
      <c r="J68" s="62">
        <v>1.9</v>
      </c>
      <c r="K68" s="62">
        <v>1</v>
      </c>
      <c r="L68" s="64">
        <v>2.1</v>
      </c>
      <c r="M68" s="116">
        <v>4.26</v>
      </c>
      <c r="N68" s="143">
        <v>1.9</v>
      </c>
      <c r="O68" s="110"/>
    </row>
    <row r="69" spans="1:15" ht="24.95" customHeight="1" x14ac:dyDescent="0.2">
      <c r="A69" s="114">
        <v>68</v>
      </c>
      <c r="B69" s="63">
        <v>16</v>
      </c>
      <c r="C69" s="142" t="s">
        <v>264</v>
      </c>
      <c r="D69" s="70">
        <v>5</v>
      </c>
      <c r="E69" s="61">
        <v>3.22</v>
      </c>
      <c r="F69" s="61">
        <v>5</v>
      </c>
      <c r="G69" s="64">
        <v>4.22</v>
      </c>
      <c r="H69" s="142">
        <v>0</v>
      </c>
      <c r="I69" s="105">
        <v>0</v>
      </c>
      <c r="J69" s="62">
        <v>0</v>
      </c>
      <c r="K69" s="62">
        <v>0</v>
      </c>
      <c r="L69" s="64">
        <v>0</v>
      </c>
      <c r="M69" s="116">
        <v>4.22</v>
      </c>
      <c r="N69" s="143">
        <v>0</v>
      </c>
      <c r="O69" s="110"/>
    </row>
    <row r="70" spans="1:15" ht="24.95" customHeight="1" x14ac:dyDescent="0.2">
      <c r="A70" s="114">
        <v>69</v>
      </c>
      <c r="B70" s="63">
        <v>60</v>
      </c>
      <c r="C70" s="142" t="s">
        <v>265</v>
      </c>
      <c r="D70" s="70">
        <v>1</v>
      </c>
      <c r="E70" s="61">
        <v>2.1</v>
      </c>
      <c r="F70" s="61">
        <v>1</v>
      </c>
      <c r="G70" s="64">
        <v>2.2999999999999998</v>
      </c>
      <c r="H70" s="142">
        <v>0</v>
      </c>
      <c r="I70" s="105">
        <v>1</v>
      </c>
      <c r="J70" s="62">
        <v>1.78</v>
      </c>
      <c r="K70" s="62">
        <v>0</v>
      </c>
      <c r="L70" s="64">
        <v>1.78</v>
      </c>
      <c r="M70" s="116">
        <v>4.08</v>
      </c>
      <c r="N70" s="143">
        <v>1.78</v>
      </c>
      <c r="O70" s="110"/>
    </row>
    <row r="71" spans="1:15" ht="24.95" customHeight="1" x14ac:dyDescent="0.2">
      <c r="A71" s="114">
        <v>70</v>
      </c>
      <c r="B71" s="63">
        <v>73</v>
      </c>
      <c r="C71" s="142" t="s">
        <v>266</v>
      </c>
      <c r="D71" s="70">
        <v>1</v>
      </c>
      <c r="E71" s="61">
        <v>1.82</v>
      </c>
      <c r="F71" s="61">
        <v>1</v>
      </c>
      <c r="G71" s="64">
        <v>2.02</v>
      </c>
      <c r="H71" s="142">
        <v>0</v>
      </c>
      <c r="I71" s="105">
        <v>1</v>
      </c>
      <c r="J71" s="62">
        <v>1.84</v>
      </c>
      <c r="K71" s="62">
        <v>1</v>
      </c>
      <c r="L71" s="64">
        <v>2.04</v>
      </c>
      <c r="M71" s="116">
        <v>4.0599999999999996</v>
      </c>
      <c r="N71" s="143">
        <v>1.84</v>
      </c>
      <c r="O71" s="110"/>
    </row>
    <row r="72" spans="1:15" ht="24.95" customHeight="1" x14ac:dyDescent="0.2">
      <c r="A72" s="114">
        <v>71</v>
      </c>
      <c r="B72" s="63">
        <v>36</v>
      </c>
      <c r="C72" s="142" t="s">
        <v>267</v>
      </c>
      <c r="D72" s="70">
        <v>0</v>
      </c>
      <c r="E72" s="61">
        <v>0</v>
      </c>
      <c r="F72" s="61">
        <v>0</v>
      </c>
      <c r="G72" s="64">
        <v>0</v>
      </c>
      <c r="H72" s="142">
        <v>0</v>
      </c>
      <c r="I72" s="105">
        <v>2</v>
      </c>
      <c r="J72" s="62">
        <v>3.54</v>
      </c>
      <c r="K72" s="62">
        <v>2</v>
      </c>
      <c r="L72" s="64">
        <v>3.94</v>
      </c>
      <c r="M72" s="116">
        <v>3.94</v>
      </c>
      <c r="N72" s="143">
        <v>1.92</v>
      </c>
      <c r="O72" s="110"/>
    </row>
    <row r="73" spans="1:15" ht="24.95" customHeight="1" x14ac:dyDescent="0.2">
      <c r="A73" s="114">
        <v>72</v>
      </c>
      <c r="B73" s="63">
        <v>31</v>
      </c>
      <c r="C73" s="142" t="s">
        <v>268</v>
      </c>
      <c r="D73" s="70">
        <v>1</v>
      </c>
      <c r="E73" s="61">
        <v>2.14</v>
      </c>
      <c r="F73" s="61">
        <v>1</v>
      </c>
      <c r="G73" s="64">
        <v>2.34</v>
      </c>
      <c r="H73" s="142">
        <v>0</v>
      </c>
      <c r="I73" s="105">
        <v>0</v>
      </c>
      <c r="J73" s="62">
        <v>0</v>
      </c>
      <c r="K73" s="62">
        <v>0</v>
      </c>
      <c r="L73" s="64">
        <v>0</v>
      </c>
      <c r="M73" s="116">
        <v>2.34</v>
      </c>
      <c r="N73" s="143">
        <v>0</v>
      </c>
      <c r="O73" s="110"/>
    </row>
    <row r="74" spans="1:15" ht="24.95" customHeight="1" x14ac:dyDescent="0.2">
      <c r="A74" s="114">
        <v>73</v>
      </c>
      <c r="B74" s="63">
        <v>54</v>
      </c>
      <c r="C74" s="142" t="s">
        <v>269</v>
      </c>
      <c r="D74" s="70">
        <v>1</v>
      </c>
      <c r="E74" s="61">
        <v>2.04</v>
      </c>
      <c r="F74" s="61">
        <v>1</v>
      </c>
      <c r="G74" s="64">
        <v>2.2400000000000002</v>
      </c>
      <c r="H74" s="142">
        <v>0</v>
      </c>
      <c r="I74" s="105">
        <v>0</v>
      </c>
      <c r="J74" s="62">
        <v>0</v>
      </c>
      <c r="K74" s="62">
        <v>0</v>
      </c>
      <c r="L74" s="64">
        <v>0</v>
      </c>
      <c r="M74" s="116">
        <v>2.2400000000000002</v>
      </c>
      <c r="N74" s="143">
        <v>0</v>
      </c>
      <c r="O74" s="110"/>
    </row>
    <row r="75" spans="1:15" ht="24.95" customHeight="1" x14ac:dyDescent="0.2">
      <c r="A75" s="114">
        <v>74</v>
      </c>
      <c r="B75" s="63">
        <v>42</v>
      </c>
      <c r="C75" s="142" t="s">
        <v>270</v>
      </c>
      <c r="D75" s="70">
        <v>1</v>
      </c>
      <c r="E75" s="61">
        <v>0.6</v>
      </c>
      <c r="F75" s="61">
        <v>1</v>
      </c>
      <c r="G75" s="64">
        <v>0.8</v>
      </c>
      <c r="H75" s="142">
        <v>0</v>
      </c>
      <c r="I75" s="105">
        <v>1</v>
      </c>
      <c r="J75" s="62">
        <v>1.18</v>
      </c>
      <c r="K75" s="62">
        <v>1</v>
      </c>
      <c r="L75" s="64">
        <v>1.38</v>
      </c>
      <c r="M75" s="116">
        <v>2.1800000000000002</v>
      </c>
      <c r="N75" s="143">
        <v>1.18</v>
      </c>
      <c r="O75" s="110"/>
    </row>
    <row r="76" spans="1:15" ht="24.95" customHeight="1" x14ac:dyDescent="0.2">
      <c r="A76" s="114">
        <v>75</v>
      </c>
      <c r="B76" s="63">
        <v>18</v>
      </c>
      <c r="C76" s="142" t="s">
        <v>271</v>
      </c>
      <c r="D76" s="70">
        <v>2</v>
      </c>
      <c r="E76" s="61">
        <v>1.66</v>
      </c>
      <c r="F76" s="61">
        <v>2</v>
      </c>
      <c r="G76" s="64">
        <v>2.06</v>
      </c>
      <c r="H76" s="142">
        <v>0</v>
      </c>
      <c r="I76" s="105">
        <v>0</v>
      </c>
      <c r="J76" s="62">
        <v>0</v>
      </c>
      <c r="K76" s="62">
        <v>0</v>
      </c>
      <c r="L76" s="64">
        <v>0</v>
      </c>
      <c r="M76" s="116">
        <v>2.06</v>
      </c>
      <c r="N76" s="143">
        <v>0</v>
      </c>
      <c r="O76" s="110"/>
    </row>
    <row r="77" spans="1:15" ht="24.95" customHeight="1" thickBot="1" x14ac:dyDescent="0.25">
      <c r="A77" s="118">
        <v>76</v>
      </c>
      <c r="B77" s="63">
        <v>40</v>
      </c>
      <c r="C77" s="142" t="s">
        <v>272</v>
      </c>
      <c r="D77" s="70">
        <v>1</v>
      </c>
      <c r="E77" s="61">
        <v>1</v>
      </c>
      <c r="F77" s="61">
        <v>1</v>
      </c>
      <c r="G77" s="64">
        <v>1.2</v>
      </c>
      <c r="H77" s="142">
        <v>0</v>
      </c>
      <c r="I77" s="105">
        <v>0</v>
      </c>
      <c r="J77" s="62">
        <v>0</v>
      </c>
      <c r="K77" s="62">
        <v>0</v>
      </c>
      <c r="L77" s="64">
        <v>0</v>
      </c>
      <c r="M77" s="116">
        <v>1.2</v>
      </c>
      <c r="N77" s="143">
        <v>0</v>
      </c>
      <c r="O77" s="111"/>
    </row>
    <row r="78" spans="1:15" ht="24.95" customHeight="1" x14ac:dyDescent="0.2">
      <c r="A78" s="49"/>
      <c r="B78" s="50"/>
      <c r="C78" s="49"/>
      <c r="D78" s="49"/>
      <c r="E78" s="49"/>
      <c r="F78" s="49"/>
      <c r="G78" s="57"/>
      <c r="H78" s="58"/>
      <c r="I78" s="53"/>
      <c r="J78" s="53"/>
      <c r="K78" s="53"/>
      <c r="L78" s="57"/>
      <c r="M78" s="53"/>
      <c r="N78" s="58"/>
      <c r="O78" s="31"/>
    </row>
    <row r="79" spans="1:15" ht="24.95" customHeight="1" x14ac:dyDescent="0.2">
      <c r="A79" s="61"/>
      <c r="B79" s="63"/>
      <c r="C79" s="61"/>
      <c r="D79" s="61"/>
      <c r="E79" s="61"/>
      <c r="F79" s="61"/>
      <c r="G79" s="64"/>
      <c r="H79" s="65"/>
      <c r="I79" s="62"/>
      <c r="J79" s="62"/>
      <c r="K79" s="62"/>
      <c r="L79" s="64"/>
      <c r="M79" s="62"/>
      <c r="N79" s="65"/>
      <c r="O79" s="27"/>
    </row>
    <row r="80" spans="1:15" ht="24.95" customHeight="1" x14ac:dyDescent="0.2">
      <c r="A80" s="61"/>
      <c r="B80" s="63"/>
      <c r="C80" s="61"/>
      <c r="D80" s="61"/>
      <c r="E80" s="61"/>
      <c r="F80" s="61"/>
      <c r="G80" s="64"/>
      <c r="H80" s="65"/>
      <c r="I80" s="62"/>
      <c r="J80" s="62"/>
      <c r="K80" s="62"/>
      <c r="L80" s="64"/>
      <c r="M80" s="62"/>
      <c r="N80" s="65"/>
      <c r="O80" s="27"/>
    </row>
    <row r="81" spans="1:15" ht="24.95" customHeight="1" x14ac:dyDescent="0.2">
      <c r="A81" s="61"/>
      <c r="B81" s="63"/>
      <c r="C81" s="61"/>
      <c r="D81" s="61"/>
      <c r="E81" s="61"/>
      <c r="F81" s="61"/>
      <c r="G81" s="64"/>
      <c r="H81" s="65"/>
      <c r="I81" s="62"/>
      <c r="J81" s="62"/>
      <c r="K81" s="62"/>
      <c r="L81" s="64"/>
      <c r="M81" s="62"/>
      <c r="N81" s="65"/>
      <c r="O81" s="27"/>
    </row>
    <row r="82" spans="1:15" ht="24.95" customHeight="1" x14ac:dyDescent="0.2">
      <c r="A82" s="61"/>
      <c r="B82" s="63"/>
      <c r="C82" s="61"/>
      <c r="D82" s="61"/>
      <c r="E82" s="61"/>
      <c r="F82" s="61"/>
      <c r="G82" s="64"/>
      <c r="H82" s="65"/>
      <c r="I82" s="62"/>
      <c r="J82" s="62"/>
      <c r="K82" s="62"/>
      <c r="L82" s="64"/>
      <c r="M82" s="62"/>
      <c r="N82" s="65"/>
      <c r="O82" s="27"/>
    </row>
    <row r="83" spans="1:15" ht="24.95" customHeight="1" x14ac:dyDescent="0.2">
      <c r="A83" s="61"/>
      <c r="B83" s="63"/>
      <c r="C83" s="61"/>
      <c r="D83" s="61"/>
      <c r="E83" s="61"/>
      <c r="F83" s="61"/>
      <c r="G83" s="64"/>
      <c r="H83" s="65"/>
      <c r="I83" s="62"/>
      <c r="J83" s="62"/>
      <c r="K83" s="62"/>
      <c r="L83" s="64"/>
      <c r="M83" s="62"/>
      <c r="N83" s="65"/>
      <c r="O83" s="27"/>
    </row>
    <row r="84" spans="1:15" ht="24.95" customHeight="1" x14ac:dyDescent="0.2">
      <c r="A84" s="61"/>
      <c r="B84" s="63"/>
      <c r="C84" s="61"/>
      <c r="D84" s="61"/>
      <c r="E84" s="61"/>
      <c r="F84" s="61"/>
      <c r="G84" s="64"/>
      <c r="H84" s="65"/>
      <c r="I84" s="62"/>
      <c r="J84" s="62"/>
      <c r="K84" s="62"/>
      <c r="L84" s="64"/>
      <c r="M84" s="62"/>
      <c r="N84" s="65"/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6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6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6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6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6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6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6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6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6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6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6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6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6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xmlns:xlrd2="http://schemas.microsoft.com/office/spreadsheetml/2017/richdata2" ref="A2:O77">
    <sortCondition descending="1" ref="M1:M77"/>
  </sortState>
  <pageMargins left="0.7" right="0.7" top="0.75" bottom="0.75" header="0.3" footer="0.3"/>
  <pageSetup scale="65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0000"/>
  </sheetPr>
  <dimension ref="A1:S651"/>
  <sheetViews>
    <sheetView workbookViewId="0">
      <selection activeCell="A2" sqref="A2:O82"/>
    </sheetView>
  </sheetViews>
  <sheetFormatPr defaultRowHeight="12.75" x14ac:dyDescent="0.2"/>
  <cols>
    <col min="1" max="2" width="8.7109375" style="51" customWidth="1"/>
    <col min="3" max="3" width="21" style="51" customWidth="1"/>
    <col min="4" max="5" width="8.7109375" style="51" customWidth="1"/>
    <col min="6" max="6" width="9.7109375" style="51" customWidth="1"/>
    <col min="7" max="10" width="8.7109375" style="59" customWidth="1"/>
    <col min="11" max="11" width="9.140625" style="59" customWidth="1"/>
    <col min="12" max="14" width="8.7109375" style="59" customWidth="1"/>
    <col min="15" max="15" width="6.28515625" customWidth="1"/>
    <col min="16" max="16" width="48.28515625" style="24" customWidth="1"/>
  </cols>
  <sheetData>
    <row r="1" spans="1:19" ht="38.25" customHeight="1" x14ac:dyDescent="0.2">
      <c r="A1" s="21" t="s">
        <v>0</v>
      </c>
      <c r="B1" s="21" t="s">
        <v>1</v>
      </c>
      <c r="C1" s="20" t="s">
        <v>2</v>
      </c>
      <c r="D1" s="21" t="s">
        <v>3</v>
      </c>
      <c r="E1" s="21" t="s">
        <v>4</v>
      </c>
      <c r="F1" s="20" t="s">
        <v>5</v>
      </c>
      <c r="G1" s="21" t="s">
        <v>6</v>
      </c>
      <c r="H1" s="21" t="s">
        <v>7</v>
      </c>
      <c r="I1" s="21" t="s">
        <v>36</v>
      </c>
      <c r="J1" s="21" t="s">
        <v>8</v>
      </c>
      <c r="K1" s="21" t="s">
        <v>5</v>
      </c>
      <c r="L1" s="21" t="s">
        <v>9</v>
      </c>
      <c r="M1" s="21" t="s">
        <v>10</v>
      </c>
      <c r="N1" s="21" t="s">
        <v>11</v>
      </c>
      <c r="O1" s="21" t="s">
        <v>164</v>
      </c>
      <c r="Q1" s="60"/>
      <c r="R1" s="1"/>
      <c r="S1" s="1"/>
    </row>
    <row r="2" spans="1:19" ht="24.95" customHeight="1" x14ac:dyDescent="0.2">
      <c r="A2" s="7">
        <v>18</v>
      </c>
      <c r="B2" s="19">
        <v>1</v>
      </c>
      <c r="C2" s="8" t="s">
        <v>55</v>
      </c>
      <c r="D2" s="9">
        <v>7</v>
      </c>
      <c r="E2" s="9">
        <v>8.26</v>
      </c>
      <c r="F2" s="9">
        <v>7</v>
      </c>
      <c r="G2" s="10">
        <f t="shared" ref="G2:G33" si="0">E2+F2*0.2</f>
        <v>9.66</v>
      </c>
      <c r="H2" s="11">
        <v>2.1</v>
      </c>
      <c r="I2" s="9">
        <v>7</v>
      </c>
      <c r="J2" s="9">
        <v>8.1</v>
      </c>
      <c r="K2" s="9">
        <v>7</v>
      </c>
      <c r="L2" s="10">
        <f t="shared" ref="L2:L33" si="1">J2+K2*0.2</f>
        <v>9.5</v>
      </c>
      <c r="M2" s="12">
        <f t="shared" ref="M2:M33" si="2">L2+G2</f>
        <v>19.16</v>
      </c>
      <c r="N2" s="11">
        <v>2.1</v>
      </c>
      <c r="O2" s="27"/>
    </row>
    <row r="3" spans="1:19" ht="24.95" customHeight="1" x14ac:dyDescent="0.2">
      <c r="A3" s="7">
        <v>15</v>
      </c>
      <c r="B3" s="19">
        <v>2</v>
      </c>
      <c r="C3" s="8" t="s">
        <v>130</v>
      </c>
      <c r="D3" s="9">
        <v>7</v>
      </c>
      <c r="E3" s="9">
        <v>9.44</v>
      </c>
      <c r="F3" s="9">
        <v>7</v>
      </c>
      <c r="G3" s="10">
        <f t="shared" si="0"/>
        <v>10.84</v>
      </c>
      <c r="H3" s="11">
        <v>3.28</v>
      </c>
      <c r="I3" s="9">
        <v>7</v>
      </c>
      <c r="J3" s="9">
        <v>7.28</v>
      </c>
      <c r="K3" s="9">
        <v>7</v>
      </c>
      <c r="L3" s="10">
        <f t="shared" si="1"/>
        <v>8.68</v>
      </c>
      <c r="M3" s="12">
        <f t="shared" si="2"/>
        <v>19.52</v>
      </c>
      <c r="N3" s="11">
        <v>1.94</v>
      </c>
      <c r="O3" s="27"/>
    </row>
    <row r="4" spans="1:19" ht="24.95" customHeight="1" x14ac:dyDescent="0.2">
      <c r="A4" s="7">
        <v>40</v>
      </c>
      <c r="B4" s="19">
        <v>3</v>
      </c>
      <c r="C4" s="8" t="s">
        <v>42</v>
      </c>
      <c r="D4" s="9">
        <v>6</v>
      </c>
      <c r="E4" s="9">
        <v>5.9</v>
      </c>
      <c r="F4" s="9">
        <v>6</v>
      </c>
      <c r="G4" s="10">
        <f t="shared" si="0"/>
        <v>7.1000000000000005</v>
      </c>
      <c r="H4" s="11">
        <v>1.82</v>
      </c>
      <c r="I4" s="9">
        <v>7</v>
      </c>
      <c r="J4" s="9">
        <v>6.16</v>
      </c>
      <c r="K4" s="9">
        <v>7</v>
      </c>
      <c r="L4" s="10">
        <f t="shared" si="1"/>
        <v>7.5600000000000005</v>
      </c>
      <c r="M4" s="12">
        <f t="shared" si="2"/>
        <v>14.66</v>
      </c>
      <c r="N4" s="11">
        <v>2</v>
      </c>
      <c r="O4" s="27"/>
    </row>
    <row r="5" spans="1:19" ht="24.95" customHeight="1" x14ac:dyDescent="0.2">
      <c r="A5" s="7">
        <v>20</v>
      </c>
      <c r="B5" s="19">
        <v>4</v>
      </c>
      <c r="C5" s="8" t="s">
        <v>68</v>
      </c>
      <c r="D5" s="9">
        <v>7</v>
      </c>
      <c r="E5" s="9">
        <v>6.48</v>
      </c>
      <c r="F5" s="9">
        <v>7</v>
      </c>
      <c r="G5" s="10">
        <f t="shared" si="0"/>
        <v>7.8800000000000008</v>
      </c>
      <c r="H5" s="11"/>
      <c r="I5" s="9">
        <v>7</v>
      </c>
      <c r="J5" s="9">
        <v>9.8000000000000007</v>
      </c>
      <c r="K5" s="9">
        <v>7</v>
      </c>
      <c r="L5" s="10">
        <f t="shared" si="1"/>
        <v>11.200000000000001</v>
      </c>
      <c r="M5" s="12">
        <f t="shared" si="2"/>
        <v>19.080000000000002</v>
      </c>
      <c r="N5" s="11">
        <v>3.06</v>
      </c>
      <c r="O5" s="27"/>
    </row>
    <row r="6" spans="1:19" ht="24.95" customHeight="1" x14ac:dyDescent="0.2">
      <c r="A6" s="7">
        <v>3</v>
      </c>
      <c r="B6" s="19">
        <v>5</v>
      </c>
      <c r="C6" s="8" t="s">
        <v>60</v>
      </c>
      <c r="D6" s="9">
        <v>7</v>
      </c>
      <c r="E6" s="9">
        <v>9.18</v>
      </c>
      <c r="F6" s="9">
        <v>7</v>
      </c>
      <c r="G6" s="10">
        <f t="shared" si="0"/>
        <v>10.58</v>
      </c>
      <c r="H6" s="11">
        <v>2.44</v>
      </c>
      <c r="I6" s="9">
        <v>7</v>
      </c>
      <c r="J6" s="9">
        <v>9.0399999999999991</v>
      </c>
      <c r="K6" s="9">
        <v>7</v>
      </c>
      <c r="L6" s="10">
        <f t="shared" si="1"/>
        <v>10.44</v>
      </c>
      <c r="M6" s="12">
        <f t="shared" si="2"/>
        <v>21.02</v>
      </c>
      <c r="N6" s="11">
        <v>2.7</v>
      </c>
      <c r="O6" s="27"/>
    </row>
    <row r="7" spans="1:19" ht="24.95" customHeight="1" x14ac:dyDescent="0.2">
      <c r="A7" s="7">
        <v>1</v>
      </c>
      <c r="B7" s="19">
        <v>6</v>
      </c>
      <c r="C7" s="8" t="s">
        <v>31</v>
      </c>
      <c r="D7" s="9">
        <v>7</v>
      </c>
      <c r="E7" s="9">
        <v>9.3800000000000008</v>
      </c>
      <c r="F7" s="9">
        <v>7</v>
      </c>
      <c r="G7" s="10">
        <f t="shared" si="0"/>
        <v>10.780000000000001</v>
      </c>
      <c r="H7" s="11">
        <v>2.2200000000000002</v>
      </c>
      <c r="I7" s="9">
        <v>7</v>
      </c>
      <c r="J7" s="9">
        <v>11.28</v>
      </c>
      <c r="K7" s="9">
        <v>7</v>
      </c>
      <c r="L7" s="10">
        <f t="shared" si="1"/>
        <v>12.68</v>
      </c>
      <c r="M7" s="12">
        <f t="shared" si="2"/>
        <v>23.46</v>
      </c>
      <c r="N7" s="11">
        <v>4.28</v>
      </c>
      <c r="O7" s="27"/>
    </row>
    <row r="8" spans="1:19" ht="24.95" customHeight="1" x14ac:dyDescent="0.2">
      <c r="A8" s="7">
        <v>56</v>
      </c>
      <c r="B8" s="19">
        <v>7</v>
      </c>
      <c r="C8" s="8" t="s">
        <v>121</v>
      </c>
      <c r="D8" s="9">
        <v>2</v>
      </c>
      <c r="E8" s="9">
        <v>1.94</v>
      </c>
      <c r="F8" s="9">
        <v>2</v>
      </c>
      <c r="G8" s="10">
        <f t="shared" si="0"/>
        <v>2.34</v>
      </c>
      <c r="H8" s="11"/>
      <c r="I8" s="9">
        <v>7</v>
      </c>
      <c r="J8" s="9">
        <v>6</v>
      </c>
      <c r="K8" s="9">
        <v>7</v>
      </c>
      <c r="L8" s="10">
        <f t="shared" si="1"/>
        <v>7.4</v>
      </c>
      <c r="M8" s="12">
        <f t="shared" si="2"/>
        <v>9.74</v>
      </c>
      <c r="N8" s="11"/>
      <c r="O8" s="27"/>
    </row>
    <row r="9" spans="1:19" ht="24.95" customHeight="1" x14ac:dyDescent="0.2">
      <c r="A9" s="7">
        <v>33</v>
      </c>
      <c r="B9" s="19">
        <v>8</v>
      </c>
      <c r="C9" s="8" t="s">
        <v>64</v>
      </c>
      <c r="D9" s="9">
        <v>4</v>
      </c>
      <c r="E9" s="9">
        <v>4.92</v>
      </c>
      <c r="F9" s="9">
        <v>4</v>
      </c>
      <c r="G9" s="10">
        <f t="shared" si="0"/>
        <v>5.72</v>
      </c>
      <c r="H9" s="11">
        <v>1.98</v>
      </c>
      <c r="I9" s="9">
        <v>7</v>
      </c>
      <c r="J9" s="9">
        <v>9.68</v>
      </c>
      <c r="K9" s="9">
        <v>7</v>
      </c>
      <c r="L9" s="10">
        <f t="shared" si="1"/>
        <v>11.08</v>
      </c>
      <c r="M9" s="12">
        <f t="shared" si="2"/>
        <v>16.8</v>
      </c>
      <c r="N9" s="11">
        <v>3.02</v>
      </c>
      <c r="O9" s="27"/>
    </row>
    <row r="10" spans="1:19" ht="24.95" customHeight="1" x14ac:dyDescent="0.2">
      <c r="A10" s="7">
        <v>65</v>
      </c>
      <c r="B10" s="19">
        <v>9</v>
      </c>
      <c r="C10" s="8" t="s">
        <v>41</v>
      </c>
      <c r="D10" s="9">
        <v>2</v>
      </c>
      <c r="E10" s="9">
        <v>2.66</v>
      </c>
      <c r="F10" s="9">
        <v>2</v>
      </c>
      <c r="G10" s="10">
        <f t="shared" si="0"/>
        <v>3.06</v>
      </c>
      <c r="H10" s="11">
        <v>1.8</v>
      </c>
      <c r="I10" s="9">
        <v>2</v>
      </c>
      <c r="J10" s="9">
        <v>1.72</v>
      </c>
      <c r="K10" s="9">
        <v>2</v>
      </c>
      <c r="L10" s="10">
        <f t="shared" si="1"/>
        <v>2.12</v>
      </c>
      <c r="M10" s="12">
        <f t="shared" si="2"/>
        <v>5.18</v>
      </c>
      <c r="N10" s="11"/>
      <c r="O10" s="27"/>
    </row>
    <row r="11" spans="1:19" ht="24.95" customHeight="1" x14ac:dyDescent="0.2">
      <c r="A11" s="7">
        <v>54</v>
      </c>
      <c r="B11" s="19">
        <v>10</v>
      </c>
      <c r="C11" s="8" t="s">
        <v>105</v>
      </c>
      <c r="D11" s="9">
        <v>7</v>
      </c>
      <c r="E11" s="9">
        <v>8.6999999999999993</v>
      </c>
      <c r="F11" s="9">
        <v>7</v>
      </c>
      <c r="G11" s="10">
        <f t="shared" si="0"/>
        <v>10.1</v>
      </c>
      <c r="H11" s="11">
        <v>2.2400000000000002</v>
      </c>
      <c r="I11" s="9"/>
      <c r="J11" s="9">
        <v>0</v>
      </c>
      <c r="K11" s="9"/>
      <c r="L11" s="10">
        <f t="shared" si="1"/>
        <v>0</v>
      </c>
      <c r="M11" s="12">
        <f t="shared" si="2"/>
        <v>10.1</v>
      </c>
      <c r="N11" s="11"/>
      <c r="O11" s="27"/>
    </row>
    <row r="12" spans="1:19" ht="24.95" customHeight="1" x14ac:dyDescent="0.2">
      <c r="A12" s="7">
        <v>8</v>
      </c>
      <c r="B12" s="19">
        <v>11</v>
      </c>
      <c r="C12" s="8" t="s">
        <v>112</v>
      </c>
      <c r="D12" s="9">
        <v>7</v>
      </c>
      <c r="E12" s="9">
        <v>8.1999999999999993</v>
      </c>
      <c r="F12" s="9">
        <v>7</v>
      </c>
      <c r="G12" s="10">
        <f t="shared" si="0"/>
        <v>9.6</v>
      </c>
      <c r="H12" s="11">
        <v>1.8</v>
      </c>
      <c r="I12" s="9">
        <v>7</v>
      </c>
      <c r="J12" s="9">
        <v>9.3000000000000007</v>
      </c>
      <c r="K12" s="9">
        <v>7</v>
      </c>
      <c r="L12" s="10">
        <f t="shared" si="1"/>
        <v>10.700000000000001</v>
      </c>
      <c r="M12" s="12">
        <f t="shared" si="2"/>
        <v>20.3</v>
      </c>
      <c r="N12" s="11">
        <v>2.48</v>
      </c>
      <c r="O12" s="27"/>
    </row>
    <row r="13" spans="1:19" ht="24.95" customHeight="1" x14ac:dyDescent="0.2">
      <c r="A13" s="7">
        <v>14</v>
      </c>
      <c r="B13" s="19">
        <v>12</v>
      </c>
      <c r="C13" s="8" t="s">
        <v>72</v>
      </c>
      <c r="D13" s="9">
        <v>6</v>
      </c>
      <c r="E13" s="9">
        <v>7.78</v>
      </c>
      <c r="F13" s="9">
        <v>6</v>
      </c>
      <c r="G13" s="10">
        <f t="shared" si="0"/>
        <v>8.98</v>
      </c>
      <c r="H13" s="11">
        <v>2.7</v>
      </c>
      <c r="I13" s="9">
        <v>7</v>
      </c>
      <c r="J13" s="9">
        <v>9.3000000000000007</v>
      </c>
      <c r="K13" s="9">
        <v>7</v>
      </c>
      <c r="L13" s="10">
        <f t="shared" si="1"/>
        <v>10.700000000000001</v>
      </c>
      <c r="M13" s="12">
        <f t="shared" si="2"/>
        <v>19.68</v>
      </c>
      <c r="N13" s="11">
        <v>2.56</v>
      </c>
      <c r="O13" s="27"/>
    </row>
    <row r="14" spans="1:19" ht="24.95" customHeight="1" x14ac:dyDescent="0.2">
      <c r="A14" s="7">
        <v>23</v>
      </c>
      <c r="B14" s="19">
        <v>13</v>
      </c>
      <c r="C14" s="8" t="s">
        <v>131</v>
      </c>
      <c r="D14" s="9">
        <v>7</v>
      </c>
      <c r="E14" s="9">
        <v>8.36</v>
      </c>
      <c r="F14" s="9">
        <v>7</v>
      </c>
      <c r="G14" s="10">
        <f t="shared" si="0"/>
        <v>9.76</v>
      </c>
      <c r="H14" s="11">
        <v>2.06</v>
      </c>
      <c r="I14" s="9">
        <v>7</v>
      </c>
      <c r="J14" s="9">
        <v>7.62</v>
      </c>
      <c r="K14" s="9">
        <v>7</v>
      </c>
      <c r="L14" s="10">
        <f t="shared" si="1"/>
        <v>9.02</v>
      </c>
      <c r="M14" s="12">
        <f t="shared" si="2"/>
        <v>18.78</v>
      </c>
      <c r="N14" s="11">
        <v>1.88</v>
      </c>
      <c r="O14" s="27"/>
    </row>
    <row r="15" spans="1:19" ht="24.95" customHeight="1" x14ac:dyDescent="0.2">
      <c r="A15" s="7">
        <v>5</v>
      </c>
      <c r="B15" s="19">
        <v>14</v>
      </c>
      <c r="C15" s="8" t="s">
        <v>120</v>
      </c>
      <c r="D15" s="9">
        <v>7</v>
      </c>
      <c r="E15" s="9">
        <v>9.0399999999999991</v>
      </c>
      <c r="F15" s="9">
        <v>7</v>
      </c>
      <c r="G15" s="10">
        <f t="shared" si="0"/>
        <v>10.44</v>
      </c>
      <c r="H15" s="11">
        <v>2.4</v>
      </c>
      <c r="I15" s="9">
        <v>7</v>
      </c>
      <c r="J15" s="9">
        <v>9.08</v>
      </c>
      <c r="K15" s="9">
        <v>7</v>
      </c>
      <c r="L15" s="10">
        <f t="shared" si="1"/>
        <v>10.48</v>
      </c>
      <c r="M15" s="12">
        <f t="shared" si="2"/>
        <v>20.92</v>
      </c>
      <c r="N15" s="11">
        <v>2.1800000000000002</v>
      </c>
      <c r="O15" s="27"/>
    </row>
    <row r="16" spans="1:19" ht="24.95" customHeight="1" x14ac:dyDescent="0.2">
      <c r="A16" s="7">
        <v>43</v>
      </c>
      <c r="B16" s="19">
        <v>15</v>
      </c>
      <c r="C16" s="8" t="s">
        <v>122</v>
      </c>
      <c r="D16" s="9">
        <v>5</v>
      </c>
      <c r="E16" s="9">
        <v>4.54</v>
      </c>
      <c r="F16" s="9">
        <v>5</v>
      </c>
      <c r="G16" s="10">
        <f t="shared" si="0"/>
        <v>5.54</v>
      </c>
      <c r="H16" s="11"/>
      <c r="I16" s="9">
        <v>7</v>
      </c>
      <c r="J16" s="9">
        <v>7.2</v>
      </c>
      <c r="K16" s="9">
        <v>7</v>
      </c>
      <c r="L16" s="10">
        <f t="shared" si="1"/>
        <v>8.6</v>
      </c>
      <c r="M16" s="12">
        <f t="shared" si="2"/>
        <v>14.14</v>
      </c>
      <c r="N16" s="11">
        <v>1.92</v>
      </c>
      <c r="O16" s="27"/>
    </row>
    <row r="17" spans="1:15" ht="24.95" customHeight="1" x14ac:dyDescent="0.2">
      <c r="A17" s="7">
        <v>10</v>
      </c>
      <c r="B17" s="19">
        <v>16</v>
      </c>
      <c r="C17" s="8" t="s">
        <v>38</v>
      </c>
      <c r="D17" s="9">
        <v>7</v>
      </c>
      <c r="E17" s="9">
        <v>8.7799999999999994</v>
      </c>
      <c r="F17" s="9">
        <v>7</v>
      </c>
      <c r="G17" s="10">
        <f t="shared" si="0"/>
        <v>10.18</v>
      </c>
      <c r="H17" s="11">
        <v>2.2000000000000002</v>
      </c>
      <c r="I17" s="9">
        <v>7</v>
      </c>
      <c r="J17" s="9">
        <v>8.48</v>
      </c>
      <c r="K17" s="9">
        <v>7</v>
      </c>
      <c r="L17" s="10">
        <f t="shared" si="1"/>
        <v>9.8800000000000008</v>
      </c>
      <c r="M17" s="12">
        <f t="shared" si="2"/>
        <v>20.060000000000002</v>
      </c>
      <c r="N17" s="11">
        <v>2.2400000000000002</v>
      </c>
      <c r="O17" s="27"/>
    </row>
    <row r="18" spans="1:15" ht="24.95" customHeight="1" x14ac:dyDescent="0.2">
      <c r="A18" s="7">
        <v>61</v>
      </c>
      <c r="B18" s="19">
        <v>17</v>
      </c>
      <c r="C18" s="8" t="s">
        <v>69</v>
      </c>
      <c r="D18" s="9">
        <v>4</v>
      </c>
      <c r="E18" s="9">
        <v>3.76</v>
      </c>
      <c r="F18" s="9">
        <v>4</v>
      </c>
      <c r="G18" s="10">
        <f t="shared" si="0"/>
        <v>4.5599999999999996</v>
      </c>
      <c r="H18" s="11"/>
      <c r="I18" s="9">
        <v>3</v>
      </c>
      <c r="J18" s="9">
        <v>3.72</v>
      </c>
      <c r="K18" s="9">
        <v>3</v>
      </c>
      <c r="L18" s="10">
        <f t="shared" si="1"/>
        <v>4.32</v>
      </c>
      <c r="M18" s="12">
        <f t="shared" si="2"/>
        <v>8.879999999999999</v>
      </c>
      <c r="N18" s="11">
        <v>2.14</v>
      </c>
      <c r="O18" s="27"/>
    </row>
    <row r="19" spans="1:15" ht="24.95" customHeight="1" x14ac:dyDescent="0.2">
      <c r="A19" s="7">
        <v>28</v>
      </c>
      <c r="B19" s="19">
        <v>18</v>
      </c>
      <c r="C19" s="8" t="s">
        <v>99</v>
      </c>
      <c r="D19" s="9">
        <v>7</v>
      </c>
      <c r="E19" s="9">
        <v>7.42</v>
      </c>
      <c r="F19" s="9">
        <v>7</v>
      </c>
      <c r="G19" s="10">
        <f t="shared" si="0"/>
        <v>8.82</v>
      </c>
      <c r="H19" s="11">
        <v>1.9</v>
      </c>
      <c r="I19" s="9">
        <v>7</v>
      </c>
      <c r="J19" s="9">
        <v>7.9</v>
      </c>
      <c r="K19" s="9">
        <v>7</v>
      </c>
      <c r="L19" s="10">
        <f t="shared" si="1"/>
        <v>9.3000000000000007</v>
      </c>
      <c r="M19" s="12">
        <f t="shared" si="2"/>
        <v>18.12</v>
      </c>
      <c r="N19" s="11">
        <v>2.96</v>
      </c>
      <c r="O19" s="27"/>
    </row>
    <row r="20" spans="1:15" ht="24.95" customHeight="1" x14ac:dyDescent="0.2">
      <c r="A20" s="7">
        <v>63</v>
      </c>
      <c r="B20" s="19">
        <v>19</v>
      </c>
      <c r="C20" s="8" t="s">
        <v>132</v>
      </c>
      <c r="D20" s="9"/>
      <c r="E20" s="9">
        <v>0</v>
      </c>
      <c r="F20" s="9"/>
      <c r="G20" s="10">
        <f t="shared" si="0"/>
        <v>0</v>
      </c>
      <c r="H20" s="11"/>
      <c r="I20" s="9">
        <v>7</v>
      </c>
      <c r="J20" s="9">
        <v>8.68</v>
      </c>
      <c r="K20" s="9">
        <v>0</v>
      </c>
      <c r="L20" s="10">
        <f t="shared" si="1"/>
        <v>8.68</v>
      </c>
      <c r="M20" s="12">
        <f t="shared" si="2"/>
        <v>8.68</v>
      </c>
      <c r="N20" s="11">
        <v>2.1</v>
      </c>
      <c r="O20" s="27"/>
    </row>
    <row r="21" spans="1:15" ht="24.95" customHeight="1" x14ac:dyDescent="0.2">
      <c r="A21" s="7">
        <v>64</v>
      </c>
      <c r="B21" s="19">
        <v>20</v>
      </c>
      <c r="C21" s="8" t="s">
        <v>133</v>
      </c>
      <c r="D21" s="9">
        <v>0</v>
      </c>
      <c r="E21" s="9">
        <v>0</v>
      </c>
      <c r="F21" s="9">
        <v>0</v>
      </c>
      <c r="G21" s="10">
        <f t="shared" si="0"/>
        <v>0</v>
      </c>
      <c r="H21" s="11"/>
      <c r="I21" s="9">
        <v>7</v>
      </c>
      <c r="J21" s="9">
        <v>6.86</v>
      </c>
      <c r="K21" s="9">
        <v>7</v>
      </c>
      <c r="L21" s="10">
        <f t="shared" si="1"/>
        <v>8.26</v>
      </c>
      <c r="M21" s="12">
        <f t="shared" si="2"/>
        <v>8.26</v>
      </c>
      <c r="N21" s="11">
        <v>1.8</v>
      </c>
      <c r="O21" s="27"/>
    </row>
    <row r="22" spans="1:15" ht="24.95" customHeight="1" x14ac:dyDescent="0.2">
      <c r="A22" s="7">
        <v>60</v>
      </c>
      <c r="B22" s="19">
        <v>21</v>
      </c>
      <c r="C22" s="8" t="s">
        <v>143</v>
      </c>
      <c r="D22" s="9">
        <v>2</v>
      </c>
      <c r="E22" s="9">
        <v>1.6</v>
      </c>
      <c r="F22" s="9">
        <v>2</v>
      </c>
      <c r="G22" s="10">
        <f t="shared" si="0"/>
        <v>2</v>
      </c>
      <c r="H22" s="11"/>
      <c r="I22" s="9">
        <v>7</v>
      </c>
      <c r="J22" s="9">
        <v>5.74</v>
      </c>
      <c r="K22" s="9">
        <v>7</v>
      </c>
      <c r="L22" s="10">
        <f t="shared" si="1"/>
        <v>7.1400000000000006</v>
      </c>
      <c r="M22" s="12">
        <f t="shared" si="2"/>
        <v>9.14</v>
      </c>
      <c r="N22" s="11"/>
      <c r="O22" s="27"/>
    </row>
    <row r="23" spans="1:15" ht="24.95" customHeight="1" x14ac:dyDescent="0.2">
      <c r="A23" s="7">
        <v>32</v>
      </c>
      <c r="B23" s="19">
        <v>22</v>
      </c>
      <c r="C23" s="8" t="s">
        <v>126</v>
      </c>
      <c r="D23" s="9">
        <v>7</v>
      </c>
      <c r="E23" s="9">
        <v>6.06</v>
      </c>
      <c r="F23" s="9">
        <v>7</v>
      </c>
      <c r="G23" s="10">
        <f t="shared" si="0"/>
        <v>7.46</v>
      </c>
      <c r="H23" s="11"/>
      <c r="I23" s="9">
        <v>7</v>
      </c>
      <c r="J23" s="9">
        <v>8.34</v>
      </c>
      <c r="K23" s="9">
        <v>7</v>
      </c>
      <c r="L23" s="10">
        <f t="shared" si="1"/>
        <v>9.74</v>
      </c>
      <c r="M23" s="12">
        <f t="shared" si="2"/>
        <v>17.2</v>
      </c>
      <c r="N23" s="11">
        <v>2.58</v>
      </c>
      <c r="O23" s="27"/>
    </row>
    <row r="24" spans="1:15" ht="24.95" customHeight="1" x14ac:dyDescent="0.2">
      <c r="A24" s="7">
        <v>53</v>
      </c>
      <c r="B24" s="19">
        <v>23</v>
      </c>
      <c r="C24" s="8" t="s">
        <v>144</v>
      </c>
      <c r="D24" s="9">
        <v>0</v>
      </c>
      <c r="E24" s="9">
        <v>0</v>
      </c>
      <c r="F24" s="9">
        <v>0</v>
      </c>
      <c r="G24" s="10">
        <f t="shared" si="0"/>
        <v>0</v>
      </c>
      <c r="H24" s="11"/>
      <c r="I24" s="9">
        <v>7</v>
      </c>
      <c r="J24" s="9">
        <v>8.7200000000000006</v>
      </c>
      <c r="K24" s="9">
        <v>7</v>
      </c>
      <c r="L24" s="10">
        <f t="shared" si="1"/>
        <v>10.120000000000001</v>
      </c>
      <c r="M24" s="12">
        <f t="shared" si="2"/>
        <v>10.120000000000001</v>
      </c>
      <c r="N24" s="11">
        <v>3.14</v>
      </c>
      <c r="O24" s="27"/>
    </row>
    <row r="25" spans="1:15" ht="24.95" customHeight="1" x14ac:dyDescent="0.2">
      <c r="A25" s="7">
        <v>47</v>
      </c>
      <c r="B25" s="19">
        <v>24</v>
      </c>
      <c r="C25" s="8" t="s">
        <v>33</v>
      </c>
      <c r="D25" s="9">
        <v>2</v>
      </c>
      <c r="E25" s="9">
        <v>1.6</v>
      </c>
      <c r="F25" s="9">
        <v>2</v>
      </c>
      <c r="G25" s="10">
        <f t="shared" si="0"/>
        <v>2</v>
      </c>
      <c r="H25" s="11"/>
      <c r="I25" s="9">
        <v>7</v>
      </c>
      <c r="J25" s="9">
        <v>8.8000000000000007</v>
      </c>
      <c r="K25" s="9">
        <v>7</v>
      </c>
      <c r="L25" s="10">
        <f t="shared" si="1"/>
        <v>10.200000000000001</v>
      </c>
      <c r="M25" s="12">
        <f t="shared" si="2"/>
        <v>12.200000000000001</v>
      </c>
      <c r="N25" s="11">
        <v>2.36</v>
      </c>
      <c r="O25" s="27"/>
    </row>
    <row r="26" spans="1:15" ht="24.95" customHeight="1" x14ac:dyDescent="0.2">
      <c r="A26" s="7">
        <v>46</v>
      </c>
      <c r="B26" s="19">
        <v>25</v>
      </c>
      <c r="C26" s="8" t="s">
        <v>44</v>
      </c>
      <c r="D26" s="9">
        <v>6</v>
      </c>
      <c r="E26" s="9">
        <v>4.9400000000000004</v>
      </c>
      <c r="F26" s="9">
        <v>6</v>
      </c>
      <c r="G26" s="10">
        <f t="shared" si="0"/>
        <v>6.1400000000000006</v>
      </c>
      <c r="H26" s="11"/>
      <c r="I26" s="9">
        <v>7</v>
      </c>
      <c r="J26" s="9">
        <v>5.6</v>
      </c>
      <c r="K26" s="9">
        <v>7</v>
      </c>
      <c r="L26" s="10">
        <f t="shared" si="1"/>
        <v>7</v>
      </c>
      <c r="M26" s="12">
        <f t="shared" si="2"/>
        <v>13.14</v>
      </c>
      <c r="N26" s="11"/>
      <c r="O26" s="27"/>
    </row>
    <row r="27" spans="1:15" ht="24.95" customHeight="1" x14ac:dyDescent="0.2">
      <c r="A27" s="7">
        <v>66</v>
      </c>
      <c r="B27" s="19">
        <v>26</v>
      </c>
      <c r="C27" s="8" t="s">
        <v>123</v>
      </c>
      <c r="D27" s="9"/>
      <c r="E27" s="9">
        <v>0</v>
      </c>
      <c r="F27" s="9"/>
      <c r="G27" s="10">
        <f t="shared" si="0"/>
        <v>0</v>
      </c>
      <c r="H27" s="11"/>
      <c r="I27" s="9"/>
      <c r="J27" s="9"/>
      <c r="K27" s="9"/>
      <c r="L27" s="10">
        <f t="shared" si="1"/>
        <v>0</v>
      </c>
      <c r="M27" s="12">
        <f t="shared" si="2"/>
        <v>0</v>
      </c>
      <c r="N27" s="11"/>
      <c r="O27" s="27"/>
    </row>
    <row r="28" spans="1:15" ht="24.95" customHeight="1" x14ac:dyDescent="0.2">
      <c r="A28" s="7">
        <v>6</v>
      </c>
      <c r="B28" s="19">
        <v>27</v>
      </c>
      <c r="C28" s="8" t="s">
        <v>71</v>
      </c>
      <c r="D28" s="9">
        <v>7</v>
      </c>
      <c r="E28" s="9">
        <v>9.4600000000000009</v>
      </c>
      <c r="F28" s="9">
        <v>7</v>
      </c>
      <c r="G28" s="10">
        <f t="shared" si="0"/>
        <v>10.860000000000001</v>
      </c>
      <c r="H28" s="11">
        <v>2.46</v>
      </c>
      <c r="I28" s="9">
        <v>7</v>
      </c>
      <c r="J28" s="9">
        <v>8.48</v>
      </c>
      <c r="K28" s="9">
        <v>7</v>
      </c>
      <c r="L28" s="10">
        <f t="shared" si="1"/>
        <v>9.8800000000000008</v>
      </c>
      <c r="M28" s="12">
        <f t="shared" si="2"/>
        <v>20.740000000000002</v>
      </c>
      <c r="N28" s="11">
        <v>1.9</v>
      </c>
      <c r="O28" s="27"/>
    </row>
    <row r="29" spans="1:15" ht="24.95" customHeight="1" x14ac:dyDescent="0.2">
      <c r="A29" s="7">
        <v>51</v>
      </c>
      <c r="B29" s="19">
        <v>28</v>
      </c>
      <c r="C29" s="8" t="s">
        <v>127</v>
      </c>
      <c r="D29" s="9">
        <v>0</v>
      </c>
      <c r="E29" s="9">
        <v>0</v>
      </c>
      <c r="F29" s="9">
        <v>0</v>
      </c>
      <c r="G29" s="10">
        <f t="shared" si="0"/>
        <v>0</v>
      </c>
      <c r="H29" s="11"/>
      <c r="I29" s="9">
        <v>7</v>
      </c>
      <c r="J29" s="9">
        <v>10.96</v>
      </c>
      <c r="K29" s="9">
        <v>0</v>
      </c>
      <c r="L29" s="10">
        <f t="shared" si="1"/>
        <v>10.96</v>
      </c>
      <c r="M29" s="12">
        <f t="shared" si="2"/>
        <v>10.96</v>
      </c>
      <c r="N29" s="11">
        <v>3.66</v>
      </c>
      <c r="O29" s="27"/>
    </row>
    <row r="30" spans="1:15" ht="24.95" customHeight="1" x14ac:dyDescent="0.2">
      <c r="A30" s="7">
        <v>22</v>
      </c>
      <c r="B30" s="19">
        <v>29</v>
      </c>
      <c r="C30" s="8" t="s">
        <v>43</v>
      </c>
      <c r="D30" s="9">
        <v>7</v>
      </c>
      <c r="E30" s="9">
        <v>7.46</v>
      </c>
      <c r="F30" s="9">
        <v>7</v>
      </c>
      <c r="G30" s="10">
        <f t="shared" si="0"/>
        <v>8.86</v>
      </c>
      <c r="H30" s="11">
        <v>2.46</v>
      </c>
      <c r="I30" s="9">
        <v>7</v>
      </c>
      <c r="J30" s="9">
        <v>8.56</v>
      </c>
      <c r="K30" s="9">
        <v>7</v>
      </c>
      <c r="L30" s="10">
        <f t="shared" si="1"/>
        <v>9.9600000000000009</v>
      </c>
      <c r="M30" s="12">
        <f t="shared" si="2"/>
        <v>18.82</v>
      </c>
      <c r="N30" s="11">
        <v>2.08</v>
      </c>
      <c r="O30" s="27"/>
    </row>
    <row r="31" spans="1:15" ht="24.95" customHeight="1" x14ac:dyDescent="0.2">
      <c r="A31" s="7">
        <v>26</v>
      </c>
      <c r="B31" s="19">
        <v>30</v>
      </c>
      <c r="C31" s="8" t="s">
        <v>61</v>
      </c>
      <c r="D31" s="9">
        <v>7</v>
      </c>
      <c r="E31" s="7">
        <v>7.62</v>
      </c>
      <c r="F31" s="9">
        <v>7</v>
      </c>
      <c r="G31" s="10">
        <f t="shared" si="0"/>
        <v>9.02</v>
      </c>
      <c r="H31" s="11">
        <v>1.96</v>
      </c>
      <c r="I31" s="9">
        <v>7</v>
      </c>
      <c r="J31" s="9">
        <v>7.92</v>
      </c>
      <c r="K31" s="9">
        <v>7</v>
      </c>
      <c r="L31" s="10">
        <f t="shared" si="1"/>
        <v>9.32</v>
      </c>
      <c r="M31" s="12">
        <f t="shared" si="2"/>
        <v>18.34</v>
      </c>
      <c r="N31" s="11">
        <v>1.76</v>
      </c>
      <c r="O31" s="27"/>
    </row>
    <row r="32" spans="1:15" ht="24.95" customHeight="1" x14ac:dyDescent="0.2">
      <c r="A32" s="7">
        <v>19</v>
      </c>
      <c r="B32" s="19">
        <v>31</v>
      </c>
      <c r="C32" s="8" t="s">
        <v>47</v>
      </c>
      <c r="D32" s="9">
        <v>7</v>
      </c>
      <c r="E32" s="9">
        <v>7.86</v>
      </c>
      <c r="F32" s="9">
        <v>7</v>
      </c>
      <c r="G32" s="10">
        <f t="shared" si="0"/>
        <v>9.26</v>
      </c>
      <c r="H32" s="11">
        <v>1.7</v>
      </c>
      <c r="I32" s="9">
        <v>7</v>
      </c>
      <c r="J32" s="9">
        <v>8.48</v>
      </c>
      <c r="K32" s="9">
        <v>7</v>
      </c>
      <c r="L32" s="10">
        <f t="shared" si="1"/>
        <v>9.8800000000000008</v>
      </c>
      <c r="M32" s="12">
        <f t="shared" si="2"/>
        <v>19.14</v>
      </c>
      <c r="N32" s="11">
        <v>2.2599999999999998</v>
      </c>
      <c r="O32" s="27"/>
    </row>
    <row r="33" spans="1:15" ht="24.95" customHeight="1" x14ac:dyDescent="0.2">
      <c r="A33" s="7">
        <v>7</v>
      </c>
      <c r="B33" s="19">
        <v>32</v>
      </c>
      <c r="C33" s="8" t="s">
        <v>70</v>
      </c>
      <c r="D33" s="9">
        <v>7</v>
      </c>
      <c r="E33" s="9">
        <v>8.9600000000000009</v>
      </c>
      <c r="F33" s="9">
        <v>7</v>
      </c>
      <c r="G33" s="10">
        <f t="shared" si="0"/>
        <v>10.360000000000001</v>
      </c>
      <c r="H33" s="11">
        <v>2.34</v>
      </c>
      <c r="I33" s="9">
        <v>7</v>
      </c>
      <c r="J33" s="9">
        <v>8.8000000000000007</v>
      </c>
      <c r="K33" s="9">
        <v>7</v>
      </c>
      <c r="L33" s="10">
        <f t="shared" si="1"/>
        <v>10.200000000000001</v>
      </c>
      <c r="M33" s="12">
        <f t="shared" si="2"/>
        <v>20.560000000000002</v>
      </c>
      <c r="N33" s="11">
        <v>1.1000000000000001</v>
      </c>
      <c r="O33" s="27"/>
    </row>
    <row r="34" spans="1:15" ht="24.95" customHeight="1" x14ac:dyDescent="0.2">
      <c r="A34" s="7">
        <v>31</v>
      </c>
      <c r="B34" s="19">
        <v>33</v>
      </c>
      <c r="C34" s="8" t="s">
        <v>39</v>
      </c>
      <c r="D34" s="9">
        <v>7</v>
      </c>
      <c r="E34" s="9">
        <v>7.94</v>
      </c>
      <c r="F34" s="9">
        <v>6</v>
      </c>
      <c r="G34" s="10">
        <f t="shared" ref="G34:G65" si="3">E34+F34*0.2</f>
        <v>9.14</v>
      </c>
      <c r="H34" s="11">
        <v>1.86</v>
      </c>
      <c r="I34" s="9">
        <v>7</v>
      </c>
      <c r="J34" s="9">
        <v>6.72</v>
      </c>
      <c r="K34" s="9">
        <v>7</v>
      </c>
      <c r="L34" s="10">
        <f t="shared" ref="L34:L65" si="4">J34+K34*0.2</f>
        <v>8.1199999999999992</v>
      </c>
      <c r="M34" s="12">
        <f t="shared" ref="M34:M65" si="5">L34+G34</f>
        <v>17.259999999999998</v>
      </c>
      <c r="N34" s="11">
        <v>1.86</v>
      </c>
      <c r="O34" s="27"/>
    </row>
    <row r="35" spans="1:15" ht="24.95" customHeight="1" x14ac:dyDescent="0.2">
      <c r="A35" s="7">
        <v>2</v>
      </c>
      <c r="B35" s="19">
        <v>34</v>
      </c>
      <c r="C35" s="8" t="s">
        <v>37</v>
      </c>
      <c r="D35" s="9">
        <v>7</v>
      </c>
      <c r="E35" s="9">
        <v>10.8</v>
      </c>
      <c r="F35" s="9">
        <v>7</v>
      </c>
      <c r="G35" s="10">
        <f t="shared" si="3"/>
        <v>12.200000000000001</v>
      </c>
      <c r="H35" s="11">
        <v>3.34</v>
      </c>
      <c r="I35" s="9">
        <v>7</v>
      </c>
      <c r="J35" s="9">
        <v>8.9</v>
      </c>
      <c r="K35" s="9">
        <v>7</v>
      </c>
      <c r="L35" s="10">
        <f t="shared" si="4"/>
        <v>10.3</v>
      </c>
      <c r="M35" s="12">
        <f t="shared" si="5"/>
        <v>22.5</v>
      </c>
      <c r="N35" s="11">
        <v>2.66</v>
      </c>
      <c r="O35" s="27"/>
    </row>
    <row r="36" spans="1:15" ht="24.95" customHeight="1" x14ac:dyDescent="0.2">
      <c r="A36" s="7">
        <v>50</v>
      </c>
      <c r="B36" s="19">
        <v>35</v>
      </c>
      <c r="C36" s="8" t="s">
        <v>134</v>
      </c>
      <c r="D36" s="9">
        <v>2</v>
      </c>
      <c r="E36" s="9">
        <v>3.14</v>
      </c>
      <c r="F36" s="9">
        <v>2</v>
      </c>
      <c r="G36" s="10">
        <f t="shared" si="3"/>
        <v>3.54</v>
      </c>
      <c r="H36" s="11">
        <v>2.44</v>
      </c>
      <c r="I36" s="9">
        <v>5</v>
      </c>
      <c r="J36" s="9">
        <v>6.58</v>
      </c>
      <c r="K36" s="9">
        <v>5</v>
      </c>
      <c r="L36" s="10">
        <f t="shared" si="4"/>
        <v>7.58</v>
      </c>
      <c r="M36" s="12">
        <f t="shared" si="5"/>
        <v>11.120000000000001</v>
      </c>
      <c r="N36" s="11">
        <v>2.04</v>
      </c>
      <c r="O36" s="27"/>
    </row>
    <row r="37" spans="1:15" ht="24.95" customHeight="1" x14ac:dyDescent="0.2">
      <c r="A37" s="7">
        <v>37</v>
      </c>
      <c r="B37" s="19">
        <v>36</v>
      </c>
      <c r="C37" s="8" t="s">
        <v>124</v>
      </c>
      <c r="D37" s="9">
        <v>5</v>
      </c>
      <c r="E37" s="9">
        <v>6.94</v>
      </c>
      <c r="F37" s="9">
        <v>5</v>
      </c>
      <c r="G37" s="10">
        <f t="shared" si="3"/>
        <v>7.94</v>
      </c>
      <c r="H37" s="11">
        <v>2.2599999999999998</v>
      </c>
      <c r="I37" s="9">
        <v>7</v>
      </c>
      <c r="J37" s="9">
        <v>6.08</v>
      </c>
      <c r="K37" s="9">
        <v>7</v>
      </c>
      <c r="L37" s="10">
        <f t="shared" si="4"/>
        <v>7.48</v>
      </c>
      <c r="M37" s="12">
        <f t="shared" si="5"/>
        <v>15.420000000000002</v>
      </c>
      <c r="N37" s="11"/>
      <c r="O37" s="27"/>
    </row>
    <row r="38" spans="1:15" ht="24.95" customHeight="1" x14ac:dyDescent="0.2">
      <c r="A38" s="7">
        <v>45</v>
      </c>
      <c r="B38" s="19">
        <v>37</v>
      </c>
      <c r="C38" s="8" t="s">
        <v>135</v>
      </c>
      <c r="D38" s="9"/>
      <c r="E38" s="9">
        <v>0</v>
      </c>
      <c r="F38" s="9"/>
      <c r="G38" s="10">
        <f t="shared" si="3"/>
        <v>0</v>
      </c>
      <c r="H38" s="11"/>
      <c r="I38" s="9">
        <v>7</v>
      </c>
      <c r="J38" s="9">
        <v>11.8</v>
      </c>
      <c r="K38" s="9">
        <v>7</v>
      </c>
      <c r="L38" s="10">
        <f t="shared" si="4"/>
        <v>13.200000000000001</v>
      </c>
      <c r="M38" s="12">
        <f t="shared" si="5"/>
        <v>13.200000000000001</v>
      </c>
      <c r="N38" s="11">
        <v>4.7</v>
      </c>
      <c r="O38" s="27"/>
    </row>
    <row r="39" spans="1:15" ht="24.95" customHeight="1" x14ac:dyDescent="0.2">
      <c r="A39" s="7">
        <v>38</v>
      </c>
      <c r="B39" s="19">
        <v>38</v>
      </c>
      <c r="C39" s="8" t="s">
        <v>40</v>
      </c>
      <c r="D39" s="9">
        <v>7</v>
      </c>
      <c r="E39" s="9">
        <v>8.7200000000000006</v>
      </c>
      <c r="F39" s="9">
        <v>7</v>
      </c>
      <c r="G39" s="10">
        <f t="shared" si="3"/>
        <v>10.120000000000001</v>
      </c>
      <c r="H39" s="11">
        <v>2.64</v>
      </c>
      <c r="I39" s="9">
        <v>3</v>
      </c>
      <c r="J39" s="9">
        <v>4.6399999999999997</v>
      </c>
      <c r="K39" s="9">
        <v>3</v>
      </c>
      <c r="L39" s="10">
        <f t="shared" si="4"/>
        <v>5.24</v>
      </c>
      <c r="M39" s="12">
        <f t="shared" si="5"/>
        <v>15.360000000000001</v>
      </c>
      <c r="N39" s="11">
        <v>1.96</v>
      </c>
      <c r="O39" s="27"/>
    </row>
    <row r="40" spans="1:15" ht="24.95" customHeight="1" x14ac:dyDescent="0.2">
      <c r="A40" s="7">
        <v>21</v>
      </c>
      <c r="B40" s="19">
        <v>39</v>
      </c>
      <c r="C40" s="8" t="s">
        <v>146</v>
      </c>
      <c r="D40" s="9">
        <v>7</v>
      </c>
      <c r="E40" s="9">
        <v>8</v>
      </c>
      <c r="F40" s="9">
        <v>7</v>
      </c>
      <c r="G40" s="10">
        <f t="shared" si="3"/>
        <v>9.4</v>
      </c>
      <c r="H40" s="11">
        <v>1.86</v>
      </c>
      <c r="I40" s="9">
        <v>7</v>
      </c>
      <c r="J40" s="9">
        <v>8.1999999999999993</v>
      </c>
      <c r="K40" s="9">
        <v>7</v>
      </c>
      <c r="L40" s="10">
        <f t="shared" si="4"/>
        <v>9.6</v>
      </c>
      <c r="M40" s="12">
        <f t="shared" si="5"/>
        <v>19</v>
      </c>
      <c r="N40" s="11">
        <v>1.82</v>
      </c>
      <c r="O40" s="27"/>
    </row>
    <row r="41" spans="1:15" ht="24.95" customHeight="1" x14ac:dyDescent="0.2">
      <c r="A41" s="7">
        <v>35</v>
      </c>
      <c r="B41" s="19">
        <v>40</v>
      </c>
      <c r="C41" s="8" t="s">
        <v>98</v>
      </c>
      <c r="D41" s="9">
        <v>7</v>
      </c>
      <c r="E41" s="9">
        <v>6.86</v>
      </c>
      <c r="F41" s="9">
        <v>7</v>
      </c>
      <c r="G41" s="10">
        <f t="shared" si="3"/>
        <v>8.26</v>
      </c>
      <c r="H41" s="11">
        <v>1.66</v>
      </c>
      <c r="I41" s="9">
        <v>5</v>
      </c>
      <c r="J41" s="9">
        <v>6.66</v>
      </c>
      <c r="K41" s="9">
        <v>5</v>
      </c>
      <c r="L41" s="10">
        <f t="shared" si="4"/>
        <v>7.66</v>
      </c>
      <c r="M41" s="12">
        <f t="shared" si="5"/>
        <v>15.92</v>
      </c>
      <c r="N41" s="11">
        <v>2.2000000000000002</v>
      </c>
      <c r="O41" s="27"/>
    </row>
    <row r="42" spans="1:15" ht="24.95" customHeight="1" x14ac:dyDescent="0.2">
      <c r="A42" s="7">
        <v>4</v>
      </c>
      <c r="B42" s="19">
        <v>41</v>
      </c>
      <c r="C42" s="8" t="s">
        <v>66</v>
      </c>
      <c r="D42" s="9">
        <v>7</v>
      </c>
      <c r="E42" s="9">
        <v>9.02</v>
      </c>
      <c r="F42" s="9">
        <v>7</v>
      </c>
      <c r="G42" s="10">
        <f t="shared" si="3"/>
        <v>10.42</v>
      </c>
      <c r="H42" s="11">
        <v>2.4</v>
      </c>
      <c r="I42" s="9">
        <v>7</v>
      </c>
      <c r="J42" s="9">
        <v>9.16</v>
      </c>
      <c r="K42" s="9">
        <v>7</v>
      </c>
      <c r="L42" s="10">
        <f t="shared" si="4"/>
        <v>10.56</v>
      </c>
      <c r="M42" s="12">
        <f t="shared" si="5"/>
        <v>20.98</v>
      </c>
      <c r="N42" s="11">
        <v>2.66</v>
      </c>
      <c r="O42" s="27"/>
    </row>
    <row r="43" spans="1:15" ht="24.95" customHeight="1" x14ac:dyDescent="0.2">
      <c r="A43" s="7">
        <v>57</v>
      </c>
      <c r="B43" s="19">
        <v>42</v>
      </c>
      <c r="C43" s="8" t="s">
        <v>50</v>
      </c>
      <c r="D43" s="9">
        <v>2</v>
      </c>
      <c r="E43" s="9">
        <v>3.94</v>
      </c>
      <c r="F43" s="9">
        <v>2</v>
      </c>
      <c r="G43" s="10">
        <f t="shared" si="3"/>
        <v>4.34</v>
      </c>
      <c r="H43" s="11">
        <v>2.04</v>
      </c>
      <c r="I43" s="9">
        <v>2</v>
      </c>
      <c r="J43" s="9">
        <v>4.82</v>
      </c>
      <c r="K43" s="9">
        <v>2</v>
      </c>
      <c r="L43" s="10">
        <f t="shared" si="4"/>
        <v>5.2200000000000006</v>
      </c>
      <c r="M43" s="12">
        <f t="shared" si="5"/>
        <v>9.56</v>
      </c>
      <c r="N43" s="11">
        <v>2.6</v>
      </c>
      <c r="O43" s="27"/>
    </row>
    <row r="44" spans="1:15" ht="24.95" customHeight="1" x14ac:dyDescent="0.2">
      <c r="A44" s="7">
        <v>62</v>
      </c>
      <c r="B44" s="19">
        <v>43</v>
      </c>
      <c r="C44" s="8" t="s">
        <v>145</v>
      </c>
      <c r="D44" s="9">
        <v>0</v>
      </c>
      <c r="E44" s="9">
        <v>0</v>
      </c>
      <c r="F44" s="9">
        <v>0</v>
      </c>
      <c r="G44" s="10">
        <f t="shared" si="3"/>
        <v>0</v>
      </c>
      <c r="H44" s="11"/>
      <c r="I44" s="9">
        <v>7</v>
      </c>
      <c r="J44" s="9">
        <v>7.42</v>
      </c>
      <c r="K44" s="9">
        <v>7</v>
      </c>
      <c r="L44" s="10">
        <f t="shared" si="4"/>
        <v>8.82</v>
      </c>
      <c r="M44" s="12">
        <f t="shared" si="5"/>
        <v>8.82</v>
      </c>
      <c r="N44" s="11">
        <v>1.98</v>
      </c>
      <c r="O44" s="27"/>
    </row>
    <row r="45" spans="1:15" ht="24.95" customHeight="1" x14ac:dyDescent="0.2">
      <c r="A45" s="7">
        <v>39</v>
      </c>
      <c r="B45" s="19">
        <v>44</v>
      </c>
      <c r="C45" s="8" t="s">
        <v>125</v>
      </c>
      <c r="D45" s="9">
        <v>5</v>
      </c>
      <c r="E45" s="9">
        <v>4.2</v>
      </c>
      <c r="F45" s="9">
        <v>5</v>
      </c>
      <c r="G45" s="10">
        <f t="shared" si="3"/>
        <v>5.2</v>
      </c>
      <c r="H45" s="11"/>
      <c r="I45" s="9">
        <v>7</v>
      </c>
      <c r="J45" s="9">
        <v>8.18</v>
      </c>
      <c r="K45" s="9">
        <v>7</v>
      </c>
      <c r="L45" s="10">
        <f t="shared" si="4"/>
        <v>9.58</v>
      </c>
      <c r="M45" s="12">
        <f t="shared" si="5"/>
        <v>14.780000000000001</v>
      </c>
      <c r="N45" s="11">
        <v>2.36</v>
      </c>
      <c r="O45" s="27"/>
    </row>
    <row r="46" spans="1:15" ht="24.95" customHeight="1" x14ac:dyDescent="0.2">
      <c r="A46" s="7">
        <v>17</v>
      </c>
      <c r="B46" s="19">
        <v>45</v>
      </c>
      <c r="C46" s="8" t="s">
        <v>67</v>
      </c>
      <c r="D46" s="9">
        <v>7</v>
      </c>
      <c r="E46" s="9">
        <v>7.6</v>
      </c>
      <c r="F46" s="9">
        <v>7</v>
      </c>
      <c r="G46" s="10">
        <f t="shared" si="3"/>
        <v>9</v>
      </c>
      <c r="H46" s="11">
        <v>1.92</v>
      </c>
      <c r="I46" s="9">
        <v>7</v>
      </c>
      <c r="J46" s="9">
        <v>8.82</v>
      </c>
      <c r="K46" s="9">
        <v>7</v>
      </c>
      <c r="L46" s="10">
        <f t="shared" si="4"/>
        <v>10.220000000000001</v>
      </c>
      <c r="M46" s="12">
        <f t="shared" si="5"/>
        <v>19.22</v>
      </c>
      <c r="N46" s="11">
        <v>3.48</v>
      </c>
      <c r="O46" s="27"/>
    </row>
    <row r="47" spans="1:15" ht="24.95" customHeight="1" x14ac:dyDescent="0.2">
      <c r="A47" s="7">
        <v>49</v>
      </c>
      <c r="B47" s="19">
        <v>46</v>
      </c>
      <c r="C47" s="8" t="s">
        <v>119</v>
      </c>
      <c r="D47" s="9"/>
      <c r="E47" s="9">
        <v>0</v>
      </c>
      <c r="F47" s="9"/>
      <c r="G47" s="10">
        <f t="shared" si="3"/>
        <v>0</v>
      </c>
      <c r="H47" s="11"/>
      <c r="I47" s="9">
        <v>7</v>
      </c>
      <c r="J47" s="9">
        <v>10.08</v>
      </c>
      <c r="K47" s="9">
        <v>7</v>
      </c>
      <c r="L47" s="10">
        <f t="shared" si="4"/>
        <v>11.48</v>
      </c>
      <c r="M47" s="12">
        <f t="shared" si="5"/>
        <v>11.48</v>
      </c>
      <c r="N47" s="11">
        <v>3.04</v>
      </c>
      <c r="O47" s="27"/>
    </row>
    <row r="48" spans="1:15" ht="24.95" customHeight="1" x14ac:dyDescent="0.2">
      <c r="A48" s="7">
        <v>27</v>
      </c>
      <c r="B48" s="19">
        <v>47</v>
      </c>
      <c r="C48" s="8" t="s">
        <v>32</v>
      </c>
      <c r="D48" s="9">
        <v>6</v>
      </c>
      <c r="E48" s="9">
        <v>7.1</v>
      </c>
      <c r="F48" s="9">
        <v>6</v>
      </c>
      <c r="G48" s="10">
        <f t="shared" si="3"/>
        <v>8.3000000000000007</v>
      </c>
      <c r="H48" s="11">
        <v>1.92</v>
      </c>
      <c r="I48" s="9">
        <v>7</v>
      </c>
      <c r="J48" s="9">
        <v>8.6199999999999992</v>
      </c>
      <c r="K48" s="9">
        <v>7</v>
      </c>
      <c r="L48" s="10">
        <f t="shared" si="4"/>
        <v>10.02</v>
      </c>
      <c r="M48" s="12">
        <f t="shared" si="5"/>
        <v>18.32</v>
      </c>
      <c r="N48" s="11">
        <v>2.14</v>
      </c>
      <c r="O48" s="27"/>
    </row>
    <row r="49" spans="1:15" ht="24.95" customHeight="1" x14ac:dyDescent="0.2">
      <c r="A49" s="7">
        <v>59</v>
      </c>
      <c r="B49" s="19">
        <v>48</v>
      </c>
      <c r="C49" s="8" t="s">
        <v>136</v>
      </c>
      <c r="D49" s="9">
        <v>1</v>
      </c>
      <c r="E49" s="9">
        <v>0.88</v>
      </c>
      <c r="F49" s="9">
        <v>1</v>
      </c>
      <c r="G49" s="10">
        <f t="shared" si="3"/>
        <v>1.08</v>
      </c>
      <c r="H49" s="11"/>
      <c r="I49" s="9">
        <v>7</v>
      </c>
      <c r="J49" s="9">
        <v>6.8</v>
      </c>
      <c r="K49" s="9">
        <v>7</v>
      </c>
      <c r="L49" s="10">
        <f t="shared" si="4"/>
        <v>8.1999999999999993</v>
      </c>
      <c r="M49" s="12">
        <f t="shared" si="5"/>
        <v>9.2799999999999994</v>
      </c>
      <c r="N49" s="11"/>
      <c r="O49" s="27"/>
    </row>
    <row r="50" spans="1:15" ht="24.95" customHeight="1" x14ac:dyDescent="0.2">
      <c r="A50" s="7">
        <v>55</v>
      </c>
      <c r="B50" s="19">
        <v>49</v>
      </c>
      <c r="C50" s="8" t="s">
        <v>108</v>
      </c>
      <c r="D50" s="9"/>
      <c r="E50" s="9">
        <v>0</v>
      </c>
      <c r="F50" s="9"/>
      <c r="G50" s="10">
        <f t="shared" si="3"/>
        <v>0</v>
      </c>
      <c r="H50" s="11"/>
      <c r="I50" s="9">
        <v>7</v>
      </c>
      <c r="J50" s="9">
        <v>9.84</v>
      </c>
      <c r="K50" s="9">
        <v>0</v>
      </c>
      <c r="L50" s="10">
        <f t="shared" si="4"/>
        <v>9.84</v>
      </c>
      <c r="M50" s="12">
        <f t="shared" si="5"/>
        <v>9.84</v>
      </c>
      <c r="N50" s="11">
        <v>3.34</v>
      </c>
      <c r="O50" s="27"/>
    </row>
    <row r="51" spans="1:15" ht="24.95" customHeight="1" x14ac:dyDescent="0.2">
      <c r="A51" s="7">
        <v>42</v>
      </c>
      <c r="B51" s="19">
        <v>50</v>
      </c>
      <c r="C51" s="8" t="s">
        <v>137</v>
      </c>
      <c r="D51" s="9">
        <v>7</v>
      </c>
      <c r="E51" s="9">
        <v>9.64</v>
      </c>
      <c r="F51" s="9">
        <v>7</v>
      </c>
      <c r="G51" s="10">
        <f t="shared" si="3"/>
        <v>11.040000000000001</v>
      </c>
      <c r="H51" s="11">
        <v>3.06</v>
      </c>
      <c r="I51" s="9">
        <v>3</v>
      </c>
      <c r="J51" s="9">
        <v>2.62</v>
      </c>
      <c r="K51" s="9">
        <v>3</v>
      </c>
      <c r="L51" s="10">
        <f t="shared" si="4"/>
        <v>3.22</v>
      </c>
      <c r="M51" s="12">
        <f t="shared" si="5"/>
        <v>14.260000000000002</v>
      </c>
      <c r="N51" s="11"/>
      <c r="O51" s="27"/>
    </row>
    <row r="52" spans="1:15" ht="24.95" customHeight="1" x14ac:dyDescent="0.2">
      <c r="A52" s="7">
        <v>12</v>
      </c>
      <c r="B52" s="19">
        <v>51</v>
      </c>
      <c r="C52" s="8" t="s">
        <v>138</v>
      </c>
      <c r="D52" s="9">
        <v>7</v>
      </c>
      <c r="E52" s="9">
        <v>8.58</v>
      </c>
      <c r="F52" s="9">
        <v>7</v>
      </c>
      <c r="G52" s="10">
        <f t="shared" si="3"/>
        <v>9.98</v>
      </c>
      <c r="H52" s="11">
        <v>2.2000000000000002</v>
      </c>
      <c r="I52" s="9">
        <v>7</v>
      </c>
      <c r="J52" s="9">
        <v>8.48</v>
      </c>
      <c r="K52" s="9">
        <v>7</v>
      </c>
      <c r="L52" s="10">
        <f t="shared" si="4"/>
        <v>9.8800000000000008</v>
      </c>
      <c r="M52" s="12">
        <f t="shared" si="5"/>
        <v>19.86</v>
      </c>
      <c r="N52" s="11">
        <v>1.94</v>
      </c>
      <c r="O52" s="27"/>
    </row>
    <row r="53" spans="1:15" ht="24.95" customHeight="1" x14ac:dyDescent="0.2">
      <c r="A53" s="7">
        <v>36</v>
      </c>
      <c r="B53" s="19">
        <v>52</v>
      </c>
      <c r="C53" s="8" t="s">
        <v>34</v>
      </c>
      <c r="D53" s="9">
        <v>4</v>
      </c>
      <c r="E53" s="9">
        <v>5.62</v>
      </c>
      <c r="F53" s="9">
        <v>4</v>
      </c>
      <c r="G53" s="10">
        <f t="shared" si="3"/>
        <v>6.42</v>
      </c>
      <c r="H53" s="11">
        <v>2.02</v>
      </c>
      <c r="I53" s="9">
        <v>7</v>
      </c>
      <c r="J53" s="9">
        <v>7.94</v>
      </c>
      <c r="K53" s="9">
        <v>7</v>
      </c>
      <c r="L53" s="10">
        <f t="shared" si="4"/>
        <v>9.34</v>
      </c>
      <c r="M53" s="12">
        <f t="shared" si="5"/>
        <v>15.76</v>
      </c>
      <c r="N53" s="11">
        <v>1.98</v>
      </c>
      <c r="O53" s="27"/>
    </row>
    <row r="54" spans="1:15" ht="24.95" customHeight="1" x14ac:dyDescent="0.2">
      <c r="A54" s="7">
        <v>30</v>
      </c>
      <c r="B54" s="19">
        <v>53</v>
      </c>
      <c r="C54" s="8" t="s">
        <v>35</v>
      </c>
      <c r="D54" s="9">
        <v>7</v>
      </c>
      <c r="E54" s="9">
        <v>7.38</v>
      </c>
      <c r="F54" s="9">
        <v>7</v>
      </c>
      <c r="G54" s="10">
        <f t="shared" si="3"/>
        <v>8.7799999999999994</v>
      </c>
      <c r="H54" s="11">
        <v>1.86</v>
      </c>
      <c r="I54" s="9">
        <v>7</v>
      </c>
      <c r="J54" s="9">
        <v>7.9</v>
      </c>
      <c r="K54" s="9">
        <v>7</v>
      </c>
      <c r="L54" s="10">
        <f t="shared" si="4"/>
        <v>9.3000000000000007</v>
      </c>
      <c r="M54" s="12">
        <f t="shared" si="5"/>
        <v>18.079999999999998</v>
      </c>
      <c r="N54" s="11">
        <v>2.16</v>
      </c>
      <c r="O54" s="27"/>
    </row>
    <row r="55" spans="1:15" ht="24.95" customHeight="1" x14ac:dyDescent="0.2">
      <c r="A55" s="7">
        <v>34</v>
      </c>
      <c r="B55" s="19">
        <v>54</v>
      </c>
      <c r="C55" s="8" t="s">
        <v>48</v>
      </c>
      <c r="D55" s="9">
        <v>6</v>
      </c>
      <c r="E55" s="9">
        <v>6.16</v>
      </c>
      <c r="F55" s="9">
        <v>6</v>
      </c>
      <c r="G55" s="10">
        <f t="shared" si="3"/>
        <v>7.36</v>
      </c>
      <c r="H55" s="11">
        <v>1.62</v>
      </c>
      <c r="I55" s="9">
        <v>7</v>
      </c>
      <c r="J55" s="9">
        <v>8.92</v>
      </c>
      <c r="K55" s="9">
        <v>0</v>
      </c>
      <c r="L55" s="10">
        <f t="shared" si="4"/>
        <v>8.92</v>
      </c>
      <c r="M55" s="12">
        <f t="shared" si="5"/>
        <v>16.28</v>
      </c>
      <c r="N55" s="11">
        <v>2.2999999999999998</v>
      </c>
      <c r="O55" s="27"/>
    </row>
    <row r="56" spans="1:15" ht="24.95" customHeight="1" x14ac:dyDescent="0.2">
      <c r="A56" s="7">
        <v>9</v>
      </c>
      <c r="B56" s="19">
        <v>55</v>
      </c>
      <c r="C56" s="8" t="s">
        <v>65</v>
      </c>
      <c r="D56" s="9">
        <v>6</v>
      </c>
      <c r="E56" s="9">
        <v>9.36</v>
      </c>
      <c r="F56" s="9">
        <v>6</v>
      </c>
      <c r="G56" s="10">
        <f t="shared" si="3"/>
        <v>10.559999999999999</v>
      </c>
      <c r="H56" s="11">
        <v>2.92</v>
      </c>
      <c r="I56" s="9">
        <v>7</v>
      </c>
      <c r="J56" s="9">
        <v>8.34</v>
      </c>
      <c r="K56" s="9">
        <v>7</v>
      </c>
      <c r="L56" s="10">
        <f t="shared" si="4"/>
        <v>9.74</v>
      </c>
      <c r="M56" s="12">
        <f t="shared" si="5"/>
        <v>20.299999999999997</v>
      </c>
      <c r="N56" s="11">
        <v>2.2000000000000002</v>
      </c>
      <c r="O56" s="27"/>
    </row>
    <row r="57" spans="1:15" ht="24.95" customHeight="1" x14ac:dyDescent="0.2">
      <c r="A57" s="7">
        <v>44</v>
      </c>
      <c r="B57" s="19">
        <v>56</v>
      </c>
      <c r="C57" s="8" t="s">
        <v>139</v>
      </c>
      <c r="D57" s="9">
        <v>4</v>
      </c>
      <c r="E57" s="9">
        <v>3.48</v>
      </c>
      <c r="F57" s="9">
        <v>4</v>
      </c>
      <c r="G57" s="10">
        <f t="shared" si="3"/>
        <v>4.28</v>
      </c>
      <c r="H57" s="11"/>
      <c r="I57" s="9">
        <v>7</v>
      </c>
      <c r="J57" s="9">
        <v>8.36</v>
      </c>
      <c r="K57" s="9">
        <v>7</v>
      </c>
      <c r="L57" s="10">
        <f t="shared" si="4"/>
        <v>9.76</v>
      </c>
      <c r="M57" s="12">
        <f t="shared" si="5"/>
        <v>14.04</v>
      </c>
      <c r="N57" s="11">
        <v>2</v>
      </c>
      <c r="O57" s="27"/>
    </row>
    <row r="58" spans="1:15" ht="24.95" customHeight="1" x14ac:dyDescent="0.2">
      <c r="A58" s="7">
        <v>48</v>
      </c>
      <c r="B58" s="19">
        <v>57</v>
      </c>
      <c r="C58" s="8" t="s">
        <v>128</v>
      </c>
      <c r="D58" s="9">
        <v>6</v>
      </c>
      <c r="E58" s="9">
        <v>5.14</v>
      </c>
      <c r="F58" s="9">
        <v>6</v>
      </c>
      <c r="G58" s="10">
        <f t="shared" si="3"/>
        <v>6.34</v>
      </c>
      <c r="H58" s="11"/>
      <c r="I58" s="9">
        <v>5</v>
      </c>
      <c r="J58" s="9">
        <v>4.84</v>
      </c>
      <c r="K58" s="9">
        <v>5</v>
      </c>
      <c r="L58" s="10">
        <f t="shared" si="4"/>
        <v>5.84</v>
      </c>
      <c r="M58" s="12">
        <f t="shared" si="5"/>
        <v>12.18</v>
      </c>
      <c r="N58" s="11">
        <v>1.68</v>
      </c>
      <c r="O58" s="27"/>
    </row>
    <row r="59" spans="1:15" ht="24.95" customHeight="1" x14ac:dyDescent="0.2">
      <c r="A59" s="7">
        <v>11</v>
      </c>
      <c r="B59" s="19">
        <v>58</v>
      </c>
      <c r="C59" s="8" t="s">
        <v>140</v>
      </c>
      <c r="D59" s="9">
        <v>7</v>
      </c>
      <c r="E59" s="9">
        <v>8.2200000000000006</v>
      </c>
      <c r="F59" s="9">
        <v>7</v>
      </c>
      <c r="G59" s="10">
        <f t="shared" si="3"/>
        <v>9.620000000000001</v>
      </c>
      <c r="H59" s="11">
        <v>2</v>
      </c>
      <c r="I59" s="9">
        <v>7</v>
      </c>
      <c r="J59" s="9">
        <v>8.92</v>
      </c>
      <c r="K59" s="9">
        <v>7</v>
      </c>
      <c r="L59" s="10">
        <f t="shared" si="4"/>
        <v>10.32</v>
      </c>
      <c r="M59" s="12">
        <f t="shared" si="5"/>
        <v>19.940000000000001</v>
      </c>
      <c r="N59" s="11">
        <v>2.38</v>
      </c>
      <c r="O59" s="27"/>
    </row>
    <row r="60" spans="1:15" ht="24.95" customHeight="1" x14ac:dyDescent="0.2">
      <c r="A60" s="7">
        <v>24</v>
      </c>
      <c r="B60" s="19">
        <v>59</v>
      </c>
      <c r="C60" s="8" t="s">
        <v>56</v>
      </c>
      <c r="D60" s="9">
        <v>7</v>
      </c>
      <c r="E60" s="9">
        <v>8.06</v>
      </c>
      <c r="F60" s="9">
        <v>7</v>
      </c>
      <c r="G60" s="10">
        <f t="shared" si="3"/>
        <v>9.4600000000000009</v>
      </c>
      <c r="H60" s="11">
        <v>2</v>
      </c>
      <c r="I60" s="9">
        <v>7</v>
      </c>
      <c r="J60" s="9">
        <v>7.8</v>
      </c>
      <c r="K60" s="9">
        <v>7</v>
      </c>
      <c r="L60" s="10">
        <f t="shared" si="4"/>
        <v>9.1999999999999993</v>
      </c>
      <c r="M60" s="12">
        <f t="shared" si="5"/>
        <v>18.66</v>
      </c>
      <c r="N60" s="11">
        <v>2</v>
      </c>
      <c r="O60" s="27"/>
    </row>
    <row r="61" spans="1:15" ht="24.95" customHeight="1" x14ac:dyDescent="0.2">
      <c r="A61" s="7">
        <v>58</v>
      </c>
      <c r="B61" s="19">
        <v>60</v>
      </c>
      <c r="C61" s="8" t="s">
        <v>141</v>
      </c>
      <c r="D61" s="9">
        <v>7</v>
      </c>
      <c r="E61" s="9">
        <v>7.96</v>
      </c>
      <c r="F61" s="9">
        <v>7</v>
      </c>
      <c r="G61" s="10">
        <f t="shared" si="3"/>
        <v>9.36</v>
      </c>
      <c r="H61" s="11">
        <v>2</v>
      </c>
      <c r="I61" s="9"/>
      <c r="J61" s="9">
        <v>0</v>
      </c>
      <c r="K61" s="9"/>
      <c r="L61" s="10">
        <f t="shared" si="4"/>
        <v>0</v>
      </c>
      <c r="M61" s="12">
        <f t="shared" si="5"/>
        <v>9.36</v>
      </c>
      <c r="N61" s="11"/>
      <c r="O61" s="27"/>
    </row>
    <row r="62" spans="1:15" ht="24.95" customHeight="1" x14ac:dyDescent="0.2">
      <c r="A62" s="7">
        <v>52</v>
      </c>
      <c r="B62" s="19">
        <v>61</v>
      </c>
      <c r="C62" s="8" t="s">
        <v>101</v>
      </c>
      <c r="D62" s="9">
        <v>2</v>
      </c>
      <c r="E62" s="9">
        <v>2.44</v>
      </c>
      <c r="F62" s="9">
        <v>2</v>
      </c>
      <c r="G62" s="10">
        <f t="shared" si="3"/>
        <v>2.84</v>
      </c>
      <c r="H62" s="11">
        <v>1.56</v>
      </c>
      <c r="I62" s="9">
        <v>6</v>
      </c>
      <c r="J62" s="9">
        <v>6.6</v>
      </c>
      <c r="K62" s="9">
        <v>6</v>
      </c>
      <c r="L62" s="10">
        <f t="shared" si="4"/>
        <v>7.8</v>
      </c>
      <c r="M62" s="12">
        <f t="shared" si="5"/>
        <v>10.64</v>
      </c>
      <c r="N62" s="11">
        <v>1.66</v>
      </c>
      <c r="O62" s="27"/>
    </row>
    <row r="63" spans="1:15" ht="24.95" customHeight="1" x14ac:dyDescent="0.2">
      <c r="A63" s="7">
        <v>25</v>
      </c>
      <c r="B63" s="19">
        <v>62</v>
      </c>
      <c r="C63" s="8" t="s">
        <v>129</v>
      </c>
      <c r="D63" s="9">
        <v>6</v>
      </c>
      <c r="E63" s="9">
        <v>6.8</v>
      </c>
      <c r="F63" s="9">
        <v>6</v>
      </c>
      <c r="G63" s="10">
        <f t="shared" si="3"/>
        <v>8</v>
      </c>
      <c r="H63" s="11">
        <v>1.74</v>
      </c>
      <c r="I63" s="9">
        <v>7</v>
      </c>
      <c r="J63" s="9">
        <v>9.1</v>
      </c>
      <c r="K63" s="9">
        <v>7</v>
      </c>
      <c r="L63" s="10">
        <f t="shared" si="4"/>
        <v>10.5</v>
      </c>
      <c r="M63" s="12">
        <f t="shared" si="5"/>
        <v>18.5</v>
      </c>
      <c r="N63" s="11">
        <v>2.8</v>
      </c>
      <c r="O63" s="27"/>
    </row>
    <row r="64" spans="1:15" ht="24.95" customHeight="1" x14ac:dyDescent="0.2">
      <c r="A64" s="7">
        <v>13</v>
      </c>
      <c r="B64" s="19">
        <v>63</v>
      </c>
      <c r="C64" s="8" t="s">
        <v>104</v>
      </c>
      <c r="D64" s="9">
        <v>7</v>
      </c>
      <c r="E64" s="9">
        <v>8.66</v>
      </c>
      <c r="F64" s="9">
        <v>7</v>
      </c>
      <c r="G64" s="10">
        <f t="shared" si="3"/>
        <v>10.06</v>
      </c>
      <c r="H64" s="11">
        <v>2.56</v>
      </c>
      <c r="I64" s="9">
        <v>7</v>
      </c>
      <c r="J64" s="9">
        <v>8.2799999999999994</v>
      </c>
      <c r="K64" s="9">
        <v>7</v>
      </c>
      <c r="L64" s="10">
        <f t="shared" si="4"/>
        <v>9.68</v>
      </c>
      <c r="M64" s="12">
        <f t="shared" si="5"/>
        <v>19.740000000000002</v>
      </c>
      <c r="N64" s="11">
        <v>1.9</v>
      </c>
      <c r="O64" s="27"/>
    </row>
    <row r="65" spans="1:15" ht="24.95" customHeight="1" x14ac:dyDescent="0.2">
      <c r="A65" s="7">
        <v>29</v>
      </c>
      <c r="B65" s="19">
        <v>64</v>
      </c>
      <c r="C65" s="8" t="s">
        <v>100</v>
      </c>
      <c r="D65" s="9">
        <v>7</v>
      </c>
      <c r="E65" s="9">
        <v>6.06</v>
      </c>
      <c r="F65" s="9">
        <v>7</v>
      </c>
      <c r="G65" s="10">
        <f t="shared" si="3"/>
        <v>7.46</v>
      </c>
      <c r="H65" s="11"/>
      <c r="I65" s="9">
        <v>7</v>
      </c>
      <c r="J65" s="9">
        <v>9.2200000000000006</v>
      </c>
      <c r="K65" s="9">
        <v>7</v>
      </c>
      <c r="L65" s="10">
        <f t="shared" si="4"/>
        <v>10.620000000000001</v>
      </c>
      <c r="M65" s="12">
        <f t="shared" si="5"/>
        <v>18.080000000000002</v>
      </c>
      <c r="N65" s="11">
        <v>2.14</v>
      </c>
      <c r="O65" s="27"/>
    </row>
    <row r="66" spans="1:15" ht="24.95" customHeight="1" x14ac:dyDescent="0.2">
      <c r="A66" s="7">
        <v>16</v>
      </c>
      <c r="B66" s="19">
        <v>65</v>
      </c>
      <c r="C66" s="8" t="s">
        <v>142</v>
      </c>
      <c r="D66" s="9">
        <v>7</v>
      </c>
      <c r="E66" s="9">
        <v>8.44</v>
      </c>
      <c r="F66" s="9">
        <v>7</v>
      </c>
      <c r="G66" s="10">
        <f t="shared" ref="G66:G67" si="6">E66+F66*0.2</f>
        <v>9.84</v>
      </c>
      <c r="H66" s="11">
        <v>2.08</v>
      </c>
      <c r="I66" s="9">
        <v>7</v>
      </c>
      <c r="J66" s="9">
        <v>8.0399999999999991</v>
      </c>
      <c r="K66" s="9">
        <v>7</v>
      </c>
      <c r="L66" s="10">
        <f t="shared" ref="L66:L67" si="7">J66+K66*0.2</f>
        <v>9.44</v>
      </c>
      <c r="M66" s="12">
        <f t="shared" ref="M66:M67" si="8">L66+G66</f>
        <v>19.28</v>
      </c>
      <c r="N66" s="11">
        <v>1.88</v>
      </c>
      <c r="O66" s="27"/>
    </row>
    <row r="67" spans="1:15" ht="24.95" customHeight="1" x14ac:dyDescent="0.2">
      <c r="A67" s="7">
        <v>41</v>
      </c>
      <c r="B67" s="19">
        <v>66</v>
      </c>
      <c r="C67" s="8" t="s">
        <v>30</v>
      </c>
      <c r="D67" s="9">
        <v>4</v>
      </c>
      <c r="E67" s="9">
        <v>5.12</v>
      </c>
      <c r="F67" s="9">
        <v>4</v>
      </c>
      <c r="G67" s="10">
        <f t="shared" si="6"/>
        <v>5.92</v>
      </c>
      <c r="H67" s="11">
        <v>1.84</v>
      </c>
      <c r="I67" s="9">
        <v>7</v>
      </c>
      <c r="J67" s="9">
        <v>7.28</v>
      </c>
      <c r="K67" s="9">
        <v>7</v>
      </c>
      <c r="L67" s="10">
        <f t="shared" si="7"/>
        <v>8.68</v>
      </c>
      <c r="M67" s="12">
        <f t="shared" si="8"/>
        <v>14.6</v>
      </c>
      <c r="N67" s="11">
        <v>1.72</v>
      </c>
      <c r="O67" s="27"/>
    </row>
    <row r="68" spans="1:15" ht="24.95" customHeight="1" x14ac:dyDescent="0.2">
      <c r="A68" s="63">
        <v>67</v>
      </c>
      <c r="B68" s="63"/>
      <c r="C68" s="61"/>
      <c r="D68" s="61"/>
      <c r="E68" s="61"/>
      <c r="F68" s="61"/>
      <c r="G68" s="64"/>
      <c r="H68" s="65"/>
      <c r="I68" s="62"/>
      <c r="J68" s="62"/>
      <c r="K68" s="62"/>
      <c r="L68" s="64"/>
      <c r="M68" s="62"/>
      <c r="N68" s="65"/>
      <c r="O68" s="27"/>
    </row>
    <row r="69" spans="1:15" ht="24.95" customHeight="1" x14ac:dyDescent="0.2">
      <c r="A69" s="63">
        <v>68</v>
      </c>
      <c r="B69" s="63"/>
      <c r="C69" s="61"/>
      <c r="D69" s="61"/>
      <c r="E69" s="61"/>
      <c r="F69" s="61"/>
      <c r="G69" s="64"/>
      <c r="H69" s="65"/>
      <c r="I69" s="62"/>
      <c r="J69" s="62"/>
      <c r="K69" s="62"/>
      <c r="L69" s="64"/>
      <c r="M69" s="62"/>
      <c r="N69" s="65"/>
      <c r="O69" s="27"/>
    </row>
    <row r="70" spans="1:15" ht="24.95" customHeight="1" x14ac:dyDescent="0.2">
      <c r="A70" s="63">
        <v>69</v>
      </c>
      <c r="B70" s="63"/>
      <c r="C70" s="61"/>
      <c r="D70" s="61"/>
      <c r="E70" s="61"/>
      <c r="F70" s="61"/>
      <c r="G70" s="64"/>
      <c r="H70" s="65"/>
      <c r="I70" s="62"/>
      <c r="J70" s="62"/>
      <c r="K70" s="62"/>
      <c r="L70" s="64"/>
      <c r="M70" s="62"/>
      <c r="N70" s="65"/>
      <c r="O70" s="27"/>
    </row>
    <row r="71" spans="1:15" ht="24.95" customHeight="1" x14ac:dyDescent="0.2">
      <c r="A71" s="63">
        <v>70</v>
      </c>
      <c r="B71" s="63"/>
      <c r="C71" s="61"/>
      <c r="D71" s="61"/>
      <c r="E71" s="61"/>
      <c r="F71" s="61"/>
      <c r="G71" s="64"/>
      <c r="H71" s="65"/>
      <c r="I71" s="62"/>
      <c r="J71" s="62"/>
      <c r="K71" s="62"/>
      <c r="L71" s="64"/>
      <c r="M71" s="62"/>
      <c r="N71" s="65"/>
      <c r="O71" s="27"/>
    </row>
    <row r="72" spans="1:15" ht="24.95" customHeight="1" x14ac:dyDescent="0.2">
      <c r="A72" s="63">
        <v>71</v>
      </c>
      <c r="B72" s="63"/>
      <c r="C72" s="61"/>
      <c r="D72" s="61"/>
      <c r="E72" s="61"/>
      <c r="F72" s="61"/>
      <c r="G72" s="64"/>
      <c r="H72" s="65"/>
      <c r="I72" s="62"/>
      <c r="J72" s="62"/>
      <c r="K72" s="62"/>
      <c r="L72" s="64"/>
      <c r="M72" s="62"/>
      <c r="N72" s="65"/>
      <c r="O72" s="27"/>
    </row>
    <row r="73" spans="1:15" ht="24.95" customHeight="1" x14ac:dyDescent="0.2">
      <c r="A73" s="63">
        <v>72</v>
      </c>
      <c r="B73" s="63"/>
      <c r="C73" s="61"/>
      <c r="D73" s="61"/>
      <c r="E73" s="61"/>
      <c r="F73" s="61"/>
      <c r="G73" s="64"/>
      <c r="H73" s="65"/>
      <c r="I73" s="62"/>
      <c r="J73" s="62"/>
      <c r="K73" s="62"/>
      <c r="L73" s="64"/>
      <c r="M73" s="62"/>
      <c r="N73" s="65"/>
      <c r="O73" s="27"/>
    </row>
    <row r="74" spans="1:15" ht="24.95" customHeight="1" x14ac:dyDescent="0.2">
      <c r="A74" s="63">
        <v>73</v>
      </c>
      <c r="B74" s="63"/>
      <c r="C74" s="61"/>
      <c r="D74" s="61"/>
      <c r="E74" s="61"/>
      <c r="F74" s="61"/>
      <c r="G74" s="64"/>
      <c r="H74" s="65"/>
      <c r="I74" s="62"/>
      <c r="J74" s="62"/>
      <c r="K74" s="62"/>
      <c r="L74" s="64"/>
      <c r="M74" s="62"/>
      <c r="N74" s="65"/>
      <c r="O74" s="27"/>
    </row>
    <row r="75" spans="1:15" ht="24.95" customHeight="1" x14ac:dyDescent="0.2">
      <c r="A75" s="63">
        <v>74</v>
      </c>
      <c r="B75" s="63"/>
      <c r="C75" s="61"/>
      <c r="D75" s="61"/>
      <c r="E75" s="61"/>
      <c r="F75" s="61"/>
      <c r="G75" s="64"/>
      <c r="H75" s="65"/>
      <c r="I75" s="62"/>
      <c r="J75" s="62"/>
      <c r="K75" s="62"/>
      <c r="L75" s="64"/>
      <c r="M75" s="62"/>
      <c r="N75" s="65"/>
      <c r="O75" s="27"/>
    </row>
    <row r="76" spans="1:15" ht="24.95" customHeight="1" x14ac:dyDescent="0.2">
      <c r="A76" s="63">
        <v>75</v>
      </c>
      <c r="B76" s="63"/>
      <c r="C76" s="61"/>
      <c r="D76" s="61"/>
      <c r="E76" s="61"/>
      <c r="F76" s="61"/>
      <c r="G76" s="64"/>
      <c r="H76" s="65"/>
      <c r="I76" s="62"/>
      <c r="J76" s="62"/>
      <c r="K76" s="62"/>
      <c r="L76" s="64"/>
      <c r="M76" s="62"/>
      <c r="N76" s="65"/>
      <c r="O76" s="27"/>
    </row>
    <row r="77" spans="1:15" ht="24.95" customHeight="1" x14ac:dyDescent="0.2">
      <c r="A77" s="63">
        <v>76</v>
      </c>
      <c r="B77" s="63"/>
      <c r="C77" s="61"/>
      <c r="D77" s="61"/>
      <c r="E77" s="61"/>
      <c r="F77" s="61"/>
      <c r="G77" s="64"/>
      <c r="H77" s="65"/>
      <c r="I77" s="62"/>
      <c r="J77" s="62"/>
      <c r="K77" s="62"/>
      <c r="L77" s="64"/>
      <c r="M77" s="62"/>
      <c r="N77" s="65"/>
      <c r="O77" s="27"/>
    </row>
    <row r="78" spans="1:15" ht="24.95" customHeight="1" x14ac:dyDescent="0.2">
      <c r="A78" s="61"/>
      <c r="B78" s="63"/>
      <c r="C78" s="61"/>
      <c r="D78" s="61"/>
      <c r="E78" s="61"/>
      <c r="F78" s="61"/>
      <c r="G78" s="64"/>
      <c r="H78" s="65"/>
      <c r="I78" s="62"/>
      <c r="J78" s="62"/>
      <c r="K78" s="62"/>
      <c r="L78" s="64"/>
      <c r="M78" s="62"/>
      <c r="N78" s="65"/>
      <c r="O78" s="27"/>
    </row>
    <row r="79" spans="1:15" ht="24.95" customHeight="1" x14ac:dyDescent="0.2">
      <c r="A79" s="61"/>
      <c r="B79" s="63"/>
      <c r="C79" s="61"/>
      <c r="D79" s="61"/>
      <c r="E79" s="61"/>
      <c r="F79" s="61"/>
      <c r="G79" s="64"/>
      <c r="H79" s="65"/>
      <c r="I79" s="62"/>
      <c r="J79" s="62"/>
      <c r="K79" s="62"/>
      <c r="L79" s="64"/>
      <c r="M79" s="62"/>
      <c r="N79" s="65"/>
      <c r="O79" s="27"/>
    </row>
    <row r="80" spans="1:15" ht="24.95" customHeight="1" x14ac:dyDescent="0.2">
      <c r="A80" s="61"/>
      <c r="B80" s="63"/>
      <c r="C80" s="61"/>
      <c r="D80" s="61"/>
      <c r="E80" s="61"/>
      <c r="F80" s="61"/>
      <c r="G80" s="64"/>
      <c r="H80" s="65"/>
      <c r="I80" s="62"/>
      <c r="J80" s="62"/>
      <c r="K80" s="62"/>
      <c r="L80" s="64"/>
      <c r="M80" s="62"/>
      <c r="N80" s="65"/>
      <c r="O80" s="27"/>
    </row>
    <row r="81" spans="1:15" ht="24.95" customHeight="1" x14ac:dyDescent="0.2">
      <c r="A81" s="61"/>
      <c r="B81" s="63"/>
      <c r="C81" s="61"/>
      <c r="D81" s="61"/>
      <c r="E81" s="61"/>
      <c r="F81" s="61"/>
      <c r="G81" s="64"/>
      <c r="H81" s="65"/>
      <c r="I81" s="62"/>
      <c r="J81" s="62"/>
      <c r="K81" s="62"/>
      <c r="L81" s="64"/>
      <c r="M81" s="62"/>
      <c r="N81" s="65"/>
      <c r="O81" s="27"/>
    </row>
    <row r="82" spans="1:15" ht="24.95" customHeight="1" x14ac:dyDescent="0.2">
      <c r="A82" s="61"/>
      <c r="B82" s="63"/>
      <c r="C82" s="61"/>
      <c r="D82" s="61"/>
      <c r="E82" s="61"/>
      <c r="F82" s="61"/>
      <c r="G82" s="64"/>
      <c r="H82" s="65"/>
      <c r="I82" s="62"/>
      <c r="J82" s="62"/>
      <c r="K82" s="62"/>
      <c r="L82" s="64"/>
      <c r="M82" s="62"/>
      <c r="N82" s="65"/>
      <c r="O82" s="27"/>
    </row>
    <row r="83" spans="1:15" ht="24.95" customHeight="1" x14ac:dyDescent="0.2">
      <c r="A83" s="61"/>
      <c r="B83" s="63"/>
      <c r="C83" s="61"/>
      <c r="D83" s="61"/>
      <c r="E83" s="61"/>
      <c r="F83" s="61"/>
      <c r="G83" s="64"/>
      <c r="H83" s="65"/>
      <c r="I83" s="62"/>
      <c r="J83" s="62"/>
      <c r="K83" s="62"/>
      <c r="L83" s="64"/>
      <c r="M83" s="62"/>
      <c r="N83" s="65"/>
      <c r="O83" s="27"/>
    </row>
    <row r="84" spans="1:15" ht="24.95" customHeight="1" x14ac:dyDescent="0.2">
      <c r="A84" s="61"/>
      <c r="B84" s="63"/>
      <c r="C84" s="61"/>
      <c r="D84" s="61"/>
      <c r="E84" s="61"/>
      <c r="F84" s="61"/>
      <c r="G84" s="64"/>
      <c r="H84" s="65"/>
      <c r="I84" s="62"/>
      <c r="J84" s="62"/>
      <c r="K84" s="62"/>
      <c r="L84" s="64"/>
      <c r="M84" s="62"/>
      <c r="N84" s="65"/>
      <c r="O84" s="27"/>
    </row>
    <row r="85" spans="1:15" ht="24.95" customHeight="1" x14ac:dyDescent="0.2">
      <c r="A85" s="61"/>
      <c r="B85" s="63"/>
      <c r="C85" s="61"/>
      <c r="D85" s="61"/>
      <c r="E85" s="61"/>
      <c r="F85" s="61"/>
      <c r="G85" s="64"/>
      <c r="H85" s="65"/>
      <c r="I85" s="62"/>
      <c r="J85" s="62"/>
      <c r="K85" s="62"/>
      <c r="L85" s="64"/>
      <c r="M85" s="62"/>
      <c r="N85" s="65"/>
      <c r="O85" s="27"/>
    </row>
    <row r="86" spans="1:15" ht="24.95" customHeight="1" x14ac:dyDescent="0.2">
      <c r="A86" s="61"/>
      <c r="B86" s="63"/>
      <c r="C86" s="61"/>
      <c r="D86" s="61"/>
      <c r="E86" s="61"/>
      <c r="F86" s="61"/>
      <c r="G86" s="64"/>
      <c r="H86" s="65"/>
      <c r="I86" s="62"/>
      <c r="J86" s="62"/>
      <c r="K86" s="62"/>
      <c r="L86" s="64"/>
      <c r="M86" s="62"/>
      <c r="N86" s="65"/>
      <c r="O86" s="27"/>
    </row>
    <row r="87" spans="1:15" ht="24.95" customHeight="1" x14ac:dyDescent="0.2">
      <c r="A87" s="61"/>
      <c r="B87" s="63"/>
      <c r="C87" s="61"/>
      <c r="D87" s="61"/>
      <c r="E87" s="61"/>
      <c r="F87" s="61"/>
      <c r="G87" s="64"/>
      <c r="H87" s="65"/>
      <c r="I87" s="62"/>
      <c r="J87" s="62"/>
      <c r="K87" s="62"/>
      <c r="L87" s="64"/>
      <c r="M87" s="62"/>
      <c r="N87" s="65"/>
      <c r="O87" s="27"/>
    </row>
    <row r="88" spans="1:15" ht="24.95" customHeight="1" x14ac:dyDescent="0.2">
      <c r="A88" s="61"/>
      <c r="B88" s="63"/>
      <c r="C88" s="61"/>
      <c r="D88" s="61"/>
      <c r="E88" s="61"/>
      <c r="F88" s="61"/>
      <c r="G88" s="64"/>
      <c r="H88" s="65"/>
      <c r="I88" s="62"/>
      <c r="J88" s="62"/>
      <c r="K88" s="62"/>
      <c r="L88" s="64"/>
      <c r="M88" s="62"/>
      <c r="N88" s="65"/>
      <c r="O88" s="27"/>
    </row>
    <row r="89" spans="1:15" ht="24.95" customHeight="1" x14ac:dyDescent="0.2">
      <c r="A89" s="61"/>
      <c r="B89" s="63"/>
      <c r="C89" s="61"/>
      <c r="D89" s="61"/>
      <c r="E89" s="61"/>
      <c r="F89" s="61"/>
      <c r="G89" s="64"/>
      <c r="H89" s="65"/>
      <c r="I89" s="62"/>
      <c r="J89" s="62"/>
      <c r="K89" s="62"/>
      <c r="L89" s="64"/>
      <c r="M89" s="62"/>
      <c r="N89" s="65"/>
      <c r="O89" s="27"/>
    </row>
    <row r="90" spans="1:15" ht="24.95" customHeight="1" x14ac:dyDescent="0.2">
      <c r="A90" s="61"/>
      <c r="B90" s="63"/>
      <c r="C90" s="61"/>
      <c r="D90" s="61"/>
      <c r="E90" s="61"/>
      <c r="F90" s="61"/>
      <c r="G90" s="64"/>
      <c r="H90" s="65"/>
      <c r="I90" s="62"/>
      <c r="J90" s="62"/>
      <c r="K90" s="62"/>
      <c r="L90" s="64"/>
      <c r="M90" s="62"/>
      <c r="N90" s="65"/>
      <c r="O90" s="27"/>
    </row>
    <row r="91" spans="1:15" ht="24.95" customHeight="1" x14ac:dyDescent="0.2">
      <c r="A91" s="61"/>
      <c r="B91" s="63"/>
      <c r="C91" s="61"/>
      <c r="D91" s="61"/>
      <c r="E91" s="61"/>
      <c r="F91" s="61"/>
      <c r="G91" s="64"/>
      <c r="H91" s="65"/>
      <c r="I91" s="62"/>
      <c r="J91" s="62"/>
      <c r="K91" s="62"/>
      <c r="L91" s="64"/>
      <c r="M91" s="62"/>
      <c r="N91" s="65"/>
      <c r="O91" s="27"/>
    </row>
    <row r="92" spans="1:15" ht="24.95" customHeight="1" x14ac:dyDescent="0.2">
      <c r="A92" s="61"/>
      <c r="B92" s="63"/>
      <c r="C92" s="61"/>
      <c r="D92" s="61"/>
      <c r="E92" s="61"/>
      <c r="F92" s="61"/>
      <c r="G92" s="64"/>
      <c r="H92" s="65"/>
      <c r="I92" s="62"/>
      <c r="J92" s="62"/>
      <c r="K92" s="62"/>
      <c r="L92" s="64"/>
      <c r="M92" s="62"/>
      <c r="N92" s="65"/>
      <c r="O92" s="27"/>
    </row>
    <row r="93" spans="1:15" ht="24.95" customHeight="1" x14ac:dyDescent="0.2">
      <c r="A93" s="61"/>
      <c r="B93" s="63"/>
      <c r="C93" s="61"/>
      <c r="D93" s="61"/>
      <c r="E93" s="61"/>
      <c r="F93" s="61"/>
      <c r="G93" s="64"/>
      <c r="H93" s="65"/>
      <c r="I93" s="62"/>
      <c r="J93" s="62"/>
      <c r="K93" s="62"/>
      <c r="L93" s="64"/>
      <c r="M93" s="62"/>
      <c r="N93" s="65"/>
      <c r="O93" s="27"/>
    </row>
    <row r="94" spans="1:15" ht="24.95" customHeight="1" x14ac:dyDescent="0.2">
      <c r="A94" s="61"/>
      <c r="B94" s="63"/>
      <c r="C94" s="61"/>
      <c r="D94" s="61"/>
      <c r="E94" s="61"/>
      <c r="F94" s="61"/>
      <c r="G94" s="64"/>
      <c r="H94" s="65"/>
      <c r="I94" s="62"/>
      <c r="J94" s="62"/>
      <c r="K94" s="62"/>
      <c r="L94" s="64"/>
      <c r="M94" s="62"/>
      <c r="N94" s="65"/>
      <c r="O94" s="27"/>
    </row>
    <row r="95" spans="1:15" ht="24.95" customHeight="1" x14ac:dyDescent="0.2">
      <c r="A95" s="61"/>
      <c r="B95" s="63"/>
      <c r="C95" s="61"/>
      <c r="D95" s="61"/>
      <c r="E95" s="61"/>
      <c r="F95" s="61"/>
      <c r="G95" s="64"/>
      <c r="H95" s="65"/>
      <c r="I95" s="62"/>
      <c r="J95" s="62"/>
      <c r="K95" s="62"/>
      <c r="L95" s="64"/>
      <c r="M95" s="62"/>
      <c r="N95" s="65"/>
      <c r="O95" s="27"/>
    </row>
    <row r="96" spans="1:15" ht="24.95" customHeight="1" x14ac:dyDescent="0.2">
      <c r="A96" s="61"/>
      <c r="B96" s="63"/>
      <c r="C96" s="61"/>
      <c r="D96" s="61"/>
      <c r="E96" s="61"/>
      <c r="F96" s="61"/>
      <c r="G96" s="64"/>
      <c r="H96" s="65"/>
      <c r="I96" s="62"/>
      <c r="J96" s="62"/>
      <c r="K96" s="62"/>
      <c r="L96" s="64"/>
      <c r="M96" s="62"/>
      <c r="N96" s="65"/>
      <c r="O96" s="27"/>
    </row>
    <row r="97" spans="1:15" ht="24.95" customHeight="1" x14ac:dyDescent="0.2">
      <c r="A97" s="61"/>
      <c r="B97" s="63"/>
      <c r="C97" s="61"/>
      <c r="D97" s="61"/>
      <c r="E97" s="61"/>
      <c r="F97" s="61"/>
      <c r="G97" s="64"/>
      <c r="H97" s="65"/>
      <c r="I97" s="62"/>
      <c r="J97" s="62"/>
      <c r="K97" s="62"/>
      <c r="L97" s="64"/>
      <c r="M97" s="62"/>
      <c r="N97" s="65"/>
      <c r="O97" s="27"/>
    </row>
    <row r="98" spans="1:15" ht="24.95" customHeight="1" x14ac:dyDescent="0.2">
      <c r="A98" s="61"/>
      <c r="B98" s="63"/>
      <c r="C98" s="61"/>
      <c r="D98" s="61"/>
      <c r="E98" s="61"/>
      <c r="F98" s="61"/>
      <c r="G98" s="64"/>
      <c r="H98" s="65"/>
      <c r="I98" s="62"/>
      <c r="J98" s="62"/>
      <c r="K98" s="62"/>
      <c r="L98" s="64"/>
      <c r="M98" s="62"/>
      <c r="N98" s="65"/>
      <c r="O98" s="27"/>
    </row>
    <row r="99" spans="1:15" ht="24.95" customHeight="1" x14ac:dyDescent="0.2">
      <c r="A99" s="61"/>
      <c r="B99" s="63"/>
      <c r="C99" s="61"/>
      <c r="D99" s="61"/>
      <c r="E99" s="61"/>
      <c r="F99" s="61"/>
      <c r="G99" s="64"/>
      <c r="H99" s="65"/>
      <c r="I99" s="62"/>
      <c r="J99" s="62"/>
      <c r="K99" s="62"/>
      <c r="L99" s="64"/>
      <c r="M99" s="62"/>
      <c r="N99" s="65"/>
      <c r="O99" s="27"/>
    </row>
    <row r="100" spans="1:15" ht="24.95" customHeight="1" x14ac:dyDescent="0.2">
      <c r="A100" s="61"/>
      <c r="B100" s="63"/>
      <c r="C100" s="61"/>
      <c r="D100" s="61"/>
      <c r="E100" s="61"/>
      <c r="F100" s="61"/>
      <c r="G100" s="64"/>
      <c r="H100" s="65"/>
      <c r="I100" s="62"/>
      <c r="J100" s="62"/>
      <c r="K100" s="62"/>
      <c r="L100" s="64"/>
      <c r="M100" s="62"/>
      <c r="N100" s="65"/>
      <c r="O100" s="27"/>
    </row>
    <row r="101" spans="1:15" ht="24.95" customHeight="1" x14ac:dyDescent="0.2">
      <c r="A101" s="61"/>
      <c r="B101" s="63"/>
      <c r="C101" s="61"/>
      <c r="D101" s="61"/>
      <c r="E101" s="61"/>
      <c r="F101" s="61"/>
      <c r="G101" s="64"/>
      <c r="H101" s="65"/>
      <c r="I101" s="62"/>
      <c r="J101" s="62"/>
      <c r="K101" s="62"/>
      <c r="L101" s="64"/>
      <c r="M101" s="62"/>
      <c r="N101" s="65"/>
      <c r="O101" s="27"/>
    </row>
    <row r="102" spans="1:15" ht="24.95" customHeight="1" x14ac:dyDescent="0.2">
      <c r="A102" s="61"/>
      <c r="B102" s="63"/>
      <c r="C102" s="61"/>
      <c r="D102" s="61"/>
      <c r="E102" s="61"/>
      <c r="F102" s="61"/>
      <c r="G102" s="64"/>
      <c r="H102" s="65"/>
      <c r="I102" s="62"/>
      <c r="J102" s="62"/>
      <c r="K102" s="62"/>
      <c r="L102" s="64"/>
      <c r="M102" s="62"/>
      <c r="N102" s="65"/>
      <c r="O102" s="27"/>
    </row>
    <row r="103" spans="1:15" ht="24.95" customHeight="1" x14ac:dyDescent="0.2">
      <c r="A103" s="61"/>
      <c r="B103" s="63"/>
      <c r="C103" s="61"/>
      <c r="D103" s="61"/>
      <c r="E103" s="61"/>
      <c r="F103" s="61"/>
      <c r="G103" s="64"/>
      <c r="H103" s="65"/>
      <c r="I103" s="62"/>
      <c r="J103" s="62"/>
      <c r="K103" s="62"/>
      <c r="L103" s="64"/>
      <c r="M103" s="62"/>
      <c r="N103" s="65"/>
      <c r="O103" s="27"/>
    </row>
    <row r="104" spans="1:15" ht="24.95" customHeight="1" x14ac:dyDescent="0.2">
      <c r="A104" s="61"/>
      <c r="B104" s="63"/>
      <c r="C104" s="61"/>
      <c r="D104" s="61"/>
      <c r="E104" s="61"/>
      <c r="F104" s="61"/>
      <c r="G104" s="64"/>
      <c r="H104" s="65"/>
      <c r="I104" s="62"/>
      <c r="J104" s="62"/>
      <c r="K104" s="62"/>
      <c r="L104" s="64"/>
      <c r="M104" s="62"/>
      <c r="N104" s="65"/>
      <c r="O104" s="27"/>
    </row>
    <row r="105" spans="1:15" ht="24.95" customHeight="1" x14ac:dyDescent="0.2">
      <c r="A105" s="61"/>
      <c r="B105" s="63"/>
      <c r="C105" s="61"/>
      <c r="D105" s="61"/>
      <c r="E105" s="61"/>
      <c r="F105" s="61"/>
      <c r="G105" s="64"/>
      <c r="H105" s="65"/>
      <c r="I105" s="62"/>
      <c r="J105" s="62"/>
      <c r="K105" s="62"/>
      <c r="L105" s="64"/>
      <c r="M105" s="62"/>
      <c r="N105" s="65"/>
      <c r="O105" s="27"/>
    </row>
    <row r="106" spans="1:15" ht="24.95" customHeight="1" x14ac:dyDescent="0.2">
      <c r="A106" s="61"/>
      <c r="B106" s="63"/>
      <c r="C106" s="61"/>
      <c r="D106" s="61"/>
      <c r="E106" s="61"/>
      <c r="F106" s="61"/>
      <c r="G106" s="64"/>
      <c r="H106" s="65"/>
      <c r="I106" s="62"/>
      <c r="J106" s="62"/>
      <c r="K106" s="62"/>
      <c r="L106" s="64"/>
      <c r="M106" s="62"/>
      <c r="N106" s="65"/>
      <c r="O106" s="27"/>
    </row>
    <row r="107" spans="1:15" ht="24.95" customHeight="1" x14ac:dyDescent="0.2">
      <c r="A107" s="61"/>
      <c r="B107" s="63"/>
      <c r="C107" s="61"/>
      <c r="D107" s="61"/>
      <c r="E107" s="61"/>
      <c r="F107" s="61"/>
      <c r="G107" s="64"/>
      <c r="H107" s="65"/>
      <c r="I107" s="62"/>
      <c r="J107" s="62"/>
      <c r="K107" s="62"/>
      <c r="L107" s="64"/>
      <c r="M107" s="62"/>
      <c r="N107" s="65"/>
      <c r="O107" s="27"/>
    </row>
    <row r="108" spans="1:15" ht="24.95" customHeight="1" x14ac:dyDescent="0.2">
      <c r="A108" s="61"/>
      <c r="B108" s="63"/>
      <c r="C108" s="61"/>
      <c r="D108" s="61"/>
      <c r="E108" s="61"/>
      <c r="F108" s="61"/>
      <c r="G108" s="64"/>
      <c r="H108" s="65"/>
      <c r="I108" s="62"/>
      <c r="J108" s="62"/>
      <c r="K108" s="62"/>
      <c r="L108" s="64"/>
      <c r="M108" s="62"/>
      <c r="N108" s="65"/>
      <c r="O108" s="27"/>
    </row>
    <row r="109" spans="1:15" ht="24.95" customHeight="1" x14ac:dyDescent="0.2">
      <c r="A109" s="61"/>
      <c r="B109" s="63"/>
      <c r="C109" s="61"/>
      <c r="D109" s="61"/>
      <c r="E109" s="61"/>
      <c r="F109" s="61"/>
      <c r="G109" s="64"/>
      <c r="H109" s="65"/>
      <c r="I109" s="62"/>
      <c r="J109" s="62"/>
      <c r="K109" s="62"/>
      <c r="L109" s="64"/>
      <c r="M109" s="62"/>
      <c r="N109" s="65"/>
      <c r="O109" s="27"/>
    </row>
    <row r="110" spans="1:15" ht="24.95" customHeight="1" x14ac:dyDescent="0.2">
      <c r="A110" s="61"/>
      <c r="B110" s="63"/>
      <c r="C110" s="61"/>
      <c r="D110" s="61"/>
      <c r="E110" s="61"/>
      <c r="F110" s="61"/>
      <c r="G110" s="64"/>
      <c r="H110" s="65"/>
      <c r="I110" s="62"/>
      <c r="J110" s="62"/>
      <c r="K110" s="62"/>
      <c r="L110" s="64"/>
      <c r="M110" s="62"/>
      <c r="N110" s="65"/>
      <c r="O110" s="27"/>
    </row>
    <row r="111" spans="1:15" ht="24.95" customHeight="1" x14ac:dyDescent="0.2">
      <c r="A111" s="61"/>
      <c r="B111" s="63"/>
      <c r="C111" s="61"/>
      <c r="D111" s="61"/>
      <c r="E111" s="61"/>
      <c r="F111" s="61"/>
      <c r="G111" s="64"/>
      <c r="H111" s="65"/>
      <c r="I111" s="62"/>
      <c r="J111" s="62"/>
      <c r="K111" s="62"/>
      <c r="L111" s="64"/>
      <c r="M111" s="62"/>
      <c r="N111" s="65"/>
      <c r="O111" s="27"/>
    </row>
    <row r="112" spans="1:15" ht="24.95" customHeight="1" x14ac:dyDescent="0.2">
      <c r="A112" s="61"/>
      <c r="B112" s="63"/>
      <c r="C112" s="61"/>
      <c r="D112" s="61"/>
      <c r="E112" s="61"/>
      <c r="F112" s="61"/>
      <c r="G112" s="64"/>
      <c r="H112" s="65"/>
      <c r="I112" s="62"/>
      <c r="J112" s="62"/>
      <c r="K112" s="62"/>
      <c r="L112" s="64"/>
      <c r="M112" s="62"/>
      <c r="N112" s="65"/>
      <c r="O112" s="27"/>
    </row>
    <row r="113" spans="1:15" ht="24.95" customHeight="1" x14ac:dyDescent="0.2">
      <c r="A113" s="61"/>
      <c r="B113" s="63"/>
      <c r="C113" s="61"/>
      <c r="D113" s="61"/>
      <c r="E113" s="61"/>
      <c r="F113" s="61"/>
      <c r="G113" s="64"/>
      <c r="H113" s="65"/>
      <c r="I113" s="62"/>
      <c r="J113" s="62"/>
      <c r="K113" s="62"/>
      <c r="L113" s="64"/>
      <c r="M113" s="62"/>
      <c r="N113" s="65"/>
      <c r="O113" s="27"/>
    </row>
    <row r="114" spans="1:15" ht="24.95" customHeight="1" x14ac:dyDescent="0.2">
      <c r="A114" s="61"/>
      <c r="B114" s="63"/>
      <c r="C114" s="61"/>
      <c r="D114" s="61"/>
      <c r="E114" s="61"/>
      <c r="F114" s="61"/>
      <c r="G114" s="64"/>
      <c r="H114" s="65"/>
      <c r="I114" s="62"/>
      <c r="J114" s="62"/>
      <c r="K114" s="62"/>
      <c r="L114" s="64"/>
      <c r="M114" s="62"/>
      <c r="N114" s="65"/>
      <c r="O114" s="27"/>
    </row>
    <row r="115" spans="1:15" ht="24.95" customHeight="1" x14ac:dyDescent="0.2">
      <c r="A115" s="61"/>
      <c r="B115" s="63"/>
      <c r="C115" s="61"/>
      <c r="D115" s="61"/>
      <c r="E115" s="61"/>
      <c r="F115" s="61"/>
      <c r="G115" s="64"/>
      <c r="H115" s="65"/>
      <c r="I115" s="62"/>
      <c r="J115" s="62"/>
      <c r="K115" s="62"/>
      <c r="L115" s="64"/>
      <c r="M115" s="62"/>
      <c r="N115" s="65"/>
      <c r="O115" s="27"/>
    </row>
    <row r="116" spans="1:15" ht="24.95" customHeight="1" x14ac:dyDescent="0.2">
      <c r="A116" s="61"/>
      <c r="B116" s="63"/>
      <c r="C116" s="61"/>
      <c r="D116" s="61"/>
      <c r="E116" s="61"/>
      <c r="F116" s="61"/>
      <c r="G116" s="64"/>
      <c r="H116" s="65"/>
      <c r="I116" s="62"/>
      <c r="J116" s="62"/>
      <c r="K116" s="62"/>
      <c r="L116" s="64"/>
      <c r="M116" s="62"/>
      <c r="N116" s="65"/>
      <c r="O116" s="27"/>
    </row>
    <row r="117" spans="1:15" ht="24.95" customHeight="1" x14ac:dyDescent="0.2">
      <c r="A117" s="61"/>
      <c r="B117" s="63"/>
      <c r="C117" s="61"/>
      <c r="D117" s="61"/>
      <c r="E117" s="61"/>
      <c r="F117" s="61"/>
      <c r="G117" s="64"/>
      <c r="H117" s="65"/>
      <c r="I117" s="62"/>
      <c r="J117" s="62"/>
      <c r="K117" s="62"/>
      <c r="L117" s="64"/>
      <c r="M117" s="62"/>
      <c r="N117" s="65"/>
      <c r="O117" s="27"/>
    </row>
    <row r="118" spans="1:15" ht="24.95" customHeight="1" x14ac:dyDescent="0.2">
      <c r="A118" s="61"/>
      <c r="B118" s="63"/>
      <c r="C118" s="61"/>
      <c r="D118" s="61"/>
      <c r="E118" s="61"/>
      <c r="F118" s="61"/>
      <c r="G118" s="64"/>
      <c r="H118" s="65"/>
      <c r="I118" s="62"/>
      <c r="J118" s="62"/>
      <c r="K118" s="62"/>
      <c r="L118" s="64"/>
      <c r="M118" s="62"/>
      <c r="N118" s="65"/>
      <c r="O118" s="27"/>
    </row>
    <row r="119" spans="1:15" ht="24.95" customHeight="1" x14ac:dyDescent="0.2">
      <c r="A119" s="61"/>
      <c r="B119" s="63"/>
      <c r="C119" s="61"/>
      <c r="D119" s="61"/>
      <c r="E119" s="61"/>
      <c r="F119" s="61"/>
      <c r="G119" s="64"/>
      <c r="H119" s="65"/>
      <c r="I119" s="62"/>
      <c r="J119" s="62"/>
      <c r="K119" s="62"/>
      <c r="L119" s="64"/>
      <c r="M119" s="62"/>
      <c r="N119" s="65"/>
      <c r="O119" s="27"/>
    </row>
    <row r="120" spans="1:15" ht="24.95" customHeight="1" x14ac:dyDescent="0.2">
      <c r="A120" s="61"/>
      <c r="B120" s="63"/>
      <c r="C120" s="61"/>
      <c r="D120" s="61"/>
      <c r="E120" s="61"/>
      <c r="F120" s="61"/>
      <c r="G120" s="64"/>
      <c r="H120" s="65"/>
      <c r="I120" s="62"/>
      <c r="J120" s="62"/>
      <c r="K120" s="62"/>
      <c r="L120" s="64"/>
      <c r="M120" s="62"/>
      <c r="N120" s="65"/>
      <c r="O120" s="27"/>
    </row>
    <row r="121" spans="1:15" ht="24.95" customHeight="1" x14ac:dyDescent="0.2">
      <c r="A121" s="61"/>
      <c r="B121" s="63"/>
      <c r="C121" s="61"/>
      <c r="D121" s="61"/>
      <c r="E121" s="61"/>
      <c r="F121" s="61"/>
      <c r="G121" s="64"/>
      <c r="H121" s="65"/>
      <c r="I121" s="62"/>
      <c r="J121" s="62"/>
      <c r="K121" s="62"/>
      <c r="L121" s="64"/>
      <c r="M121" s="62"/>
      <c r="N121" s="65"/>
      <c r="O121" s="27"/>
    </row>
    <row r="122" spans="1:15" ht="24.95" customHeight="1" x14ac:dyDescent="0.2">
      <c r="A122" s="61"/>
      <c r="B122" s="63"/>
      <c r="C122" s="61"/>
      <c r="D122" s="61"/>
      <c r="E122" s="61"/>
      <c r="F122" s="61"/>
      <c r="G122" s="64"/>
      <c r="H122" s="65"/>
      <c r="I122" s="62"/>
      <c r="J122" s="62"/>
      <c r="K122" s="62"/>
      <c r="L122" s="64"/>
      <c r="M122" s="62"/>
      <c r="N122" s="65"/>
      <c r="O122" s="27"/>
    </row>
    <row r="123" spans="1:15" ht="24.95" customHeight="1" x14ac:dyDescent="0.2">
      <c r="A123" s="61"/>
      <c r="B123" s="63"/>
      <c r="C123" s="61"/>
      <c r="D123" s="61"/>
      <c r="E123" s="61"/>
      <c r="F123" s="61"/>
      <c r="G123" s="64"/>
      <c r="H123" s="65"/>
      <c r="I123" s="62"/>
      <c r="J123" s="62"/>
      <c r="K123" s="62"/>
      <c r="L123" s="64"/>
      <c r="M123" s="62"/>
      <c r="N123" s="65"/>
      <c r="O123" s="27"/>
    </row>
    <row r="124" spans="1:15" ht="24.95" customHeight="1" x14ac:dyDescent="0.2">
      <c r="A124" s="61"/>
      <c r="B124" s="63"/>
      <c r="C124" s="61"/>
      <c r="D124" s="61"/>
      <c r="E124" s="61"/>
      <c r="F124" s="61"/>
      <c r="G124" s="64"/>
      <c r="H124" s="65"/>
      <c r="I124" s="62"/>
      <c r="J124" s="62"/>
      <c r="K124" s="62"/>
      <c r="L124" s="64"/>
      <c r="M124" s="62"/>
      <c r="N124" s="65"/>
      <c r="O124" s="27"/>
    </row>
    <row r="125" spans="1:15" ht="24.95" customHeight="1" x14ac:dyDescent="0.2">
      <c r="A125" s="61"/>
      <c r="B125" s="63"/>
      <c r="C125" s="61"/>
      <c r="D125" s="61"/>
      <c r="E125" s="61"/>
      <c r="F125" s="61"/>
      <c r="G125" s="64"/>
      <c r="H125" s="65"/>
      <c r="I125" s="62"/>
      <c r="J125" s="62"/>
      <c r="K125" s="62"/>
      <c r="L125" s="64"/>
      <c r="M125" s="62"/>
      <c r="N125" s="65"/>
      <c r="O125" s="27"/>
    </row>
    <row r="126" spans="1:15" ht="24.95" customHeight="1" x14ac:dyDescent="0.2">
      <c r="A126" s="61"/>
      <c r="B126" s="63"/>
      <c r="C126" s="61"/>
      <c r="D126" s="61"/>
      <c r="E126" s="61"/>
      <c r="F126" s="61"/>
      <c r="G126" s="64"/>
      <c r="H126" s="65"/>
      <c r="I126" s="62"/>
      <c r="J126" s="62"/>
      <c r="K126" s="62"/>
      <c r="L126" s="64"/>
      <c r="M126" s="62"/>
      <c r="N126" s="65"/>
      <c r="O126" s="27"/>
    </row>
    <row r="127" spans="1:15" ht="24.95" customHeight="1" x14ac:dyDescent="0.2">
      <c r="A127" s="61"/>
      <c r="B127" s="63"/>
      <c r="C127" s="61"/>
      <c r="D127" s="61"/>
      <c r="E127" s="61"/>
      <c r="F127" s="61"/>
      <c r="G127" s="64"/>
      <c r="H127" s="65"/>
      <c r="I127" s="62"/>
      <c r="J127" s="62"/>
      <c r="K127" s="62"/>
      <c r="L127" s="64"/>
      <c r="M127" s="62"/>
      <c r="N127" s="65"/>
      <c r="O127" s="27"/>
    </row>
    <row r="128" spans="1:15" ht="24.95" customHeight="1" x14ac:dyDescent="0.2">
      <c r="A128" s="61"/>
      <c r="B128" s="63"/>
      <c r="C128" s="61"/>
      <c r="D128" s="61"/>
      <c r="E128" s="61"/>
      <c r="F128" s="61"/>
      <c r="G128" s="64"/>
      <c r="H128" s="65"/>
      <c r="I128" s="62"/>
      <c r="J128" s="62"/>
      <c r="K128" s="62"/>
      <c r="L128" s="64"/>
      <c r="M128" s="62"/>
      <c r="N128" s="65"/>
      <c r="O128" s="27"/>
    </row>
    <row r="129" spans="1:15" ht="24.95" customHeight="1" x14ac:dyDescent="0.2">
      <c r="A129" s="61"/>
      <c r="B129" s="63"/>
      <c r="C129" s="61"/>
      <c r="D129" s="61"/>
      <c r="E129" s="61"/>
      <c r="F129" s="61"/>
      <c r="G129" s="64"/>
      <c r="H129" s="65"/>
      <c r="I129" s="62"/>
      <c r="J129" s="62"/>
      <c r="K129" s="62"/>
      <c r="L129" s="64"/>
      <c r="M129" s="62"/>
      <c r="N129" s="65"/>
      <c r="O129" s="27"/>
    </row>
    <row r="130" spans="1:15" ht="24.95" customHeight="1" x14ac:dyDescent="0.2">
      <c r="A130" s="61"/>
      <c r="B130" s="63"/>
      <c r="C130" s="61"/>
      <c r="D130" s="61"/>
      <c r="E130" s="61"/>
      <c r="F130" s="61"/>
      <c r="G130" s="64"/>
      <c r="H130" s="65"/>
      <c r="I130" s="62"/>
      <c r="J130" s="62"/>
      <c r="K130" s="62"/>
      <c r="L130" s="64"/>
      <c r="M130" s="62"/>
      <c r="N130" s="65"/>
      <c r="O130" s="27"/>
    </row>
    <row r="131" spans="1:15" ht="24.95" customHeight="1" x14ac:dyDescent="0.2">
      <c r="A131" s="61"/>
      <c r="B131" s="63"/>
      <c r="C131" s="61"/>
      <c r="D131" s="61"/>
      <c r="E131" s="61"/>
      <c r="F131" s="61"/>
      <c r="G131" s="64"/>
      <c r="H131" s="65"/>
      <c r="I131" s="62"/>
      <c r="J131" s="62"/>
      <c r="K131" s="62"/>
      <c r="L131" s="64"/>
      <c r="M131" s="62"/>
      <c r="N131" s="65"/>
      <c r="O131" s="27"/>
    </row>
    <row r="132" spans="1:15" ht="24.95" customHeight="1" x14ac:dyDescent="0.2">
      <c r="A132" s="61"/>
      <c r="B132" s="63"/>
      <c r="C132" s="61"/>
      <c r="D132" s="61"/>
      <c r="E132" s="61"/>
      <c r="F132" s="61"/>
      <c r="G132" s="64"/>
      <c r="H132" s="65"/>
      <c r="I132" s="62"/>
      <c r="J132" s="62"/>
      <c r="K132" s="62"/>
      <c r="L132" s="64"/>
      <c r="M132" s="62"/>
      <c r="N132" s="65"/>
      <c r="O132" s="27"/>
    </row>
    <row r="133" spans="1:15" ht="24.95" customHeight="1" x14ac:dyDescent="0.2">
      <c r="A133" s="61"/>
      <c r="B133" s="63"/>
      <c r="C133" s="61"/>
      <c r="D133" s="61"/>
      <c r="E133" s="61"/>
      <c r="F133" s="61"/>
      <c r="G133" s="64"/>
      <c r="H133" s="65"/>
      <c r="I133" s="62"/>
      <c r="J133" s="62"/>
      <c r="K133" s="62"/>
      <c r="L133" s="64"/>
      <c r="M133" s="62"/>
      <c r="N133" s="65"/>
      <c r="O133" s="27"/>
    </row>
    <row r="134" spans="1:15" ht="24.95" customHeight="1" x14ac:dyDescent="0.2">
      <c r="A134" s="61"/>
      <c r="B134" s="63"/>
      <c r="C134" s="61"/>
      <c r="D134" s="61"/>
      <c r="E134" s="61"/>
      <c r="F134" s="61"/>
      <c r="G134" s="64"/>
      <c r="H134" s="65"/>
      <c r="I134" s="62"/>
      <c r="J134" s="62"/>
      <c r="K134" s="62"/>
      <c r="L134" s="64"/>
      <c r="M134" s="62"/>
      <c r="N134" s="65"/>
      <c r="O134" s="27"/>
    </row>
    <row r="135" spans="1:15" ht="24.95" customHeight="1" x14ac:dyDescent="0.2">
      <c r="A135" s="61"/>
      <c r="B135" s="63"/>
      <c r="C135" s="61"/>
      <c r="D135" s="61"/>
      <c r="E135" s="61"/>
      <c r="F135" s="61"/>
      <c r="G135" s="64"/>
      <c r="H135" s="65"/>
      <c r="I135" s="62"/>
      <c r="J135" s="62"/>
      <c r="K135" s="62"/>
      <c r="L135" s="64"/>
      <c r="M135" s="62"/>
      <c r="N135" s="65"/>
      <c r="O135" s="27"/>
    </row>
    <row r="136" spans="1:15" ht="24.95" customHeight="1" x14ac:dyDescent="0.2">
      <c r="A136" s="61"/>
      <c r="B136" s="63"/>
      <c r="C136" s="61"/>
      <c r="D136" s="61"/>
      <c r="E136" s="61"/>
      <c r="F136" s="61"/>
      <c r="G136" s="64"/>
      <c r="H136" s="65"/>
      <c r="I136" s="62"/>
      <c r="J136" s="62"/>
      <c r="K136" s="62"/>
      <c r="L136" s="64"/>
      <c r="M136" s="62"/>
      <c r="N136" s="65"/>
      <c r="O136" s="27"/>
    </row>
    <row r="137" spans="1:15" ht="24.95" customHeight="1" x14ac:dyDescent="0.2">
      <c r="A137" s="61"/>
      <c r="B137" s="63"/>
      <c r="C137" s="61"/>
      <c r="D137" s="61"/>
      <c r="E137" s="61"/>
      <c r="F137" s="61"/>
      <c r="G137" s="64"/>
      <c r="H137" s="65"/>
      <c r="I137" s="62"/>
      <c r="J137" s="62"/>
      <c r="K137" s="62"/>
      <c r="L137" s="64"/>
      <c r="M137" s="62"/>
      <c r="N137" s="65"/>
      <c r="O137" s="27"/>
    </row>
    <row r="138" spans="1:15" ht="24.95" customHeight="1" x14ac:dyDescent="0.2">
      <c r="A138" s="61"/>
      <c r="B138" s="63"/>
      <c r="C138" s="61"/>
      <c r="D138" s="61"/>
      <c r="E138" s="61"/>
      <c r="F138" s="61"/>
      <c r="G138" s="64"/>
      <c r="H138" s="65"/>
      <c r="I138" s="62"/>
      <c r="J138" s="62"/>
      <c r="K138" s="62"/>
      <c r="L138" s="64"/>
      <c r="M138" s="62"/>
      <c r="N138" s="65"/>
      <c r="O138" s="27"/>
    </row>
    <row r="139" spans="1:15" ht="24.95" customHeight="1" x14ac:dyDescent="0.2">
      <c r="A139" s="61"/>
      <c r="B139" s="63"/>
      <c r="C139" s="61"/>
      <c r="D139" s="61"/>
      <c r="E139" s="61"/>
      <c r="F139" s="61"/>
      <c r="G139" s="64"/>
      <c r="H139" s="65"/>
      <c r="I139" s="62"/>
      <c r="J139" s="62"/>
      <c r="K139" s="62"/>
      <c r="L139" s="64"/>
      <c r="M139" s="62"/>
      <c r="N139" s="65"/>
      <c r="O139" s="27"/>
    </row>
    <row r="140" spans="1:15" ht="24.95" customHeight="1" x14ac:dyDescent="0.2">
      <c r="A140" s="61"/>
      <c r="B140" s="63"/>
      <c r="C140" s="61"/>
      <c r="D140" s="61"/>
      <c r="E140" s="61"/>
      <c r="F140" s="61"/>
      <c r="G140" s="64"/>
      <c r="H140" s="65"/>
      <c r="I140" s="62"/>
      <c r="J140" s="62"/>
      <c r="K140" s="62"/>
      <c r="L140" s="64"/>
      <c r="M140" s="62"/>
      <c r="N140" s="65"/>
      <c r="O140" s="27"/>
    </row>
    <row r="141" spans="1:15" ht="24.95" customHeight="1" x14ac:dyDescent="0.2">
      <c r="A141" s="61"/>
      <c r="B141" s="63"/>
      <c r="C141" s="61"/>
      <c r="D141" s="61"/>
      <c r="E141" s="61"/>
      <c r="F141" s="61"/>
      <c r="G141" s="64"/>
      <c r="H141" s="65"/>
      <c r="I141" s="62"/>
      <c r="J141" s="62"/>
      <c r="K141" s="62"/>
      <c r="L141" s="64"/>
      <c r="M141" s="62"/>
      <c r="N141" s="65"/>
      <c r="O141" s="27"/>
    </row>
    <row r="142" spans="1:15" ht="24.95" customHeight="1" x14ac:dyDescent="0.2">
      <c r="A142" s="61"/>
      <c r="B142" s="63"/>
      <c r="C142" s="61"/>
      <c r="D142" s="61"/>
      <c r="E142" s="61"/>
      <c r="F142" s="61"/>
      <c r="G142" s="64"/>
      <c r="H142" s="65"/>
      <c r="I142" s="62"/>
      <c r="J142" s="62"/>
      <c r="K142" s="62"/>
      <c r="L142" s="64"/>
      <c r="M142" s="62"/>
      <c r="N142" s="65"/>
      <c r="O142" s="27"/>
    </row>
    <row r="143" spans="1:15" ht="24.95" customHeight="1" x14ac:dyDescent="0.2">
      <c r="A143" s="61"/>
      <c r="B143" s="63"/>
      <c r="C143" s="61"/>
      <c r="D143" s="61"/>
      <c r="E143" s="61"/>
      <c r="F143" s="61"/>
      <c r="G143" s="64"/>
      <c r="H143" s="65"/>
      <c r="I143" s="62"/>
      <c r="J143" s="62"/>
      <c r="K143" s="62"/>
      <c r="L143" s="64"/>
      <c r="M143" s="62"/>
      <c r="N143" s="65"/>
      <c r="O143" s="27"/>
    </row>
    <row r="144" spans="1:15" ht="24.95" customHeight="1" x14ac:dyDescent="0.2">
      <c r="A144" s="61"/>
      <c r="B144" s="63"/>
      <c r="C144" s="61"/>
      <c r="D144" s="61"/>
      <c r="E144" s="61"/>
      <c r="F144" s="61"/>
      <c r="G144" s="64"/>
      <c r="H144" s="65"/>
      <c r="I144" s="62"/>
      <c r="J144" s="62"/>
      <c r="K144" s="62"/>
      <c r="L144" s="64"/>
      <c r="M144" s="62"/>
      <c r="N144" s="65"/>
      <c r="O144" s="27"/>
    </row>
    <row r="145" spans="1:15" ht="24.95" customHeight="1" x14ac:dyDescent="0.2">
      <c r="A145" s="61"/>
      <c r="B145" s="63"/>
      <c r="C145" s="61"/>
      <c r="D145" s="61"/>
      <c r="E145" s="61"/>
      <c r="F145" s="61"/>
      <c r="G145" s="64"/>
      <c r="H145" s="65"/>
      <c r="I145" s="62"/>
      <c r="J145" s="62"/>
      <c r="K145" s="62"/>
      <c r="L145" s="64"/>
      <c r="M145" s="62"/>
      <c r="N145" s="65"/>
      <c r="O145" s="27"/>
    </row>
    <row r="146" spans="1:15" ht="24.95" customHeight="1" x14ac:dyDescent="0.2">
      <c r="A146" s="61"/>
      <c r="B146" s="63"/>
      <c r="C146" s="61"/>
      <c r="D146" s="61"/>
      <c r="E146" s="61"/>
      <c r="F146" s="61"/>
      <c r="G146" s="64"/>
      <c r="H146" s="65"/>
      <c r="I146" s="62"/>
      <c r="J146" s="62"/>
      <c r="K146" s="62"/>
      <c r="L146" s="64"/>
      <c r="M146" s="62"/>
      <c r="N146" s="65"/>
      <c r="O146" s="27"/>
    </row>
    <row r="147" spans="1:15" ht="24.95" customHeight="1" x14ac:dyDescent="0.2">
      <c r="A147" s="61"/>
      <c r="B147" s="63"/>
      <c r="C147" s="61"/>
      <c r="D147" s="61"/>
      <c r="E147" s="61"/>
      <c r="F147" s="61"/>
      <c r="G147" s="64"/>
      <c r="H147" s="65"/>
      <c r="I147" s="62"/>
      <c r="J147" s="62"/>
      <c r="K147" s="62"/>
      <c r="L147" s="64"/>
      <c r="M147" s="62"/>
      <c r="N147" s="65"/>
      <c r="O147" s="27"/>
    </row>
    <row r="148" spans="1:15" ht="24.95" customHeight="1" x14ac:dyDescent="0.2">
      <c r="A148" s="61"/>
      <c r="B148" s="63"/>
      <c r="C148" s="61"/>
      <c r="D148" s="61"/>
      <c r="E148" s="61"/>
      <c r="F148" s="61"/>
      <c r="G148" s="64"/>
      <c r="H148" s="65"/>
      <c r="I148" s="62"/>
      <c r="J148" s="62"/>
      <c r="K148" s="62"/>
      <c r="L148" s="64"/>
      <c r="M148" s="62"/>
      <c r="N148" s="65"/>
      <c r="O148" s="27"/>
    </row>
    <row r="149" spans="1:15" ht="24.95" customHeight="1" x14ac:dyDescent="0.2">
      <c r="A149" s="61"/>
      <c r="B149" s="63"/>
      <c r="C149" s="61"/>
      <c r="D149" s="61"/>
      <c r="E149" s="61"/>
      <c r="F149" s="61"/>
      <c r="G149" s="64"/>
      <c r="H149" s="65"/>
      <c r="I149" s="62"/>
      <c r="J149" s="62"/>
      <c r="K149" s="62"/>
      <c r="L149" s="64"/>
      <c r="M149" s="62"/>
      <c r="N149" s="65"/>
      <c r="O149" s="27"/>
    </row>
    <row r="150" spans="1:15" ht="24.95" customHeight="1" x14ac:dyDescent="0.2">
      <c r="A150" s="61"/>
      <c r="B150" s="63"/>
      <c r="C150" s="61"/>
      <c r="D150" s="61"/>
      <c r="E150" s="61"/>
      <c r="F150" s="61"/>
      <c r="G150" s="64"/>
      <c r="H150" s="65"/>
      <c r="I150" s="62"/>
      <c r="J150" s="62"/>
      <c r="K150" s="62"/>
      <c r="L150" s="64"/>
      <c r="M150" s="62"/>
      <c r="N150" s="65"/>
      <c r="O150" s="27"/>
    </row>
    <row r="151" spans="1:15" ht="24.95" customHeight="1" x14ac:dyDescent="0.2">
      <c r="A151" s="61"/>
      <c r="B151" s="63"/>
      <c r="C151" s="61"/>
      <c r="D151" s="61"/>
      <c r="E151" s="61"/>
      <c r="F151" s="61"/>
      <c r="G151" s="64"/>
      <c r="H151" s="65"/>
      <c r="I151" s="62"/>
      <c r="J151" s="62"/>
      <c r="K151" s="62"/>
      <c r="L151" s="64"/>
      <c r="M151" s="62"/>
      <c r="N151" s="65"/>
      <c r="O151" s="27"/>
    </row>
    <row r="152" spans="1:15" ht="24.95" customHeight="1" x14ac:dyDescent="0.2">
      <c r="A152" s="61"/>
      <c r="B152" s="63"/>
      <c r="C152" s="61"/>
      <c r="D152" s="61"/>
      <c r="E152" s="61"/>
      <c r="F152" s="61"/>
      <c r="G152" s="64"/>
      <c r="H152" s="65"/>
      <c r="I152" s="62"/>
      <c r="J152" s="62"/>
      <c r="K152" s="62"/>
      <c r="L152" s="64"/>
      <c r="M152" s="62"/>
      <c r="N152" s="65"/>
      <c r="O152" s="27"/>
    </row>
    <row r="153" spans="1:15" ht="24.95" customHeight="1" x14ac:dyDescent="0.2">
      <c r="A153" s="61"/>
      <c r="B153" s="63"/>
      <c r="C153" s="61"/>
      <c r="D153" s="61"/>
      <c r="E153" s="61"/>
      <c r="F153" s="61"/>
      <c r="G153" s="64"/>
      <c r="H153" s="65"/>
      <c r="I153" s="62"/>
      <c r="J153" s="62"/>
      <c r="K153" s="62"/>
      <c r="L153" s="64"/>
      <c r="M153" s="62"/>
      <c r="N153" s="65"/>
      <c r="O153" s="27"/>
    </row>
    <row r="154" spans="1:15" ht="24.95" customHeight="1" x14ac:dyDescent="0.2">
      <c r="A154" s="61"/>
      <c r="B154" s="63"/>
      <c r="C154" s="61"/>
      <c r="D154" s="61"/>
      <c r="E154" s="61"/>
      <c r="F154" s="61"/>
      <c r="G154" s="64"/>
      <c r="H154" s="65"/>
      <c r="I154" s="62"/>
      <c r="J154" s="62"/>
      <c r="K154" s="62"/>
      <c r="L154" s="64"/>
      <c r="M154" s="62"/>
      <c r="N154" s="65"/>
      <c r="O154" s="27"/>
    </row>
    <row r="155" spans="1:15" ht="24.95" customHeight="1" x14ac:dyDescent="0.2">
      <c r="A155" s="61"/>
      <c r="B155" s="63"/>
      <c r="C155" s="61"/>
      <c r="D155" s="61"/>
      <c r="E155" s="61"/>
      <c r="F155" s="61"/>
      <c r="G155" s="64"/>
      <c r="H155" s="65"/>
      <c r="I155" s="62"/>
      <c r="J155" s="62"/>
      <c r="K155" s="62"/>
      <c r="L155" s="64"/>
      <c r="M155" s="62"/>
      <c r="N155" s="65"/>
      <c r="O155" s="27"/>
    </row>
    <row r="156" spans="1:15" ht="24.95" customHeight="1" x14ac:dyDescent="0.2">
      <c r="A156" s="61"/>
      <c r="B156" s="63"/>
      <c r="C156" s="61"/>
      <c r="D156" s="61"/>
      <c r="E156" s="61"/>
      <c r="F156" s="61"/>
      <c r="G156" s="64"/>
      <c r="H156" s="65"/>
      <c r="I156" s="62"/>
      <c r="J156" s="62"/>
      <c r="K156" s="62"/>
      <c r="L156" s="64"/>
      <c r="M156" s="62"/>
      <c r="N156" s="65"/>
      <c r="O156" s="27"/>
    </row>
    <row r="157" spans="1:15" ht="24.95" customHeight="1" x14ac:dyDescent="0.2">
      <c r="A157" s="61"/>
      <c r="B157" s="63"/>
      <c r="C157" s="61"/>
      <c r="D157" s="61"/>
      <c r="E157" s="61"/>
      <c r="F157" s="61"/>
      <c r="G157" s="64"/>
      <c r="H157" s="65"/>
      <c r="I157" s="62"/>
      <c r="J157" s="62"/>
      <c r="K157" s="62"/>
      <c r="L157" s="64"/>
      <c r="M157" s="62"/>
      <c r="N157" s="65"/>
      <c r="O157" s="27"/>
    </row>
    <row r="158" spans="1:15" ht="24.95" customHeight="1" x14ac:dyDescent="0.2">
      <c r="A158" s="61"/>
      <c r="B158" s="63"/>
      <c r="C158" s="61"/>
      <c r="D158" s="61"/>
      <c r="E158" s="61"/>
      <c r="F158" s="61"/>
      <c r="G158" s="64"/>
      <c r="H158" s="65"/>
      <c r="I158" s="62"/>
      <c r="J158" s="62"/>
      <c r="K158" s="62"/>
      <c r="L158" s="64"/>
      <c r="M158" s="62"/>
      <c r="N158" s="65"/>
      <c r="O158" s="27"/>
    </row>
    <row r="159" spans="1:15" ht="24.95" customHeight="1" x14ac:dyDescent="0.2">
      <c r="A159" s="61"/>
      <c r="B159" s="63"/>
      <c r="C159" s="61"/>
      <c r="D159" s="61"/>
      <c r="E159" s="61"/>
      <c r="F159" s="61"/>
      <c r="G159" s="64"/>
      <c r="H159" s="65"/>
      <c r="I159" s="62"/>
      <c r="J159" s="62"/>
      <c r="K159" s="62"/>
      <c r="L159" s="64"/>
      <c r="M159" s="62"/>
      <c r="N159" s="65"/>
      <c r="O159" s="27"/>
    </row>
    <row r="160" spans="1:15" ht="24.95" customHeight="1" x14ac:dyDescent="0.2">
      <c r="A160" s="61"/>
      <c r="B160" s="63"/>
      <c r="C160" s="61"/>
      <c r="D160" s="61"/>
      <c r="E160" s="61"/>
      <c r="F160" s="61"/>
      <c r="G160" s="64"/>
      <c r="H160" s="65"/>
      <c r="I160" s="62"/>
      <c r="J160" s="62"/>
      <c r="K160" s="62"/>
      <c r="L160" s="64"/>
      <c r="M160" s="62"/>
      <c r="N160" s="65"/>
      <c r="O160" s="27"/>
    </row>
    <row r="161" spans="1:15" ht="24.95" customHeight="1" x14ac:dyDescent="0.2">
      <c r="A161" s="61"/>
      <c r="B161" s="63"/>
      <c r="C161" s="61"/>
      <c r="D161" s="61"/>
      <c r="E161" s="61"/>
      <c r="F161" s="61"/>
      <c r="G161" s="64"/>
      <c r="H161" s="65"/>
      <c r="I161" s="62"/>
      <c r="J161" s="62"/>
      <c r="K161" s="62"/>
      <c r="L161" s="64"/>
      <c r="M161" s="62"/>
      <c r="N161" s="65"/>
      <c r="O161" s="27"/>
    </row>
    <row r="162" spans="1:15" ht="24.95" customHeight="1" x14ac:dyDescent="0.2">
      <c r="A162" s="61"/>
      <c r="B162" s="63"/>
      <c r="C162" s="61"/>
      <c r="D162" s="61"/>
      <c r="E162" s="61"/>
      <c r="F162" s="61"/>
      <c r="G162" s="64"/>
      <c r="H162" s="65"/>
      <c r="I162" s="62"/>
      <c r="J162" s="62"/>
      <c r="K162" s="62"/>
      <c r="L162" s="64"/>
      <c r="M162" s="62"/>
      <c r="N162" s="65"/>
      <c r="O162" s="27"/>
    </row>
    <row r="163" spans="1:15" ht="24.95" customHeight="1" x14ac:dyDescent="0.2">
      <c r="A163" s="61"/>
      <c r="B163" s="63"/>
      <c r="C163" s="61"/>
      <c r="D163" s="61"/>
      <c r="E163" s="61"/>
      <c r="F163" s="61"/>
      <c r="G163" s="64"/>
      <c r="H163" s="65"/>
      <c r="I163" s="62"/>
      <c r="J163" s="62"/>
      <c r="K163" s="62"/>
      <c r="L163" s="64"/>
      <c r="M163" s="62"/>
      <c r="N163" s="65"/>
      <c r="O163" s="27"/>
    </row>
    <row r="164" spans="1:15" ht="24.95" customHeight="1" x14ac:dyDescent="0.2">
      <c r="A164" s="61"/>
      <c r="B164" s="63"/>
      <c r="C164" s="61"/>
      <c r="D164" s="61"/>
      <c r="E164" s="61"/>
      <c r="F164" s="61"/>
      <c r="G164" s="64"/>
      <c r="H164" s="65"/>
      <c r="I164" s="62"/>
      <c r="J164" s="62"/>
      <c r="K164" s="62"/>
      <c r="L164" s="64"/>
      <c r="M164" s="62"/>
      <c r="N164" s="65"/>
      <c r="O164" s="27"/>
    </row>
    <row r="165" spans="1:15" ht="24.95" customHeight="1" x14ac:dyDescent="0.2">
      <c r="A165" s="61"/>
      <c r="B165" s="63"/>
      <c r="C165" s="61"/>
      <c r="D165" s="61"/>
      <c r="E165" s="61"/>
      <c r="F165" s="61"/>
      <c r="G165" s="64"/>
      <c r="H165" s="65"/>
      <c r="I165" s="62"/>
      <c r="J165" s="62"/>
      <c r="K165" s="62"/>
      <c r="L165" s="64"/>
      <c r="M165" s="62"/>
      <c r="N165" s="65"/>
      <c r="O165" s="27"/>
    </row>
    <row r="166" spans="1:15" ht="24.95" customHeight="1" x14ac:dyDescent="0.2">
      <c r="A166" s="61"/>
      <c r="B166" s="63"/>
      <c r="C166" s="61"/>
      <c r="D166" s="61"/>
      <c r="E166" s="61"/>
      <c r="F166" s="61"/>
      <c r="G166" s="64"/>
      <c r="H166" s="65"/>
      <c r="I166" s="62"/>
      <c r="J166" s="62"/>
      <c r="K166" s="62"/>
      <c r="L166" s="64"/>
      <c r="M166" s="62"/>
      <c r="N166" s="65"/>
      <c r="O166" s="27"/>
    </row>
    <row r="167" spans="1:15" ht="24.95" customHeight="1" x14ac:dyDescent="0.2">
      <c r="A167" s="61"/>
      <c r="B167" s="63"/>
      <c r="C167" s="61"/>
      <c r="D167" s="61"/>
      <c r="E167" s="61"/>
      <c r="F167" s="61"/>
      <c r="G167" s="64"/>
      <c r="H167" s="65"/>
      <c r="I167" s="62"/>
      <c r="J167" s="62"/>
      <c r="K167" s="62"/>
      <c r="L167" s="64"/>
      <c r="M167" s="62"/>
      <c r="N167" s="65"/>
      <c r="O167" s="27"/>
    </row>
    <row r="168" spans="1:15" ht="24.95" customHeight="1" x14ac:dyDescent="0.2">
      <c r="A168" s="61"/>
      <c r="B168" s="63"/>
      <c r="C168" s="61"/>
      <c r="D168" s="61"/>
      <c r="E168" s="61"/>
      <c r="F168" s="61"/>
      <c r="G168" s="64"/>
      <c r="H168" s="65"/>
      <c r="I168" s="62"/>
      <c r="J168" s="62"/>
      <c r="K168" s="62"/>
      <c r="L168" s="64"/>
      <c r="M168" s="62"/>
      <c r="N168" s="65"/>
      <c r="O168" s="27"/>
    </row>
    <row r="169" spans="1:15" ht="24.95" customHeight="1" x14ac:dyDescent="0.2">
      <c r="A169" s="61"/>
      <c r="B169" s="63"/>
      <c r="C169" s="61"/>
      <c r="D169" s="61"/>
      <c r="E169" s="61"/>
      <c r="F169" s="61"/>
      <c r="G169" s="64"/>
      <c r="H169" s="65"/>
      <c r="I169" s="62"/>
      <c r="J169" s="62"/>
      <c r="K169" s="62"/>
      <c r="L169" s="64"/>
      <c r="M169" s="62"/>
      <c r="N169" s="65"/>
      <c r="O169" s="27"/>
    </row>
    <row r="170" spans="1:15" ht="24.95" customHeight="1" x14ac:dyDescent="0.2">
      <c r="A170" s="61"/>
      <c r="B170" s="63"/>
      <c r="C170" s="61"/>
      <c r="D170" s="61"/>
      <c r="E170" s="61"/>
      <c r="F170" s="61"/>
      <c r="G170" s="64"/>
      <c r="H170" s="65"/>
      <c r="I170" s="62"/>
      <c r="J170" s="62"/>
      <c r="K170" s="62"/>
      <c r="L170" s="64"/>
      <c r="M170" s="62"/>
      <c r="N170" s="65"/>
      <c r="O170" s="27"/>
    </row>
    <row r="171" spans="1:15" ht="24.95" customHeight="1" x14ac:dyDescent="0.2">
      <c r="A171" s="61"/>
      <c r="B171" s="63"/>
      <c r="C171" s="61"/>
      <c r="D171" s="61"/>
      <c r="E171" s="61"/>
      <c r="F171" s="61"/>
      <c r="G171" s="64"/>
      <c r="H171" s="65"/>
      <c r="I171" s="62"/>
      <c r="J171" s="62"/>
      <c r="K171" s="62"/>
      <c r="L171" s="64"/>
      <c r="M171" s="62"/>
      <c r="N171" s="65"/>
      <c r="O171" s="27"/>
    </row>
    <row r="172" spans="1:15" ht="24.95" customHeight="1" x14ac:dyDescent="0.2">
      <c r="A172" s="61"/>
      <c r="B172" s="63"/>
      <c r="C172" s="61"/>
      <c r="D172" s="61"/>
      <c r="E172" s="61"/>
      <c r="F172" s="61"/>
      <c r="G172" s="64"/>
      <c r="H172" s="65"/>
      <c r="I172" s="62"/>
      <c r="J172" s="62"/>
      <c r="K172" s="62"/>
      <c r="L172" s="64"/>
      <c r="M172" s="62"/>
      <c r="N172" s="65"/>
      <c r="O172" s="27"/>
    </row>
    <row r="173" spans="1:15" ht="24.95" customHeight="1" x14ac:dyDescent="0.2">
      <c r="A173" s="61"/>
      <c r="B173" s="63"/>
      <c r="C173" s="61"/>
      <c r="D173" s="61"/>
      <c r="E173" s="61"/>
      <c r="F173" s="61"/>
      <c r="G173" s="64"/>
      <c r="H173" s="65"/>
      <c r="I173" s="62"/>
      <c r="J173" s="62"/>
      <c r="K173" s="62"/>
      <c r="L173" s="64"/>
      <c r="M173" s="62"/>
      <c r="N173" s="65"/>
      <c r="O173" s="27"/>
    </row>
    <row r="174" spans="1:15" ht="24.95" customHeight="1" x14ac:dyDescent="0.2">
      <c r="A174" s="61"/>
      <c r="B174" s="63"/>
      <c r="C174" s="61"/>
      <c r="D174" s="61"/>
      <c r="E174" s="61"/>
      <c r="F174" s="61"/>
      <c r="G174" s="64"/>
      <c r="H174" s="65"/>
      <c r="I174" s="62"/>
      <c r="J174" s="62"/>
      <c r="K174" s="62"/>
      <c r="L174" s="64"/>
      <c r="M174" s="62"/>
      <c r="N174" s="65"/>
      <c r="O174" s="27"/>
    </row>
    <row r="175" spans="1:15" ht="24.95" customHeight="1" x14ac:dyDescent="0.2">
      <c r="A175" s="61"/>
      <c r="B175" s="63"/>
      <c r="C175" s="61"/>
      <c r="D175" s="61"/>
      <c r="E175" s="61"/>
      <c r="F175" s="61"/>
      <c r="G175" s="64"/>
      <c r="H175" s="65"/>
      <c r="I175" s="62"/>
      <c r="J175" s="62"/>
      <c r="K175" s="62"/>
      <c r="L175" s="64"/>
      <c r="M175" s="62"/>
      <c r="N175" s="65"/>
      <c r="O175" s="27"/>
    </row>
    <row r="176" spans="1:15" ht="24.95" customHeight="1" x14ac:dyDescent="0.2">
      <c r="A176" s="61"/>
      <c r="B176" s="63"/>
      <c r="C176" s="61"/>
      <c r="D176" s="61"/>
      <c r="E176" s="61"/>
      <c r="F176" s="61"/>
      <c r="G176" s="64"/>
      <c r="H176" s="65"/>
      <c r="I176" s="62"/>
      <c r="J176" s="62"/>
      <c r="K176" s="62"/>
      <c r="L176" s="64"/>
      <c r="M176" s="62"/>
      <c r="N176" s="65"/>
      <c r="O176" s="27"/>
    </row>
    <row r="177" spans="1:15" ht="24.95" customHeight="1" x14ac:dyDescent="0.2">
      <c r="A177" s="61"/>
      <c r="B177" s="63"/>
      <c r="C177" s="61"/>
      <c r="D177" s="61"/>
      <c r="E177" s="61"/>
      <c r="F177" s="61"/>
      <c r="G177" s="64"/>
      <c r="H177" s="65"/>
      <c r="I177" s="62"/>
      <c r="J177" s="62"/>
      <c r="K177" s="62"/>
      <c r="L177" s="64"/>
      <c r="M177" s="62"/>
      <c r="N177" s="65"/>
      <c r="O177" s="27"/>
    </row>
    <row r="178" spans="1:15" ht="24.95" customHeight="1" x14ac:dyDescent="0.2">
      <c r="A178" s="61"/>
      <c r="B178" s="63"/>
      <c r="C178" s="61"/>
      <c r="D178" s="61"/>
      <c r="E178" s="61"/>
      <c r="F178" s="61"/>
      <c r="G178" s="64"/>
      <c r="H178" s="65"/>
      <c r="I178" s="62"/>
      <c r="J178" s="62"/>
      <c r="K178" s="62"/>
      <c r="L178" s="64"/>
      <c r="M178" s="62"/>
      <c r="N178" s="65"/>
      <c r="O178" s="27"/>
    </row>
    <row r="179" spans="1:15" ht="24.95" customHeight="1" x14ac:dyDescent="0.2">
      <c r="A179" s="61"/>
      <c r="B179" s="63"/>
      <c r="C179" s="61"/>
      <c r="D179" s="61"/>
      <c r="E179" s="61"/>
      <c r="F179" s="61"/>
      <c r="G179" s="64"/>
      <c r="H179" s="65"/>
      <c r="I179" s="62"/>
      <c r="J179" s="62"/>
      <c r="K179" s="62"/>
      <c r="L179" s="64"/>
      <c r="M179" s="62"/>
      <c r="N179" s="65"/>
      <c r="O179" s="27"/>
    </row>
    <row r="180" spans="1:15" ht="24.95" customHeight="1" x14ac:dyDescent="0.2">
      <c r="A180" s="61"/>
      <c r="B180" s="63"/>
      <c r="C180" s="61"/>
      <c r="D180" s="61"/>
      <c r="E180" s="61"/>
      <c r="F180" s="61"/>
      <c r="G180" s="64"/>
      <c r="H180" s="65"/>
      <c r="I180" s="62"/>
      <c r="J180" s="62"/>
      <c r="K180" s="62"/>
      <c r="L180" s="64"/>
      <c r="M180" s="62"/>
      <c r="N180" s="65"/>
      <c r="O180" s="27"/>
    </row>
    <row r="181" spans="1:15" ht="24.95" customHeight="1" x14ac:dyDescent="0.2">
      <c r="A181" s="61"/>
      <c r="B181" s="63"/>
      <c r="C181" s="61"/>
      <c r="D181" s="61"/>
      <c r="E181" s="61"/>
      <c r="F181" s="61"/>
      <c r="G181" s="64"/>
      <c r="H181" s="65"/>
      <c r="I181" s="62"/>
      <c r="J181" s="62"/>
      <c r="K181" s="62"/>
      <c r="L181" s="64"/>
      <c r="M181" s="62"/>
      <c r="N181" s="65"/>
      <c r="O181" s="27"/>
    </row>
    <row r="182" spans="1:15" ht="24.95" customHeight="1" x14ac:dyDescent="0.2">
      <c r="A182" s="61"/>
      <c r="B182" s="63"/>
      <c r="C182" s="61"/>
      <c r="D182" s="61"/>
      <c r="E182" s="61"/>
      <c r="F182" s="61"/>
      <c r="G182" s="64"/>
      <c r="H182" s="65"/>
      <c r="I182" s="62"/>
      <c r="J182" s="62"/>
      <c r="K182" s="62"/>
      <c r="L182" s="64"/>
      <c r="M182" s="62"/>
      <c r="N182" s="65"/>
      <c r="O182" s="27"/>
    </row>
    <row r="183" spans="1:15" ht="24.95" customHeight="1" x14ac:dyDescent="0.2">
      <c r="A183" s="61"/>
      <c r="B183" s="63"/>
      <c r="C183" s="61"/>
      <c r="D183" s="61"/>
      <c r="E183" s="61"/>
      <c r="F183" s="61"/>
      <c r="G183" s="64"/>
      <c r="H183" s="65"/>
      <c r="I183" s="62"/>
      <c r="J183" s="62"/>
      <c r="K183" s="62"/>
      <c r="L183" s="64"/>
      <c r="M183" s="62"/>
      <c r="N183" s="65"/>
      <c r="O183" s="27"/>
    </row>
    <row r="184" spans="1:15" ht="24.95" customHeight="1" x14ac:dyDescent="0.2">
      <c r="A184" s="61"/>
      <c r="B184" s="63"/>
      <c r="C184" s="61"/>
      <c r="D184" s="61"/>
      <c r="E184" s="61"/>
      <c r="F184" s="61"/>
      <c r="G184" s="64"/>
      <c r="H184" s="65"/>
      <c r="I184" s="62"/>
      <c r="J184" s="62"/>
      <c r="K184" s="62"/>
      <c r="L184" s="64"/>
      <c r="M184" s="62"/>
      <c r="N184" s="65"/>
      <c r="O184" s="27"/>
    </row>
    <row r="185" spans="1:15" ht="24.95" customHeight="1" x14ac:dyDescent="0.2">
      <c r="A185" s="61"/>
      <c r="B185" s="63"/>
      <c r="C185" s="61"/>
      <c r="D185" s="61"/>
      <c r="E185" s="61"/>
      <c r="F185" s="61"/>
      <c r="G185" s="64"/>
      <c r="H185" s="65"/>
      <c r="I185" s="62"/>
      <c r="J185" s="62"/>
      <c r="K185" s="62"/>
      <c r="L185" s="64"/>
      <c r="M185" s="62"/>
      <c r="N185" s="65"/>
      <c r="O185" s="27"/>
    </row>
    <row r="186" spans="1:15" ht="24.95" customHeight="1" x14ac:dyDescent="0.2">
      <c r="A186" s="61"/>
      <c r="B186" s="63"/>
      <c r="C186" s="61"/>
      <c r="D186" s="61"/>
      <c r="E186" s="61"/>
      <c r="F186" s="61"/>
      <c r="G186" s="64"/>
      <c r="H186" s="65"/>
      <c r="I186" s="62"/>
      <c r="J186" s="62"/>
      <c r="K186" s="62"/>
      <c r="L186" s="64"/>
      <c r="M186" s="62"/>
      <c r="N186" s="65"/>
      <c r="O186" s="27"/>
    </row>
    <row r="187" spans="1:15" ht="24.95" customHeight="1" x14ac:dyDescent="0.2">
      <c r="A187" s="61"/>
      <c r="B187" s="63"/>
      <c r="C187" s="61"/>
      <c r="D187" s="61"/>
      <c r="E187" s="61"/>
      <c r="F187" s="61"/>
      <c r="G187" s="64"/>
      <c r="H187" s="65"/>
      <c r="I187" s="62"/>
      <c r="J187" s="62"/>
      <c r="K187" s="62"/>
      <c r="L187" s="64"/>
      <c r="M187" s="62"/>
      <c r="N187" s="65"/>
      <c r="O187" s="27"/>
    </row>
    <row r="188" spans="1:15" ht="24.95" customHeight="1" x14ac:dyDescent="0.2">
      <c r="A188" s="61"/>
      <c r="B188" s="63"/>
      <c r="C188" s="61"/>
      <c r="D188" s="61"/>
      <c r="E188" s="61"/>
      <c r="F188" s="61"/>
      <c r="G188" s="64"/>
      <c r="H188" s="65"/>
      <c r="I188" s="62"/>
      <c r="J188" s="62"/>
      <c r="K188" s="62"/>
      <c r="L188" s="64"/>
      <c r="M188" s="62"/>
      <c r="N188" s="65"/>
      <c r="O188" s="27"/>
    </row>
    <row r="189" spans="1:15" ht="24.95" customHeight="1" x14ac:dyDescent="0.2">
      <c r="A189" s="61"/>
      <c r="B189" s="63"/>
      <c r="C189" s="61"/>
      <c r="D189" s="61"/>
      <c r="E189" s="61"/>
      <c r="F189" s="61"/>
      <c r="G189" s="64"/>
      <c r="H189" s="65"/>
      <c r="I189" s="62"/>
      <c r="J189" s="62"/>
      <c r="K189" s="62"/>
      <c r="L189" s="64"/>
      <c r="M189" s="62"/>
      <c r="N189" s="65"/>
      <c r="O189" s="27"/>
    </row>
    <row r="190" spans="1:15" ht="24.95" customHeight="1" x14ac:dyDescent="0.2">
      <c r="A190" s="61"/>
      <c r="B190" s="63"/>
      <c r="C190" s="61"/>
      <c r="D190" s="61"/>
      <c r="E190" s="61"/>
      <c r="F190" s="61"/>
      <c r="G190" s="64"/>
      <c r="H190" s="65"/>
      <c r="I190" s="62"/>
      <c r="J190" s="62"/>
      <c r="K190" s="62"/>
      <c r="L190" s="64"/>
      <c r="M190" s="62"/>
      <c r="N190" s="65"/>
      <c r="O190" s="27"/>
    </row>
    <row r="191" spans="1:15" ht="24.95" customHeight="1" x14ac:dyDescent="0.2">
      <c r="A191" s="61"/>
      <c r="B191" s="63"/>
      <c r="C191" s="61"/>
      <c r="D191" s="61"/>
      <c r="E191" s="61"/>
      <c r="F191" s="61"/>
      <c r="G191" s="64"/>
      <c r="H191" s="65"/>
      <c r="I191" s="62"/>
      <c r="J191" s="62"/>
      <c r="K191" s="62"/>
      <c r="L191" s="64"/>
      <c r="M191" s="62"/>
      <c r="N191" s="65"/>
      <c r="O191" s="27"/>
    </row>
    <row r="192" spans="1:15" ht="24.95" customHeight="1" x14ac:dyDescent="0.2">
      <c r="A192" s="61"/>
      <c r="B192" s="63"/>
      <c r="C192" s="61"/>
      <c r="D192" s="61"/>
      <c r="E192" s="61"/>
      <c r="F192" s="61"/>
      <c r="G192" s="64"/>
      <c r="H192" s="65"/>
      <c r="I192" s="62"/>
      <c r="J192" s="62"/>
      <c r="K192" s="62"/>
      <c r="L192" s="64"/>
      <c r="M192" s="62"/>
      <c r="N192" s="65"/>
      <c r="O192" s="27"/>
    </row>
    <row r="193" spans="1:15" ht="24.95" customHeight="1" x14ac:dyDescent="0.2">
      <c r="A193" s="61"/>
      <c r="B193" s="63"/>
      <c r="C193" s="61"/>
      <c r="D193" s="61"/>
      <c r="E193" s="61"/>
      <c r="F193" s="61"/>
      <c r="G193" s="64"/>
      <c r="H193" s="65"/>
      <c r="I193" s="62"/>
      <c r="J193" s="62"/>
      <c r="K193" s="62"/>
      <c r="L193" s="64"/>
      <c r="M193" s="62"/>
      <c r="N193" s="65"/>
      <c r="O193" s="27"/>
    </row>
    <row r="194" spans="1:15" ht="24.95" customHeight="1" x14ac:dyDescent="0.2">
      <c r="A194" s="61"/>
      <c r="B194" s="63"/>
      <c r="C194" s="61"/>
      <c r="D194" s="61"/>
      <c r="E194" s="61"/>
      <c r="F194" s="61"/>
      <c r="G194" s="64"/>
      <c r="H194" s="65"/>
      <c r="I194" s="62"/>
      <c r="J194" s="62"/>
      <c r="K194" s="62"/>
      <c r="L194" s="64"/>
      <c r="M194" s="62"/>
      <c r="N194" s="65"/>
      <c r="O194" s="27"/>
    </row>
    <row r="195" spans="1:15" ht="24.95" customHeight="1" x14ac:dyDescent="0.2">
      <c r="A195" s="61"/>
      <c r="B195" s="63"/>
      <c r="C195" s="61"/>
      <c r="D195" s="61"/>
      <c r="E195" s="61"/>
      <c r="F195" s="61"/>
      <c r="G195" s="64"/>
      <c r="H195" s="65"/>
      <c r="I195" s="62"/>
      <c r="J195" s="62"/>
      <c r="K195" s="62"/>
      <c r="L195" s="64"/>
      <c r="M195" s="62"/>
      <c r="N195" s="65"/>
      <c r="O195" s="27"/>
    </row>
    <row r="196" spans="1:15" ht="24.95" customHeight="1" x14ac:dyDescent="0.2">
      <c r="A196" s="61"/>
      <c r="B196" s="63"/>
      <c r="C196" s="61"/>
      <c r="D196" s="61"/>
      <c r="E196" s="61"/>
      <c r="F196" s="61"/>
      <c r="G196" s="64"/>
      <c r="H196" s="65"/>
      <c r="I196" s="62"/>
      <c r="J196" s="62"/>
      <c r="K196" s="62"/>
      <c r="L196" s="64"/>
      <c r="M196" s="62"/>
      <c r="N196" s="65"/>
      <c r="O196" s="27"/>
    </row>
    <row r="197" spans="1:15" ht="24.95" customHeight="1" x14ac:dyDescent="0.2">
      <c r="A197" s="61"/>
      <c r="B197" s="63"/>
      <c r="C197" s="61"/>
      <c r="D197" s="61"/>
      <c r="E197" s="61"/>
      <c r="F197" s="61"/>
      <c r="G197" s="64"/>
      <c r="H197" s="65"/>
      <c r="I197" s="62"/>
      <c r="J197" s="62"/>
      <c r="K197" s="62"/>
      <c r="L197" s="64"/>
      <c r="M197" s="62"/>
      <c r="N197" s="65"/>
      <c r="O197" s="27"/>
    </row>
    <row r="198" spans="1:15" ht="24.95" customHeight="1" x14ac:dyDescent="0.2">
      <c r="A198" s="61"/>
      <c r="B198" s="63"/>
      <c r="C198" s="61"/>
      <c r="D198" s="61"/>
      <c r="E198" s="61"/>
      <c r="F198" s="61"/>
      <c r="G198" s="64"/>
      <c r="H198" s="65"/>
      <c r="I198" s="62"/>
      <c r="J198" s="62"/>
      <c r="K198" s="62"/>
      <c r="L198" s="64"/>
      <c r="M198" s="62"/>
      <c r="N198" s="65"/>
      <c r="O198" s="27"/>
    </row>
    <row r="199" spans="1:15" ht="24.95" customHeight="1" x14ac:dyDescent="0.2">
      <c r="A199" s="61"/>
      <c r="B199" s="63"/>
      <c r="C199" s="61"/>
      <c r="D199" s="61"/>
      <c r="E199" s="61"/>
      <c r="F199" s="61"/>
      <c r="G199" s="64"/>
      <c r="H199" s="65"/>
      <c r="I199" s="62"/>
      <c r="J199" s="62"/>
      <c r="K199" s="62"/>
      <c r="L199" s="64"/>
      <c r="M199" s="62"/>
      <c r="N199" s="65"/>
      <c r="O199" s="27"/>
    </row>
    <row r="200" spans="1:15" ht="24.95" customHeight="1" x14ac:dyDescent="0.2">
      <c r="A200" s="61"/>
      <c r="B200" s="63"/>
      <c r="C200" s="61"/>
      <c r="D200" s="61"/>
      <c r="E200" s="61"/>
      <c r="F200" s="61"/>
      <c r="G200" s="64"/>
      <c r="H200" s="65"/>
      <c r="I200" s="62"/>
      <c r="J200" s="62"/>
      <c r="K200" s="62"/>
      <c r="L200" s="64"/>
      <c r="M200" s="62"/>
      <c r="N200" s="65"/>
      <c r="O200" s="27"/>
    </row>
    <row r="201" spans="1:15" ht="24.95" customHeight="1" x14ac:dyDescent="0.2">
      <c r="A201" s="61"/>
      <c r="B201" s="63"/>
      <c r="C201" s="61"/>
      <c r="D201" s="61"/>
      <c r="E201" s="61"/>
      <c r="F201" s="61"/>
      <c r="G201" s="64"/>
      <c r="H201" s="65"/>
      <c r="I201" s="62"/>
      <c r="J201" s="62"/>
      <c r="K201" s="62"/>
      <c r="L201" s="64"/>
      <c r="M201" s="62"/>
      <c r="N201" s="65"/>
      <c r="O201" s="27"/>
    </row>
    <row r="202" spans="1:15" ht="24.95" customHeight="1" x14ac:dyDescent="0.2">
      <c r="A202" s="61"/>
      <c r="B202" s="63"/>
      <c r="C202" s="61"/>
      <c r="D202" s="61"/>
      <c r="E202" s="61"/>
      <c r="F202" s="61"/>
      <c r="G202" s="64"/>
      <c r="H202" s="65"/>
      <c r="I202" s="62"/>
      <c r="J202" s="62"/>
      <c r="K202" s="62"/>
      <c r="L202" s="64"/>
      <c r="M202" s="62"/>
      <c r="N202" s="65"/>
      <c r="O202" s="27"/>
    </row>
    <row r="203" spans="1:15" ht="24.95" customHeight="1" x14ac:dyDescent="0.2">
      <c r="A203" s="61"/>
      <c r="B203" s="63"/>
      <c r="C203" s="61"/>
      <c r="D203" s="61"/>
      <c r="E203" s="61"/>
      <c r="F203" s="61"/>
      <c r="G203" s="64"/>
      <c r="H203" s="65"/>
      <c r="I203" s="62"/>
      <c r="J203" s="62"/>
      <c r="K203" s="62"/>
      <c r="L203" s="64"/>
      <c r="M203" s="62"/>
      <c r="N203" s="65"/>
      <c r="O203" s="27"/>
    </row>
    <row r="204" spans="1:15" ht="24.95" customHeight="1" x14ac:dyDescent="0.2">
      <c r="A204" s="61"/>
      <c r="B204" s="63"/>
      <c r="C204" s="61"/>
      <c r="D204" s="61"/>
      <c r="E204" s="61"/>
      <c r="F204" s="61"/>
      <c r="G204" s="64"/>
      <c r="H204" s="65"/>
      <c r="I204" s="62"/>
      <c r="J204" s="62"/>
      <c r="K204" s="62"/>
      <c r="L204" s="64"/>
      <c r="M204" s="62"/>
      <c r="N204" s="65"/>
      <c r="O204" s="27"/>
    </row>
    <row r="205" spans="1:15" ht="24.95" customHeight="1" x14ac:dyDescent="0.2">
      <c r="A205" s="61"/>
      <c r="B205" s="63"/>
      <c r="C205" s="61"/>
      <c r="D205" s="61"/>
      <c r="E205" s="61"/>
      <c r="F205" s="61"/>
      <c r="G205" s="64"/>
      <c r="H205" s="65"/>
      <c r="I205" s="62"/>
      <c r="J205" s="62"/>
      <c r="K205" s="62"/>
      <c r="L205" s="64"/>
      <c r="M205" s="62"/>
      <c r="N205" s="65"/>
      <c r="O205" s="27"/>
    </row>
    <row r="206" spans="1:15" ht="24.95" customHeight="1" x14ac:dyDescent="0.2">
      <c r="A206" s="61"/>
      <c r="B206" s="63"/>
      <c r="C206" s="61"/>
      <c r="D206" s="61"/>
      <c r="E206" s="61"/>
      <c r="F206" s="61"/>
      <c r="G206" s="64"/>
      <c r="H206" s="65"/>
      <c r="I206" s="62"/>
      <c r="J206" s="62"/>
      <c r="K206" s="62"/>
      <c r="L206" s="64"/>
      <c r="M206" s="62"/>
      <c r="N206" s="65"/>
      <c r="O206" s="27"/>
    </row>
    <row r="207" spans="1:15" ht="24.95" customHeight="1" x14ac:dyDescent="0.2">
      <c r="A207" s="61"/>
      <c r="B207" s="63"/>
      <c r="C207" s="61"/>
      <c r="D207" s="61"/>
      <c r="E207" s="61"/>
      <c r="F207" s="61"/>
      <c r="G207" s="64"/>
      <c r="H207" s="65"/>
      <c r="I207" s="62"/>
      <c r="J207" s="62"/>
      <c r="K207" s="62"/>
      <c r="L207" s="64"/>
      <c r="M207" s="62"/>
      <c r="N207" s="65"/>
      <c r="O207" s="27"/>
    </row>
    <row r="208" spans="1:15" ht="24.95" customHeight="1" x14ac:dyDescent="0.2">
      <c r="A208" s="61"/>
      <c r="B208" s="63"/>
      <c r="C208" s="61"/>
      <c r="D208" s="61"/>
      <c r="E208" s="61"/>
      <c r="F208" s="61"/>
      <c r="G208" s="64"/>
      <c r="H208" s="65"/>
      <c r="I208" s="62"/>
      <c r="J208" s="62"/>
      <c r="K208" s="62"/>
      <c r="L208" s="64"/>
      <c r="M208" s="62"/>
      <c r="N208" s="65"/>
      <c r="O208" s="27"/>
    </row>
    <row r="209" spans="1:15" ht="24.95" customHeight="1" x14ac:dyDescent="0.2">
      <c r="A209" s="61"/>
      <c r="B209" s="63"/>
      <c r="C209" s="61"/>
      <c r="D209" s="61"/>
      <c r="E209" s="61"/>
      <c r="F209" s="61"/>
      <c r="G209" s="64"/>
      <c r="H209" s="65"/>
      <c r="I209" s="62"/>
      <c r="J209" s="62"/>
      <c r="K209" s="62"/>
      <c r="L209" s="64"/>
      <c r="M209" s="62"/>
      <c r="N209" s="65"/>
      <c r="O209" s="27"/>
    </row>
    <row r="210" spans="1:15" ht="24.95" customHeight="1" x14ac:dyDescent="0.2">
      <c r="A210" s="61"/>
      <c r="B210" s="63"/>
      <c r="C210" s="61"/>
      <c r="D210" s="61"/>
      <c r="E210" s="61"/>
      <c r="F210" s="61"/>
      <c r="G210" s="64"/>
      <c r="H210" s="65"/>
      <c r="I210" s="62"/>
      <c r="J210" s="62"/>
      <c r="K210" s="62"/>
      <c r="L210" s="64"/>
      <c r="M210" s="62"/>
      <c r="N210" s="65"/>
      <c r="O210" s="27"/>
    </row>
    <row r="211" spans="1:15" ht="24.95" customHeight="1" x14ac:dyDescent="0.2">
      <c r="A211" s="61"/>
      <c r="B211" s="63"/>
      <c r="C211" s="61"/>
      <c r="D211" s="61"/>
      <c r="E211" s="61"/>
      <c r="F211" s="61"/>
      <c r="G211" s="64"/>
      <c r="H211" s="65"/>
      <c r="I211" s="62"/>
      <c r="J211" s="62"/>
      <c r="K211" s="62"/>
      <c r="L211" s="64"/>
      <c r="M211" s="62"/>
      <c r="N211" s="65"/>
      <c r="O211" s="27"/>
    </row>
    <row r="212" spans="1:15" ht="24.95" customHeight="1" x14ac:dyDescent="0.2">
      <c r="A212" s="61"/>
      <c r="B212" s="63"/>
      <c r="C212" s="61"/>
      <c r="D212" s="61"/>
      <c r="E212" s="61"/>
      <c r="F212" s="61"/>
      <c r="G212" s="64"/>
      <c r="H212" s="65"/>
      <c r="I212" s="62"/>
      <c r="J212" s="62"/>
      <c r="K212" s="62"/>
      <c r="L212" s="64"/>
      <c r="M212" s="62"/>
      <c r="N212" s="65"/>
      <c r="O212" s="27"/>
    </row>
    <row r="213" spans="1:15" ht="24.95" customHeight="1" x14ac:dyDescent="0.2">
      <c r="A213" s="61"/>
      <c r="B213" s="63"/>
      <c r="C213" s="61"/>
      <c r="D213" s="61"/>
      <c r="E213" s="61"/>
      <c r="F213" s="61"/>
      <c r="G213" s="64"/>
      <c r="H213" s="65"/>
      <c r="I213" s="62"/>
      <c r="J213" s="62"/>
      <c r="K213" s="62"/>
      <c r="L213" s="64"/>
      <c r="M213" s="62"/>
      <c r="N213" s="65"/>
      <c r="O213" s="27"/>
    </row>
    <row r="214" spans="1:15" ht="24.95" customHeight="1" x14ac:dyDescent="0.2">
      <c r="A214" s="61"/>
      <c r="B214" s="63"/>
      <c r="C214" s="61"/>
      <c r="D214" s="61"/>
      <c r="E214" s="61"/>
      <c r="F214" s="61"/>
      <c r="G214" s="64"/>
      <c r="H214" s="65"/>
      <c r="I214" s="62"/>
      <c r="J214" s="62"/>
      <c r="K214" s="62"/>
      <c r="L214" s="64"/>
      <c r="M214" s="62"/>
      <c r="N214" s="65"/>
      <c r="O214" s="27"/>
    </row>
    <row r="215" spans="1:15" ht="24.95" customHeight="1" x14ac:dyDescent="0.2">
      <c r="A215" s="61"/>
      <c r="B215" s="63"/>
      <c r="C215" s="61"/>
      <c r="D215" s="61"/>
      <c r="E215" s="61"/>
      <c r="F215" s="61"/>
      <c r="G215" s="64"/>
      <c r="H215" s="65"/>
      <c r="I215" s="62"/>
      <c r="J215" s="62"/>
      <c r="K215" s="62"/>
      <c r="L215" s="64"/>
      <c r="M215" s="62"/>
      <c r="N215" s="65"/>
      <c r="O215" s="27"/>
    </row>
    <row r="216" spans="1:15" ht="24.95" customHeight="1" x14ac:dyDescent="0.2">
      <c r="A216" s="61"/>
      <c r="B216" s="63"/>
      <c r="C216" s="61"/>
      <c r="D216" s="61"/>
      <c r="E216" s="61"/>
      <c r="F216" s="61"/>
      <c r="G216" s="64"/>
      <c r="H216" s="65"/>
      <c r="I216" s="62"/>
      <c r="J216" s="62"/>
      <c r="K216" s="62"/>
      <c r="L216" s="64"/>
      <c r="M216" s="62"/>
      <c r="N216" s="65"/>
      <c r="O216" s="27"/>
    </row>
    <row r="217" spans="1:15" ht="24.95" customHeight="1" x14ac:dyDescent="0.2">
      <c r="A217" s="61"/>
      <c r="B217" s="63"/>
      <c r="C217" s="61"/>
      <c r="D217" s="61"/>
      <c r="E217" s="61"/>
      <c r="F217" s="61"/>
      <c r="G217" s="64"/>
      <c r="H217" s="65"/>
      <c r="I217" s="62"/>
      <c r="J217" s="62"/>
      <c r="K217" s="62"/>
      <c r="L217" s="64"/>
      <c r="M217" s="62"/>
      <c r="N217" s="65"/>
      <c r="O217" s="27"/>
    </row>
    <row r="218" spans="1:15" ht="24.95" customHeight="1" x14ac:dyDescent="0.2">
      <c r="A218" s="61"/>
      <c r="B218" s="63"/>
      <c r="C218" s="61"/>
      <c r="D218" s="61"/>
      <c r="E218" s="61"/>
      <c r="F218" s="61"/>
      <c r="G218" s="64"/>
      <c r="H218" s="65"/>
      <c r="I218" s="62"/>
      <c r="J218" s="62"/>
      <c r="K218" s="62"/>
      <c r="L218" s="64"/>
      <c r="M218" s="62"/>
      <c r="N218" s="65"/>
      <c r="O218" s="27"/>
    </row>
    <row r="219" spans="1:15" ht="24.95" customHeight="1" x14ac:dyDescent="0.2">
      <c r="A219" s="61"/>
      <c r="B219" s="63"/>
      <c r="C219" s="61"/>
      <c r="D219" s="61"/>
      <c r="E219" s="61"/>
      <c r="F219" s="61"/>
      <c r="G219" s="64"/>
      <c r="H219" s="65"/>
      <c r="I219" s="62"/>
      <c r="J219" s="62"/>
      <c r="K219" s="62"/>
      <c r="L219" s="64"/>
      <c r="M219" s="62"/>
      <c r="N219" s="65"/>
      <c r="O219" s="27"/>
    </row>
    <row r="220" spans="1:15" ht="24.95" customHeight="1" x14ac:dyDescent="0.2">
      <c r="A220" s="61"/>
      <c r="B220" s="63"/>
      <c r="C220" s="61"/>
      <c r="D220" s="61"/>
      <c r="E220" s="61"/>
      <c r="F220" s="61"/>
      <c r="G220" s="64"/>
      <c r="H220" s="65"/>
      <c r="I220" s="62"/>
      <c r="J220" s="62"/>
      <c r="K220" s="62"/>
      <c r="L220" s="64"/>
      <c r="M220" s="62"/>
      <c r="N220" s="65"/>
      <c r="O220" s="27"/>
    </row>
    <row r="221" spans="1:15" ht="24.95" customHeight="1" x14ac:dyDescent="0.2">
      <c r="A221" s="61"/>
      <c r="B221" s="63"/>
      <c r="C221" s="61"/>
      <c r="D221" s="61"/>
      <c r="E221" s="61"/>
      <c r="F221" s="61"/>
      <c r="G221" s="64"/>
      <c r="H221" s="65"/>
      <c r="I221" s="62"/>
      <c r="J221" s="62"/>
      <c r="K221" s="62"/>
      <c r="L221" s="64"/>
      <c r="M221" s="62"/>
      <c r="N221" s="65"/>
      <c r="O221" s="27"/>
    </row>
    <row r="222" spans="1:15" ht="24.95" customHeight="1" x14ac:dyDescent="0.2">
      <c r="A222" s="61"/>
      <c r="B222" s="63"/>
      <c r="C222" s="61"/>
      <c r="D222" s="61"/>
      <c r="E222" s="61"/>
      <c r="F222" s="61"/>
      <c r="G222" s="64"/>
      <c r="H222" s="65"/>
      <c r="I222" s="62"/>
      <c r="J222" s="62"/>
      <c r="K222" s="62"/>
      <c r="L222" s="64"/>
      <c r="M222" s="62"/>
      <c r="N222" s="65"/>
      <c r="O222" s="27"/>
    </row>
    <row r="223" spans="1:15" ht="24.95" customHeight="1" x14ac:dyDescent="0.2">
      <c r="A223" s="61"/>
      <c r="B223" s="63"/>
      <c r="C223" s="61"/>
      <c r="D223" s="61"/>
      <c r="E223" s="61"/>
      <c r="F223" s="61"/>
      <c r="G223" s="64"/>
      <c r="H223" s="65"/>
      <c r="I223" s="62"/>
      <c r="J223" s="62"/>
      <c r="K223" s="62"/>
      <c r="L223" s="64"/>
      <c r="M223" s="62"/>
      <c r="N223" s="65"/>
      <c r="O223" s="27"/>
    </row>
    <row r="224" spans="1:15" ht="24.95" customHeight="1" x14ac:dyDescent="0.2">
      <c r="A224" s="61"/>
      <c r="B224" s="63"/>
      <c r="C224" s="61"/>
      <c r="D224" s="61"/>
      <c r="E224" s="61"/>
      <c r="F224" s="61"/>
      <c r="G224" s="64"/>
      <c r="H224" s="65"/>
      <c r="I224" s="62"/>
      <c r="J224" s="62"/>
      <c r="K224" s="62"/>
      <c r="L224" s="64"/>
      <c r="M224" s="62"/>
      <c r="N224" s="65"/>
      <c r="O224" s="27"/>
    </row>
    <row r="225" spans="1:15" ht="24.95" customHeight="1" x14ac:dyDescent="0.2">
      <c r="A225" s="61"/>
      <c r="B225" s="63"/>
      <c r="C225" s="61"/>
      <c r="D225" s="61"/>
      <c r="E225" s="61"/>
      <c r="F225" s="61"/>
      <c r="G225" s="64"/>
      <c r="H225" s="65"/>
      <c r="I225" s="62"/>
      <c r="J225" s="62"/>
      <c r="K225" s="62"/>
      <c r="L225" s="64"/>
      <c r="M225" s="62"/>
      <c r="N225" s="65"/>
      <c r="O225" s="27"/>
    </row>
    <row r="226" spans="1:15" ht="24.95" customHeight="1" x14ac:dyDescent="0.2">
      <c r="A226" s="61"/>
      <c r="B226" s="63"/>
      <c r="C226" s="61"/>
      <c r="D226" s="61"/>
      <c r="E226" s="61"/>
      <c r="F226" s="61"/>
      <c r="G226" s="64"/>
      <c r="H226" s="65"/>
      <c r="I226" s="62"/>
      <c r="J226" s="62"/>
      <c r="K226" s="62"/>
      <c r="L226" s="64"/>
      <c r="M226" s="62"/>
      <c r="N226" s="65"/>
      <c r="O226" s="27"/>
    </row>
    <row r="227" spans="1:15" ht="24.95" customHeight="1" x14ac:dyDescent="0.2">
      <c r="A227" s="61"/>
      <c r="B227" s="63"/>
      <c r="C227" s="61"/>
      <c r="D227" s="61"/>
      <c r="E227" s="61"/>
      <c r="F227" s="61"/>
      <c r="G227" s="64"/>
      <c r="H227" s="65"/>
      <c r="I227" s="62"/>
      <c r="J227" s="62"/>
      <c r="K227" s="62"/>
      <c r="L227" s="64"/>
      <c r="M227" s="62"/>
      <c r="N227" s="65"/>
      <c r="O227" s="27"/>
    </row>
    <row r="228" spans="1:15" ht="24.95" customHeight="1" x14ac:dyDescent="0.2">
      <c r="A228" s="61"/>
      <c r="B228" s="63"/>
      <c r="C228" s="61"/>
      <c r="D228" s="61"/>
      <c r="E228" s="61"/>
      <c r="F228" s="61"/>
      <c r="G228" s="64"/>
      <c r="H228" s="65"/>
      <c r="I228" s="62"/>
      <c r="J228" s="62"/>
      <c r="K228" s="62"/>
      <c r="L228" s="64"/>
      <c r="M228" s="62"/>
      <c r="N228" s="65"/>
      <c r="O228" s="27"/>
    </row>
    <row r="229" spans="1:15" ht="24.95" customHeight="1" x14ac:dyDescent="0.2">
      <c r="A229" s="61"/>
      <c r="B229" s="63"/>
      <c r="C229" s="61"/>
      <c r="D229" s="61"/>
      <c r="E229" s="61"/>
      <c r="F229" s="61"/>
      <c r="G229" s="64"/>
      <c r="H229" s="65"/>
      <c r="I229" s="62"/>
      <c r="J229" s="62"/>
      <c r="K229" s="62"/>
      <c r="L229" s="64"/>
      <c r="M229" s="62"/>
      <c r="N229" s="65"/>
      <c r="O229" s="27"/>
    </row>
    <row r="230" spans="1:15" ht="24.95" customHeight="1" x14ac:dyDescent="0.2">
      <c r="A230" s="61"/>
      <c r="B230" s="63"/>
      <c r="C230" s="61"/>
      <c r="D230" s="61"/>
      <c r="E230" s="61"/>
      <c r="F230" s="61"/>
      <c r="G230" s="64"/>
      <c r="H230" s="65"/>
      <c r="I230" s="62"/>
      <c r="J230" s="62"/>
      <c r="K230" s="62"/>
      <c r="L230" s="64"/>
      <c r="M230" s="62"/>
      <c r="N230" s="65"/>
      <c r="O230" s="27"/>
    </row>
    <row r="231" spans="1:15" ht="24.95" customHeight="1" x14ac:dyDescent="0.2">
      <c r="A231" s="61"/>
      <c r="B231" s="63"/>
      <c r="C231" s="61"/>
      <c r="D231" s="61"/>
      <c r="E231" s="61"/>
      <c r="F231" s="61"/>
      <c r="G231" s="64"/>
      <c r="H231" s="65"/>
      <c r="I231" s="62"/>
      <c r="J231" s="62"/>
      <c r="K231" s="62"/>
      <c r="L231" s="64"/>
      <c r="M231" s="62"/>
      <c r="N231" s="65"/>
      <c r="O231" s="27"/>
    </row>
    <row r="232" spans="1:15" ht="24.95" customHeight="1" x14ac:dyDescent="0.2">
      <c r="A232" s="61"/>
      <c r="B232" s="63"/>
      <c r="C232" s="61"/>
      <c r="D232" s="61"/>
      <c r="E232" s="61"/>
      <c r="F232" s="61"/>
      <c r="G232" s="64"/>
      <c r="H232" s="65"/>
      <c r="I232" s="62"/>
      <c r="J232" s="62"/>
      <c r="K232" s="62"/>
      <c r="L232" s="64"/>
      <c r="M232" s="62"/>
      <c r="N232" s="65"/>
      <c r="O232" s="27"/>
    </row>
    <row r="233" spans="1:15" ht="24.95" customHeight="1" x14ac:dyDescent="0.2">
      <c r="A233" s="61"/>
      <c r="B233" s="63"/>
      <c r="C233" s="61"/>
      <c r="D233" s="61"/>
      <c r="E233" s="61"/>
      <c r="F233" s="61"/>
      <c r="G233" s="64"/>
      <c r="H233" s="65"/>
      <c r="I233" s="62"/>
      <c r="J233" s="62"/>
      <c r="K233" s="62"/>
      <c r="L233" s="64"/>
      <c r="M233" s="62"/>
      <c r="N233" s="65"/>
      <c r="O233" s="27"/>
    </row>
    <row r="234" spans="1:15" ht="24.95" customHeight="1" x14ac:dyDescent="0.2">
      <c r="A234" s="61"/>
      <c r="B234" s="63"/>
      <c r="C234" s="61"/>
      <c r="D234" s="61"/>
      <c r="E234" s="61"/>
      <c r="F234" s="61"/>
      <c r="G234" s="64"/>
      <c r="H234" s="65"/>
      <c r="I234" s="62"/>
      <c r="J234" s="62"/>
      <c r="K234" s="62"/>
      <c r="L234" s="64"/>
      <c r="M234" s="62"/>
      <c r="N234" s="65"/>
      <c r="O234" s="27"/>
    </row>
    <row r="235" spans="1:15" ht="24.95" customHeight="1" x14ac:dyDescent="0.2">
      <c r="A235" s="61"/>
      <c r="B235" s="63"/>
      <c r="C235" s="61"/>
      <c r="D235" s="61"/>
      <c r="E235" s="61"/>
      <c r="F235" s="61"/>
      <c r="G235" s="64"/>
      <c r="H235" s="65"/>
      <c r="I235" s="62"/>
      <c r="J235" s="62"/>
      <c r="K235" s="62"/>
      <c r="L235" s="64"/>
      <c r="M235" s="62"/>
      <c r="N235" s="65"/>
      <c r="O235" s="27"/>
    </row>
    <row r="236" spans="1:15" ht="24.95" customHeight="1" x14ac:dyDescent="0.2">
      <c r="A236" s="61"/>
      <c r="B236" s="63"/>
      <c r="C236" s="61"/>
      <c r="D236" s="61"/>
      <c r="E236" s="61"/>
      <c r="F236" s="61"/>
      <c r="G236" s="64"/>
      <c r="H236" s="65"/>
      <c r="I236" s="62"/>
      <c r="J236" s="62"/>
      <c r="K236" s="62"/>
      <c r="L236" s="64"/>
      <c r="M236" s="62"/>
      <c r="N236" s="65"/>
      <c r="O236" s="27"/>
    </row>
    <row r="237" spans="1:15" ht="24.95" customHeight="1" x14ac:dyDescent="0.2">
      <c r="A237" s="61"/>
      <c r="B237" s="63"/>
      <c r="C237" s="61"/>
      <c r="D237" s="61"/>
      <c r="E237" s="61"/>
      <c r="F237" s="61"/>
      <c r="G237" s="64"/>
      <c r="H237" s="65"/>
      <c r="I237" s="62"/>
      <c r="J237" s="62"/>
      <c r="K237" s="62"/>
      <c r="L237" s="64"/>
      <c r="M237" s="62"/>
      <c r="N237" s="65"/>
      <c r="O237" s="27"/>
    </row>
    <row r="238" spans="1:15" ht="24.95" customHeight="1" x14ac:dyDescent="0.2">
      <c r="A238" s="61"/>
      <c r="B238" s="63"/>
      <c r="C238" s="61"/>
      <c r="D238" s="61"/>
      <c r="E238" s="61"/>
      <c r="F238" s="61"/>
      <c r="G238" s="64"/>
      <c r="H238" s="65"/>
      <c r="I238" s="62"/>
      <c r="J238" s="62"/>
      <c r="K238" s="62"/>
      <c r="L238" s="64"/>
      <c r="M238" s="62"/>
      <c r="N238" s="65"/>
      <c r="O238" s="27"/>
    </row>
    <row r="239" spans="1:15" ht="24.95" customHeight="1" x14ac:dyDescent="0.2">
      <c r="A239" s="61"/>
      <c r="B239" s="63"/>
      <c r="C239" s="61"/>
      <c r="D239" s="61"/>
      <c r="E239" s="61"/>
      <c r="F239" s="61"/>
      <c r="G239" s="64"/>
      <c r="H239" s="65"/>
      <c r="I239" s="62"/>
      <c r="J239" s="62"/>
      <c r="K239" s="62"/>
      <c r="L239" s="64"/>
      <c r="M239" s="62"/>
      <c r="N239" s="65"/>
      <c r="O239" s="27"/>
    </row>
    <row r="240" spans="1:15" ht="24.95" customHeight="1" x14ac:dyDescent="0.2">
      <c r="A240" s="61"/>
      <c r="B240" s="63"/>
      <c r="C240" s="61"/>
      <c r="D240" s="61"/>
      <c r="E240" s="61"/>
      <c r="F240" s="61"/>
      <c r="G240" s="64"/>
      <c r="H240" s="65"/>
      <c r="I240" s="62"/>
      <c r="J240" s="62"/>
      <c r="K240" s="62"/>
      <c r="L240" s="64"/>
      <c r="M240" s="62"/>
      <c r="N240" s="65"/>
      <c r="O240" s="27"/>
    </row>
    <row r="241" spans="1:15" ht="24.95" customHeight="1" x14ac:dyDescent="0.2">
      <c r="A241" s="61"/>
      <c r="B241" s="63"/>
      <c r="C241" s="61"/>
      <c r="D241" s="61"/>
      <c r="E241" s="61"/>
      <c r="F241" s="61"/>
      <c r="G241" s="64"/>
      <c r="H241" s="65"/>
      <c r="I241" s="62"/>
      <c r="J241" s="62"/>
      <c r="K241" s="62"/>
      <c r="L241" s="64"/>
      <c r="M241" s="62"/>
      <c r="N241" s="65"/>
      <c r="O241" s="27"/>
    </row>
    <row r="242" spans="1:15" ht="24.95" customHeight="1" x14ac:dyDescent="0.2">
      <c r="A242" s="61"/>
      <c r="B242" s="63"/>
      <c r="C242" s="61"/>
      <c r="D242" s="61"/>
      <c r="E242" s="61"/>
      <c r="F242" s="61"/>
      <c r="G242" s="64"/>
      <c r="H242" s="65"/>
      <c r="I242" s="62"/>
      <c r="J242" s="62"/>
      <c r="K242" s="62"/>
      <c r="L242" s="64"/>
      <c r="M242" s="62"/>
      <c r="N242" s="65"/>
      <c r="O242" s="27"/>
    </row>
    <row r="243" spans="1:15" ht="24.95" customHeight="1" x14ac:dyDescent="0.2">
      <c r="A243" s="61"/>
      <c r="B243" s="63"/>
      <c r="C243" s="61"/>
      <c r="D243" s="61"/>
      <c r="E243" s="61"/>
      <c r="F243" s="61"/>
      <c r="G243" s="64"/>
      <c r="H243" s="65"/>
      <c r="I243" s="62"/>
      <c r="J243" s="62"/>
      <c r="K243" s="62"/>
      <c r="L243" s="64"/>
      <c r="M243" s="62"/>
      <c r="N243" s="65"/>
      <c r="O243" s="27"/>
    </row>
    <row r="244" spans="1:15" ht="24.95" customHeight="1" x14ac:dyDescent="0.2">
      <c r="A244" s="61"/>
      <c r="B244" s="63"/>
      <c r="C244" s="61"/>
      <c r="D244" s="61"/>
      <c r="E244" s="61"/>
      <c r="F244" s="61"/>
      <c r="G244" s="64"/>
      <c r="H244" s="65"/>
      <c r="I244" s="62"/>
      <c r="J244" s="62"/>
      <c r="K244" s="62"/>
      <c r="L244" s="64"/>
      <c r="M244" s="62"/>
      <c r="N244" s="65"/>
      <c r="O244" s="27"/>
    </row>
    <row r="245" spans="1:15" ht="24.95" customHeight="1" x14ac:dyDescent="0.2">
      <c r="A245" s="61"/>
      <c r="B245" s="63"/>
      <c r="C245" s="61"/>
      <c r="D245" s="61"/>
      <c r="E245" s="61"/>
      <c r="F245" s="61"/>
      <c r="G245" s="64"/>
      <c r="H245" s="65"/>
      <c r="I245" s="62"/>
      <c r="J245" s="62"/>
      <c r="K245" s="62"/>
      <c r="L245" s="64"/>
      <c r="M245" s="62"/>
      <c r="N245" s="65"/>
      <c r="O245" s="27"/>
    </row>
    <row r="246" spans="1:15" ht="24.95" customHeight="1" x14ac:dyDescent="0.2">
      <c r="A246" s="61"/>
      <c r="B246" s="63"/>
      <c r="C246" s="61"/>
      <c r="D246" s="61"/>
      <c r="E246" s="61"/>
      <c r="F246" s="61"/>
      <c r="G246" s="64"/>
      <c r="H246" s="65"/>
      <c r="I246" s="62"/>
      <c r="J246" s="62"/>
      <c r="K246" s="62"/>
      <c r="L246" s="64"/>
      <c r="M246" s="62"/>
      <c r="N246" s="65"/>
      <c r="O246" s="27"/>
    </row>
    <row r="247" spans="1:15" ht="24.95" customHeight="1" x14ac:dyDescent="0.2">
      <c r="A247" s="61"/>
      <c r="B247" s="63"/>
      <c r="C247" s="61"/>
      <c r="D247" s="61"/>
      <c r="E247" s="61"/>
      <c r="F247" s="61"/>
      <c r="G247" s="64"/>
      <c r="H247" s="65"/>
      <c r="I247" s="62"/>
      <c r="J247" s="62"/>
      <c r="K247" s="62"/>
      <c r="L247" s="64"/>
      <c r="M247" s="62"/>
      <c r="N247" s="65"/>
      <c r="O247" s="27"/>
    </row>
    <row r="248" spans="1:15" ht="24.95" customHeight="1" x14ac:dyDescent="0.2">
      <c r="A248" s="61"/>
      <c r="B248" s="63"/>
      <c r="C248" s="61"/>
      <c r="D248" s="61"/>
      <c r="E248" s="61"/>
      <c r="F248" s="61"/>
      <c r="G248" s="64"/>
      <c r="H248" s="65"/>
      <c r="I248" s="62"/>
      <c r="J248" s="62"/>
      <c r="K248" s="62"/>
      <c r="L248" s="64"/>
      <c r="M248" s="62"/>
      <c r="N248" s="65"/>
      <c r="O248" s="27"/>
    </row>
    <row r="249" spans="1:15" ht="24.95" customHeight="1" x14ac:dyDescent="0.2">
      <c r="A249" s="61"/>
      <c r="B249" s="63"/>
      <c r="C249" s="61"/>
      <c r="D249" s="61"/>
      <c r="E249" s="61"/>
      <c r="F249" s="61"/>
      <c r="G249" s="64"/>
      <c r="H249" s="65"/>
      <c r="I249" s="62"/>
      <c r="J249" s="62"/>
      <c r="K249" s="62"/>
      <c r="L249" s="64"/>
      <c r="M249" s="62"/>
      <c r="N249" s="65"/>
      <c r="O249" s="27"/>
    </row>
    <row r="250" spans="1:15" ht="24.95" customHeight="1" x14ac:dyDescent="0.2">
      <c r="A250" s="61"/>
      <c r="B250" s="63"/>
      <c r="C250" s="61"/>
      <c r="D250" s="61"/>
      <c r="E250" s="61"/>
      <c r="F250" s="61"/>
      <c r="G250" s="64"/>
      <c r="H250" s="65"/>
      <c r="I250" s="62"/>
      <c r="J250" s="62"/>
      <c r="K250" s="62"/>
      <c r="L250" s="64"/>
      <c r="M250" s="62"/>
      <c r="N250" s="65"/>
      <c r="O250" s="27"/>
    </row>
    <row r="251" spans="1:15" ht="24.95" customHeight="1" x14ac:dyDescent="0.2">
      <c r="A251" s="61"/>
      <c r="B251" s="63"/>
      <c r="C251" s="61"/>
      <c r="D251" s="61"/>
      <c r="E251" s="61"/>
      <c r="F251" s="61"/>
      <c r="G251" s="64"/>
      <c r="H251" s="65"/>
      <c r="I251" s="62"/>
      <c r="J251" s="62"/>
      <c r="K251" s="62"/>
      <c r="L251" s="64"/>
      <c r="M251" s="62"/>
      <c r="N251" s="65"/>
      <c r="O251" s="27"/>
    </row>
    <row r="252" spans="1:15" ht="24.95" customHeight="1" x14ac:dyDescent="0.2">
      <c r="A252" s="61"/>
      <c r="B252" s="63"/>
      <c r="C252" s="61"/>
      <c r="D252" s="61"/>
      <c r="E252" s="61"/>
      <c r="F252" s="61"/>
      <c r="G252" s="64"/>
      <c r="H252" s="65"/>
      <c r="I252" s="62"/>
      <c r="J252" s="62"/>
      <c r="K252" s="62"/>
      <c r="L252" s="64"/>
      <c r="M252" s="62"/>
      <c r="N252" s="65"/>
      <c r="O252" s="27"/>
    </row>
    <row r="253" spans="1:15" ht="24.95" customHeight="1" x14ac:dyDescent="0.2">
      <c r="A253" s="61"/>
      <c r="B253" s="63"/>
      <c r="C253" s="61"/>
      <c r="D253" s="61"/>
      <c r="E253" s="61"/>
      <c r="F253" s="61"/>
      <c r="G253" s="64"/>
      <c r="H253" s="65"/>
      <c r="I253" s="62"/>
      <c r="J253" s="62"/>
      <c r="K253" s="62"/>
      <c r="L253" s="64"/>
      <c r="M253" s="62"/>
      <c r="N253" s="65"/>
      <c r="O253" s="27"/>
    </row>
    <row r="254" spans="1:15" ht="24.95" customHeight="1" x14ac:dyDescent="0.2">
      <c r="A254" s="61"/>
      <c r="B254" s="63"/>
      <c r="C254" s="61"/>
      <c r="D254" s="61"/>
      <c r="E254" s="61"/>
      <c r="F254" s="61"/>
      <c r="G254" s="64"/>
      <c r="H254" s="65"/>
      <c r="I254" s="62"/>
      <c r="J254" s="62"/>
      <c r="K254" s="62"/>
      <c r="L254" s="64"/>
      <c r="M254" s="62"/>
      <c r="N254" s="65"/>
      <c r="O254" s="27"/>
    </row>
    <row r="255" spans="1:15" ht="24.95" customHeight="1" x14ac:dyDescent="0.2">
      <c r="A255" s="61"/>
      <c r="B255" s="63"/>
      <c r="C255" s="61"/>
      <c r="D255" s="61"/>
      <c r="E255" s="61"/>
      <c r="F255" s="61"/>
      <c r="G255" s="64"/>
      <c r="H255" s="65"/>
      <c r="I255" s="62"/>
      <c r="J255" s="62"/>
      <c r="K255" s="62"/>
      <c r="L255" s="64"/>
      <c r="M255" s="62"/>
      <c r="N255" s="65"/>
      <c r="O255" s="27"/>
    </row>
    <row r="256" spans="1:15" ht="24.95" customHeight="1" x14ac:dyDescent="0.2">
      <c r="A256" s="61"/>
      <c r="B256" s="63"/>
      <c r="C256" s="61"/>
      <c r="D256" s="61"/>
      <c r="E256" s="61"/>
      <c r="F256" s="61"/>
      <c r="G256" s="64"/>
      <c r="H256" s="65"/>
      <c r="I256" s="62"/>
      <c r="J256" s="62"/>
      <c r="K256" s="62"/>
      <c r="L256" s="64"/>
      <c r="M256" s="62"/>
      <c r="N256" s="65"/>
      <c r="O256" s="27"/>
    </row>
    <row r="257" spans="1:15" ht="24.95" customHeight="1" x14ac:dyDescent="0.2">
      <c r="A257" s="61"/>
      <c r="B257" s="63"/>
      <c r="C257" s="61"/>
      <c r="D257" s="61"/>
      <c r="E257" s="61"/>
      <c r="F257" s="61"/>
      <c r="G257" s="64"/>
      <c r="H257" s="65"/>
      <c r="I257" s="62"/>
      <c r="J257" s="62"/>
      <c r="K257" s="62"/>
      <c r="L257" s="64"/>
      <c r="M257" s="62"/>
      <c r="N257" s="65"/>
      <c r="O257" s="27"/>
    </row>
    <row r="258" spans="1:15" ht="24.95" customHeight="1" x14ac:dyDescent="0.2">
      <c r="A258" s="61"/>
      <c r="B258" s="63"/>
      <c r="C258" s="61"/>
      <c r="D258" s="61"/>
      <c r="E258" s="61"/>
      <c r="F258" s="61"/>
      <c r="G258" s="64"/>
      <c r="H258" s="65"/>
      <c r="I258" s="62"/>
      <c r="J258" s="62"/>
      <c r="K258" s="62"/>
      <c r="L258" s="64"/>
      <c r="M258" s="62"/>
      <c r="N258" s="65"/>
      <c r="O258" s="27"/>
    </row>
    <row r="259" spans="1:15" ht="24.95" customHeight="1" x14ac:dyDescent="0.2">
      <c r="A259" s="61"/>
      <c r="B259" s="63"/>
      <c r="C259" s="61"/>
      <c r="D259" s="61"/>
      <c r="E259" s="61"/>
      <c r="F259" s="61"/>
      <c r="G259" s="64"/>
      <c r="H259" s="65"/>
      <c r="I259" s="62"/>
      <c r="J259" s="62"/>
      <c r="K259" s="62"/>
      <c r="L259" s="64"/>
      <c r="M259" s="62"/>
      <c r="N259" s="65"/>
      <c r="O259" s="27"/>
    </row>
    <row r="260" spans="1:15" ht="24.95" customHeight="1" x14ac:dyDescent="0.2">
      <c r="A260" s="61"/>
      <c r="B260" s="63"/>
      <c r="C260" s="61"/>
      <c r="D260" s="61"/>
      <c r="E260" s="61"/>
      <c r="F260" s="61"/>
      <c r="G260" s="64"/>
      <c r="H260" s="65"/>
      <c r="I260" s="62"/>
      <c r="J260" s="62"/>
      <c r="K260" s="62"/>
      <c r="L260" s="64"/>
      <c r="M260" s="62"/>
      <c r="N260" s="65"/>
      <c r="O260" s="27"/>
    </row>
    <row r="261" spans="1:15" ht="24.95" customHeight="1" x14ac:dyDescent="0.2">
      <c r="A261" s="61"/>
      <c r="B261" s="63"/>
      <c r="C261" s="61"/>
      <c r="D261" s="61"/>
      <c r="E261" s="61"/>
      <c r="F261" s="61"/>
      <c r="G261" s="64"/>
      <c r="H261" s="65"/>
      <c r="I261" s="62"/>
      <c r="J261" s="62"/>
      <c r="K261" s="62"/>
      <c r="L261" s="64"/>
      <c r="M261" s="62"/>
      <c r="N261" s="65"/>
      <c r="O261" s="27"/>
    </row>
    <row r="262" spans="1:15" ht="24.95" customHeight="1" x14ac:dyDescent="0.2">
      <c r="A262" s="61"/>
      <c r="B262" s="63"/>
      <c r="C262" s="61"/>
      <c r="D262" s="61"/>
      <c r="E262" s="61"/>
      <c r="F262" s="61"/>
      <c r="G262" s="64"/>
      <c r="H262" s="65"/>
      <c r="I262" s="62"/>
      <c r="J262" s="62"/>
      <c r="K262" s="62"/>
      <c r="L262" s="64"/>
      <c r="M262" s="62"/>
      <c r="N262" s="65"/>
      <c r="O262" s="27"/>
    </row>
    <row r="263" spans="1:15" ht="24.95" customHeight="1" x14ac:dyDescent="0.2">
      <c r="A263" s="61"/>
      <c r="B263" s="63"/>
      <c r="C263" s="61"/>
      <c r="D263" s="61"/>
      <c r="E263" s="61"/>
      <c r="F263" s="61"/>
      <c r="G263" s="64"/>
      <c r="H263" s="65"/>
      <c r="I263" s="62"/>
      <c r="J263" s="62"/>
      <c r="K263" s="62"/>
      <c r="L263" s="64"/>
      <c r="M263" s="62"/>
      <c r="N263" s="65"/>
      <c r="O263" s="27"/>
    </row>
    <row r="264" spans="1:15" ht="24.95" customHeight="1" x14ac:dyDescent="0.2">
      <c r="A264" s="61"/>
      <c r="B264" s="63"/>
      <c r="C264" s="61"/>
      <c r="D264" s="61"/>
      <c r="E264" s="61"/>
      <c r="F264" s="61"/>
      <c r="G264" s="64"/>
      <c r="H264" s="65"/>
      <c r="I264" s="62"/>
      <c r="J264" s="62"/>
      <c r="K264" s="62"/>
      <c r="L264" s="64"/>
      <c r="M264" s="62"/>
      <c r="N264" s="65"/>
      <c r="O264" s="27"/>
    </row>
    <row r="265" spans="1:15" ht="24.95" customHeight="1" x14ac:dyDescent="0.2">
      <c r="A265" s="61"/>
      <c r="B265" s="63"/>
      <c r="C265" s="61"/>
      <c r="D265" s="61"/>
      <c r="E265" s="61"/>
      <c r="F265" s="61"/>
      <c r="G265" s="64"/>
      <c r="H265" s="65"/>
      <c r="I265" s="62"/>
      <c r="J265" s="62"/>
      <c r="K265" s="62"/>
      <c r="L265" s="64"/>
      <c r="M265" s="62"/>
      <c r="N265" s="65"/>
      <c r="O265" s="27"/>
    </row>
    <row r="266" spans="1:15" ht="24.95" customHeight="1" x14ac:dyDescent="0.2">
      <c r="A266" s="61"/>
      <c r="B266" s="63"/>
      <c r="C266" s="61"/>
      <c r="D266" s="61"/>
      <c r="E266" s="61"/>
      <c r="F266" s="61"/>
      <c r="G266" s="64"/>
      <c r="H266" s="65"/>
      <c r="I266" s="62"/>
      <c r="J266" s="62"/>
      <c r="K266" s="62"/>
      <c r="L266" s="64"/>
      <c r="M266" s="62"/>
      <c r="N266" s="65"/>
      <c r="O266" s="27"/>
    </row>
    <row r="267" spans="1:15" ht="24.95" customHeight="1" x14ac:dyDescent="0.2">
      <c r="A267" s="61"/>
      <c r="B267" s="63"/>
      <c r="C267" s="61"/>
      <c r="D267" s="61"/>
      <c r="E267" s="61"/>
      <c r="F267" s="61"/>
      <c r="G267" s="64"/>
      <c r="H267" s="65"/>
      <c r="I267" s="62"/>
      <c r="J267" s="62"/>
      <c r="K267" s="62"/>
      <c r="L267" s="64"/>
      <c r="M267" s="62"/>
      <c r="N267" s="65"/>
      <c r="O267" s="27"/>
    </row>
    <row r="268" spans="1:15" ht="24.95" customHeight="1" x14ac:dyDescent="0.2">
      <c r="A268" s="61"/>
      <c r="B268" s="63"/>
      <c r="C268" s="61"/>
      <c r="D268" s="61"/>
      <c r="E268" s="61"/>
      <c r="F268" s="61"/>
      <c r="G268" s="64"/>
      <c r="H268" s="65"/>
      <c r="I268" s="62"/>
      <c r="J268" s="62"/>
      <c r="K268" s="62"/>
      <c r="L268" s="64"/>
      <c r="M268" s="62"/>
      <c r="N268" s="65"/>
      <c r="O268" s="27"/>
    </row>
    <row r="269" spans="1:15" ht="24.95" customHeight="1" x14ac:dyDescent="0.2">
      <c r="A269" s="61"/>
      <c r="B269" s="63"/>
      <c r="C269" s="61"/>
      <c r="D269" s="61"/>
      <c r="E269" s="61"/>
      <c r="F269" s="61"/>
      <c r="G269" s="64"/>
      <c r="H269" s="65"/>
      <c r="I269" s="62"/>
      <c r="J269" s="62"/>
      <c r="K269" s="62"/>
      <c r="L269" s="64"/>
      <c r="M269" s="62"/>
      <c r="N269" s="65"/>
      <c r="O269" s="27"/>
    </row>
    <row r="270" spans="1:15" ht="24.95" customHeight="1" x14ac:dyDescent="0.2">
      <c r="A270" s="61"/>
      <c r="B270" s="63"/>
      <c r="C270" s="61"/>
      <c r="D270" s="61"/>
      <c r="E270" s="61"/>
      <c r="F270" s="61"/>
      <c r="G270" s="64"/>
      <c r="H270" s="65"/>
      <c r="I270" s="62"/>
      <c r="J270" s="62"/>
      <c r="K270" s="62"/>
      <c r="L270" s="64"/>
      <c r="M270" s="62"/>
      <c r="N270" s="65"/>
      <c r="O270" s="27"/>
    </row>
    <row r="271" spans="1:15" ht="24.95" customHeight="1" x14ac:dyDescent="0.2">
      <c r="A271" s="61"/>
      <c r="B271" s="63"/>
      <c r="C271" s="61"/>
      <c r="D271" s="61"/>
      <c r="E271" s="61"/>
      <c r="F271" s="61"/>
      <c r="G271" s="64"/>
      <c r="H271" s="65"/>
      <c r="I271" s="62"/>
      <c r="J271" s="62"/>
      <c r="K271" s="62"/>
      <c r="L271" s="64"/>
      <c r="M271" s="62"/>
      <c r="N271" s="65"/>
      <c r="O271" s="27"/>
    </row>
    <row r="272" spans="1:15" ht="24.95" customHeight="1" x14ac:dyDescent="0.2">
      <c r="A272" s="61"/>
      <c r="B272" s="63"/>
      <c r="C272" s="61"/>
      <c r="D272" s="61"/>
      <c r="E272" s="61"/>
      <c r="F272" s="61"/>
      <c r="G272" s="64"/>
      <c r="H272" s="65"/>
      <c r="I272" s="62"/>
      <c r="J272" s="62"/>
      <c r="K272" s="62"/>
      <c r="L272" s="64"/>
      <c r="M272" s="62"/>
      <c r="N272" s="65"/>
      <c r="O272" s="27"/>
    </row>
    <row r="273" spans="1:15" ht="24.95" customHeight="1" x14ac:dyDescent="0.2">
      <c r="A273" s="61"/>
      <c r="B273" s="63"/>
      <c r="C273" s="61"/>
      <c r="D273" s="61"/>
      <c r="E273" s="61"/>
      <c r="F273" s="61"/>
      <c r="G273" s="64"/>
      <c r="H273" s="65"/>
      <c r="I273" s="62"/>
      <c r="J273" s="62"/>
      <c r="K273" s="62"/>
      <c r="L273" s="64"/>
      <c r="M273" s="62"/>
      <c r="N273" s="65"/>
      <c r="O273" s="27"/>
    </row>
    <row r="274" spans="1:15" ht="24.95" customHeight="1" x14ac:dyDescent="0.2">
      <c r="A274" s="61"/>
      <c r="B274" s="63"/>
      <c r="C274" s="61"/>
      <c r="D274" s="61"/>
      <c r="E274" s="61"/>
      <c r="F274" s="61"/>
      <c r="G274" s="64"/>
      <c r="H274" s="65"/>
      <c r="I274" s="62"/>
      <c r="J274" s="62"/>
      <c r="K274" s="62"/>
      <c r="L274" s="64"/>
      <c r="M274" s="62"/>
      <c r="N274" s="65"/>
      <c r="O274" s="27"/>
    </row>
    <row r="275" spans="1:15" ht="24.95" customHeight="1" x14ac:dyDescent="0.2">
      <c r="A275" s="61"/>
      <c r="B275" s="63"/>
      <c r="C275" s="61"/>
      <c r="D275" s="61"/>
      <c r="E275" s="61"/>
      <c r="F275" s="61"/>
      <c r="G275" s="64"/>
      <c r="H275" s="65"/>
      <c r="I275" s="62"/>
      <c r="J275" s="62"/>
      <c r="K275" s="62"/>
      <c r="L275" s="64"/>
      <c r="M275" s="62"/>
      <c r="N275" s="65"/>
      <c r="O275" s="27"/>
    </row>
    <row r="276" spans="1:15" ht="24.95" customHeight="1" x14ac:dyDescent="0.2">
      <c r="A276" s="61"/>
      <c r="B276" s="63"/>
      <c r="C276" s="61"/>
      <c r="D276" s="61"/>
      <c r="E276" s="61"/>
      <c r="F276" s="61"/>
      <c r="G276" s="64"/>
      <c r="H276" s="65"/>
      <c r="I276" s="62"/>
      <c r="J276" s="62"/>
      <c r="K276" s="62"/>
      <c r="L276" s="64"/>
      <c r="M276" s="62"/>
      <c r="N276" s="65"/>
      <c r="O276" s="27"/>
    </row>
    <row r="277" spans="1:15" ht="24.95" customHeight="1" x14ac:dyDescent="0.2">
      <c r="A277" s="61"/>
      <c r="B277" s="63"/>
      <c r="C277" s="61"/>
      <c r="D277" s="61"/>
      <c r="E277" s="61"/>
      <c r="F277" s="61"/>
      <c r="G277" s="64"/>
      <c r="H277" s="65"/>
      <c r="I277" s="62"/>
      <c r="J277" s="62"/>
      <c r="K277" s="62"/>
      <c r="L277" s="64"/>
      <c r="M277" s="62"/>
      <c r="N277" s="65"/>
      <c r="O277" s="27"/>
    </row>
    <row r="278" spans="1:15" ht="24.95" customHeight="1" x14ac:dyDescent="0.2">
      <c r="A278" s="61"/>
      <c r="B278" s="63"/>
      <c r="C278" s="61"/>
      <c r="D278" s="61"/>
      <c r="E278" s="61"/>
      <c r="F278" s="61"/>
      <c r="G278" s="64"/>
      <c r="H278" s="65"/>
      <c r="I278" s="62"/>
      <c r="J278" s="62"/>
      <c r="K278" s="62"/>
      <c r="L278" s="64"/>
      <c r="M278" s="62"/>
      <c r="N278" s="65"/>
      <c r="O278" s="27"/>
    </row>
    <row r="279" spans="1:15" ht="24.95" customHeight="1" x14ac:dyDescent="0.2">
      <c r="A279" s="61"/>
      <c r="B279" s="63"/>
      <c r="C279" s="61"/>
      <c r="D279" s="61"/>
      <c r="E279" s="61"/>
      <c r="F279" s="61"/>
      <c r="G279" s="64"/>
      <c r="H279" s="65"/>
      <c r="I279" s="62"/>
      <c r="J279" s="62"/>
      <c r="K279" s="62"/>
      <c r="L279" s="64"/>
      <c r="M279" s="62"/>
      <c r="N279" s="65"/>
      <c r="O279" s="27"/>
    </row>
    <row r="280" spans="1:15" ht="24.95" customHeight="1" x14ac:dyDescent="0.2">
      <c r="A280" s="61"/>
      <c r="B280" s="63"/>
      <c r="C280" s="61"/>
      <c r="D280" s="61"/>
      <c r="E280" s="61"/>
      <c r="F280" s="61"/>
      <c r="G280" s="64"/>
      <c r="H280" s="65"/>
      <c r="I280" s="62"/>
      <c r="J280" s="62"/>
      <c r="K280" s="62"/>
      <c r="L280" s="64"/>
      <c r="M280" s="62"/>
      <c r="N280" s="65"/>
      <c r="O280" s="27"/>
    </row>
    <row r="281" spans="1:15" ht="24.95" customHeight="1" x14ac:dyDescent="0.2">
      <c r="A281" s="61"/>
      <c r="B281" s="63"/>
      <c r="C281" s="61"/>
      <c r="D281" s="61"/>
      <c r="E281" s="61"/>
      <c r="F281" s="61"/>
      <c r="G281" s="64"/>
      <c r="H281" s="65"/>
      <c r="I281" s="62"/>
      <c r="J281" s="62"/>
      <c r="K281" s="62"/>
      <c r="L281" s="64"/>
      <c r="M281" s="62"/>
      <c r="N281" s="65"/>
      <c r="O281" s="27"/>
    </row>
    <row r="282" spans="1:15" ht="24.95" customHeight="1" x14ac:dyDescent="0.2">
      <c r="A282" s="61"/>
      <c r="B282" s="63"/>
      <c r="C282" s="61"/>
      <c r="D282" s="61"/>
      <c r="E282" s="61"/>
      <c r="F282" s="61"/>
      <c r="G282" s="64"/>
      <c r="H282" s="65"/>
      <c r="I282" s="62"/>
      <c r="J282" s="62"/>
      <c r="K282" s="62"/>
      <c r="L282" s="64"/>
      <c r="M282" s="62"/>
      <c r="N282" s="65"/>
      <c r="O282" s="27"/>
    </row>
    <row r="283" spans="1:15" ht="24.95" customHeight="1" x14ac:dyDescent="0.2">
      <c r="A283" s="61"/>
      <c r="B283" s="63"/>
      <c r="C283" s="61"/>
      <c r="D283" s="61"/>
      <c r="E283" s="61"/>
      <c r="F283" s="61"/>
      <c r="G283" s="64"/>
      <c r="H283" s="65"/>
      <c r="I283" s="62"/>
      <c r="J283" s="62"/>
      <c r="K283" s="62"/>
      <c r="L283" s="64"/>
      <c r="M283" s="62"/>
      <c r="N283" s="65"/>
      <c r="O283" s="27"/>
    </row>
    <row r="284" spans="1:15" ht="24.95" customHeight="1" x14ac:dyDescent="0.2">
      <c r="A284" s="61"/>
      <c r="B284" s="63"/>
      <c r="C284" s="61"/>
      <c r="D284" s="61"/>
      <c r="E284" s="61"/>
      <c r="F284" s="61"/>
      <c r="G284" s="64"/>
      <c r="H284" s="65"/>
      <c r="I284" s="62"/>
      <c r="J284" s="62"/>
      <c r="K284" s="62"/>
      <c r="L284" s="64"/>
      <c r="M284" s="62"/>
      <c r="N284" s="65"/>
      <c r="O284" s="27"/>
    </row>
    <row r="285" spans="1:15" ht="24.95" customHeight="1" x14ac:dyDescent="0.2">
      <c r="A285" s="61"/>
      <c r="B285" s="63"/>
      <c r="C285" s="61"/>
      <c r="D285" s="61"/>
      <c r="E285" s="61"/>
      <c r="F285" s="61"/>
      <c r="G285" s="64"/>
      <c r="H285" s="65"/>
      <c r="I285" s="62"/>
      <c r="J285" s="62"/>
      <c r="K285" s="62"/>
      <c r="L285" s="64"/>
      <c r="M285" s="62"/>
      <c r="N285" s="65"/>
      <c r="O285" s="27"/>
    </row>
    <row r="286" spans="1:15" ht="24.95" customHeight="1" x14ac:dyDescent="0.2">
      <c r="A286" s="61"/>
      <c r="B286" s="63"/>
      <c r="C286" s="61"/>
      <c r="D286" s="61"/>
      <c r="E286" s="61"/>
      <c r="F286" s="61"/>
      <c r="G286" s="64"/>
      <c r="H286" s="65"/>
      <c r="I286" s="62"/>
      <c r="J286" s="62"/>
      <c r="K286" s="62"/>
      <c r="L286" s="64"/>
      <c r="M286" s="62"/>
      <c r="N286" s="65"/>
      <c r="O286" s="27"/>
    </row>
    <row r="287" spans="1:15" ht="24.95" customHeight="1" x14ac:dyDescent="0.2">
      <c r="A287" s="61"/>
      <c r="B287" s="63"/>
      <c r="C287" s="61"/>
      <c r="D287" s="61"/>
      <c r="E287" s="61"/>
      <c r="F287" s="61"/>
      <c r="G287" s="64"/>
      <c r="H287" s="65"/>
      <c r="I287" s="62"/>
      <c r="J287" s="62"/>
      <c r="K287" s="62"/>
      <c r="L287" s="64"/>
      <c r="M287" s="62"/>
      <c r="N287" s="65"/>
      <c r="O287" s="27"/>
    </row>
    <row r="288" spans="1:15" ht="24.95" customHeight="1" x14ac:dyDescent="0.2">
      <c r="A288" s="61"/>
      <c r="B288" s="63"/>
      <c r="C288" s="61"/>
      <c r="D288" s="61"/>
      <c r="E288" s="61"/>
      <c r="F288" s="61"/>
      <c r="G288" s="64"/>
      <c r="H288" s="65"/>
      <c r="I288" s="62"/>
      <c r="J288" s="62"/>
      <c r="K288" s="62"/>
      <c r="L288" s="64"/>
      <c r="M288" s="62"/>
      <c r="N288" s="65"/>
      <c r="O288" s="27"/>
    </row>
    <row r="289" spans="1:15" ht="24.95" customHeight="1" x14ac:dyDescent="0.2">
      <c r="A289" s="61"/>
      <c r="B289" s="63"/>
      <c r="C289" s="61"/>
      <c r="D289" s="61"/>
      <c r="E289" s="61"/>
      <c r="F289" s="61"/>
      <c r="G289" s="64"/>
      <c r="H289" s="65"/>
      <c r="I289" s="62"/>
      <c r="J289" s="62"/>
      <c r="K289" s="62"/>
      <c r="L289" s="64"/>
      <c r="M289" s="62"/>
      <c r="N289" s="65"/>
      <c r="O289" s="27"/>
    </row>
    <row r="290" spans="1:15" ht="24.95" customHeight="1" x14ac:dyDescent="0.2">
      <c r="A290" s="61"/>
      <c r="B290" s="63"/>
      <c r="C290" s="61"/>
      <c r="D290" s="61"/>
      <c r="E290" s="61"/>
      <c r="F290" s="61"/>
      <c r="G290" s="64"/>
      <c r="H290" s="65"/>
      <c r="I290" s="62"/>
      <c r="J290" s="62"/>
      <c r="K290" s="62"/>
      <c r="L290" s="64"/>
      <c r="M290" s="62"/>
      <c r="N290" s="65"/>
      <c r="O290" s="27"/>
    </row>
    <row r="291" spans="1:15" ht="24.95" customHeight="1" x14ac:dyDescent="0.2">
      <c r="A291" s="61"/>
      <c r="B291" s="63"/>
      <c r="C291" s="61"/>
      <c r="D291" s="61"/>
      <c r="E291" s="61"/>
      <c r="F291" s="61"/>
      <c r="G291" s="64"/>
      <c r="H291" s="65"/>
      <c r="I291" s="62"/>
      <c r="J291" s="62"/>
      <c r="K291" s="62"/>
      <c r="L291" s="64"/>
      <c r="M291" s="62"/>
      <c r="N291" s="65"/>
      <c r="O291" s="27"/>
    </row>
    <row r="292" spans="1:15" ht="24.95" customHeight="1" x14ac:dyDescent="0.2">
      <c r="A292" s="61"/>
      <c r="B292" s="63"/>
      <c r="C292" s="61"/>
      <c r="D292" s="61"/>
      <c r="E292" s="61"/>
      <c r="F292" s="61"/>
      <c r="G292" s="64"/>
      <c r="H292" s="65"/>
      <c r="I292" s="62"/>
      <c r="J292" s="62"/>
      <c r="K292" s="62"/>
      <c r="L292" s="64"/>
      <c r="M292" s="62"/>
      <c r="N292" s="65"/>
      <c r="O292" s="27"/>
    </row>
    <row r="293" spans="1:15" ht="24.95" customHeight="1" x14ac:dyDescent="0.2">
      <c r="A293" s="61"/>
      <c r="B293" s="63"/>
      <c r="C293" s="61"/>
      <c r="D293" s="61"/>
      <c r="E293" s="61"/>
      <c r="F293" s="61"/>
      <c r="G293" s="64"/>
      <c r="H293" s="65"/>
      <c r="I293" s="62"/>
      <c r="J293" s="62"/>
      <c r="K293" s="62"/>
      <c r="L293" s="64"/>
      <c r="M293" s="62"/>
      <c r="N293" s="65"/>
      <c r="O293" s="27"/>
    </row>
    <row r="294" spans="1:15" ht="24.95" customHeight="1" x14ac:dyDescent="0.2">
      <c r="A294" s="61"/>
      <c r="B294" s="63"/>
      <c r="C294" s="61"/>
      <c r="D294" s="61"/>
      <c r="E294" s="61"/>
      <c r="F294" s="61"/>
      <c r="G294" s="64"/>
      <c r="H294" s="65"/>
      <c r="I294" s="62"/>
      <c r="J294" s="62"/>
      <c r="K294" s="62"/>
      <c r="L294" s="64"/>
      <c r="M294" s="62"/>
      <c r="N294" s="65"/>
      <c r="O294" s="27"/>
    </row>
    <row r="295" spans="1:15" ht="24.95" customHeight="1" x14ac:dyDescent="0.2">
      <c r="A295" s="61"/>
      <c r="B295" s="63"/>
      <c r="C295" s="61"/>
      <c r="D295" s="61"/>
      <c r="E295" s="61"/>
      <c r="F295" s="61"/>
      <c r="G295" s="64"/>
      <c r="H295" s="65"/>
      <c r="I295" s="62"/>
      <c r="J295" s="62"/>
      <c r="K295" s="62"/>
      <c r="L295" s="64"/>
      <c r="M295" s="62"/>
      <c r="N295" s="65"/>
      <c r="O295" s="27"/>
    </row>
    <row r="296" spans="1:15" ht="24.95" customHeight="1" x14ac:dyDescent="0.2">
      <c r="A296" s="61"/>
      <c r="B296" s="63"/>
      <c r="C296" s="61"/>
      <c r="D296" s="61"/>
      <c r="E296" s="61"/>
      <c r="F296" s="61"/>
      <c r="G296" s="64"/>
      <c r="H296" s="65"/>
      <c r="I296" s="62"/>
      <c r="J296" s="62"/>
      <c r="K296" s="62"/>
      <c r="L296" s="64"/>
      <c r="M296" s="62"/>
      <c r="N296" s="65"/>
      <c r="O296" s="27"/>
    </row>
    <row r="297" spans="1:15" ht="24.95" customHeight="1" x14ac:dyDescent="0.2">
      <c r="A297" s="61"/>
      <c r="B297" s="63"/>
      <c r="C297" s="61"/>
      <c r="D297" s="61"/>
      <c r="E297" s="61"/>
      <c r="F297" s="61"/>
      <c r="G297" s="64"/>
      <c r="H297" s="65"/>
      <c r="I297" s="62"/>
      <c r="J297" s="62"/>
      <c r="K297" s="62"/>
      <c r="L297" s="64"/>
      <c r="M297" s="62"/>
      <c r="N297" s="65"/>
      <c r="O297" s="27"/>
    </row>
    <row r="298" spans="1:15" ht="24.95" customHeight="1" x14ac:dyDescent="0.2">
      <c r="A298" s="61"/>
      <c r="B298" s="63"/>
      <c r="C298" s="61"/>
      <c r="D298" s="61"/>
      <c r="E298" s="61"/>
      <c r="F298" s="61"/>
      <c r="G298" s="64"/>
      <c r="H298" s="65"/>
      <c r="I298" s="62"/>
      <c r="J298" s="62"/>
      <c r="K298" s="62"/>
      <c r="L298" s="64"/>
      <c r="M298" s="62"/>
      <c r="N298" s="65"/>
      <c r="O298" s="27"/>
    </row>
    <row r="299" spans="1:15" ht="24.95" customHeight="1" x14ac:dyDescent="0.2">
      <c r="A299" s="61"/>
      <c r="B299" s="63"/>
      <c r="C299" s="61"/>
      <c r="D299" s="61"/>
      <c r="E299" s="61"/>
      <c r="F299" s="61"/>
      <c r="G299" s="64"/>
      <c r="H299" s="65"/>
      <c r="I299" s="62"/>
      <c r="J299" s="62"/>
      <c r="K299" s="62"/>
      <c r="L299" s="64"/>
      <c r="M299" s="62"/>
      <c r="N299" s="65"/>
      <c r="O299" s="27"/>
    </row>
    <row r="300" spans="1:15" ht="24.95" customHeight="1" x14ac:dyDescent="0.2">
      <c r="A300" s="47"/>
      <c r="B300" s="48"/>
      <c r="C300" s="47"/>
      <c r="D300" s="47"/>
      <c r="E300" s="47"/>
      <c r="F300" s="47"/>
      <c r="G300" s="54"/>
      <c r="H300" s="55"/>
      <c r="I300" s="56"/>
      <c r="J300" s="56"/>
      <c r="K300" s="56"/>
      <c r="L300" s="54"/>
      <c r="M300" s="56"/>
      <c r="N300" s="55"/>
      <c r="O300" s="25"/>
    </row>
    <row r="301" spans="1:15" ht="24.95" customHeight="1" x14ac:dyDescent="0.2">
      <c r="A301" s="49"/>
      <c r="B301" s="50"/>
      <c r="C301" s="49"/>
      <c r="D301" s="49"/>
      <c r="E301" s="49"/>
      <c r="F301" s="49"/>
      <c r="G301" s="57"/>
      <c r="H301" s="58"/>
      <c r="I301" s="53"/>
      <c r="J301" s="53"/>
      <c r="K301" s="53"/>
      <c r="L301" s="57"/>
      <c r="M301" s="53"/>
      <c r="N301" s="58"/>
      <c r="O301" s="46"/>
    </row>
    <row r="302" spans="1:15" ht="24.95" customHeight="1" x14ac:dyDescent="0.2">
      <c r="A302" s="47"/>
      <c r="B302" s="48"/>
      <c r="C302" s="47"/>
      <c r="D302" s="47"/>
      <c r="E302" s="47"/>
      <c r="F302" s="47"/>
      <c r="G302" s="54"/>
      <c r="H302" s="55"/>
      <c r="I302" s="56"/>
      <c r="J302" s="56"/>
      <c r="K302" s="56"/>
      <c r="L302" s="54"/>
      <c r="M302" s="56"/>
      <c r="N302" s="55"/>
      <c r="O302" s="25"/>
    </row>
    <row r="303" spans="1:15" ht="24.95" customHeight="1" x14ac:dyDescent="0.2">
      <c r="A303" s="49"/>
      <c r="B303" s="50"/>
      <c r="C303" s="49"/>
      <c r="D303" s="49"/>
      <c r="E303" s="49"/>
      <c r="F303" s="49"/>
      <c r="G303" s="57"/>
      <c r="H303" s="58"/>
      <c r="I303" s="53"/>
      <c r="J303" s="53"/>
      <c r="K303" s="53"/>
      <c r="L303" s="57"/>
      <c r="M303" s="53"/>
      <c r="N303" s="58"/>
      <c r="O303" s="46"/>
    </row>
    <row r="304" spans="1:15" ht="24.95" customHeight="1" x14ac:dyDescent="0.2">
      <c r="A304" s="47"/>
      <c r="B304" s="48"/>
      <c r="C304" s="47"/>
      <c r="D304" s="47"/>
      <c r="E304" s="47"/>
      <c r="F304" s="47"/>
      <c r="G304" s="54"/>
      <c r="H304" s="55"/>
      <c r="I304" s="56"/>
      <c r="J304" s="56"/>
      <c r="K304" s="56"/>
      <c r="L304" s="54"/>
      <c r="M304" s="56"/>
      <c r="N304" s="55"/>
      <c r="O304" s="25"/>
    </row>
    <row r="305" spans="1:15" ht="24.95" customHeight="1" x14ac:dyDescent="0.2">
      <c r="A305" s="49"/>
      <c r="B305" s="50"/>
      <c r="C305" s="49"/>
      <c r="D305" s="49"/>
      <c r="E305" s="49"/>
      <c r="F305" s="49"/>
      <c r="G305" s="57"/>
      <c r="H305" s="58"/>
      <c r="I305" s="53"/>
      <c r="J305" s="53"/>
      <c r="K305" s="53"/>
      <c r="L305" s="57"/>
      <c r="M305" s="53"/>
      <c r="N305" s="58"/>
      <c r="O305" s="46"/>
    </row>
    <row r="306" spans="1:15" ht="24.95" customHeight="1" x14ac:dyDescent="0.2">
      <c r="A306" s="47"/>
      <c r="B306" s="48"/>
      <c r="C306" s="47"/>
      <c r="D306" s="47"/>
      <c r="E306" s="47"/>
      <c r="F306" s="47"/>
      <c r="G306" s="54"/>
      <c r="H306" s="55"/>
      <c r="I306" s="56"/>
      <c r="J306" s="56"/>
      <c r="K306" s="56"/>
      <c r="L306" s="54"/>
      <c r="M306" s="56"/>
      <c r="N306" s="55"/>
      <c r="O306" s="25"/>
    </row>
    <row r="307" spans="1:15" ht="24.95" customHeight="1" x14ac:dyDescent="0.2">
      <c r="A307" s="49"/>
      <c r="B307" s="50"/>
      <c r="C307" s="49"/>
      <c r="D307" s="49"/>
      <c r="E307" s="49"/>
      <c r="F307" s="49"/>
      <c r="G307" s="57"/>
      <c r="H307" s="58"/>
      <c r="I307" s="53"/>
      <c r="J307" s="53"/>
      <c r="K307" s="53"/>
      <c r="L307" s="57"/>
      <c r="M307" s="53"/>
      <c r="N307" s="58"/>
      <c r="O307" s="46"/>
    </row>
    <row r="308" spans="1:15" ht="24.95" customHeight="1" x14ac:dyDescent="0.2">
      <c r="A308" s="47"/>
      <c r="B308" s="48"/>
      <c r="C308" s="47"/>
      <c r="D308" s="47"/>
      <c r="E308" s="47"/>
      <c r="F308" s="47"/>
      <c r="G308" s="54"/>
      <c r="H308" s="55"/>
      <c r="I308" s="56"/>
      <c r="J308" s="56"/>
      <c r="K308" s="56"/>
      <c r="L308" s="54"/>
      <c r="M308" s="56"/>
      <c r="N308" s="55"/>
      <c r="O308" s="25"/>
    </row>
    <row r="309" spans="1:15" ht="24.95" customHeight="1" x14ac:dyDescent="0.2">
      <c r="A309" s="49"/>
      <c r="B309" s="50"/>
      <c r="C309" s="49"/>
      <c r="D309" s="49"/>
      <c r="E309" s="49"/>
      <c r="F309" s="49"/>
      <c r="G309" s="57"/>
      <c r="H309" s="58"/>
      <c r="I309" s="53"/>
      <c r="J309" s="53"/>
      <c r="K309" s="53"/>
      <c r="L309" s="57"/>
      <c r="M309" s="53"/>
      <c r="N309" s="58"/>
      <c r="O309" s="46"/>
    </row>
    <row r="310" spans="1:15" ht="24.95" customHeight="1" x14ac:dyDescent="0.2">
      <c r="A310" s="47"/>
      <c r="B310" s="48"/>
      <c r="C310" s="47"/>
      <c r="D310" s="47"/>
      <c r="E310" s="47"/>
      <c r="F310" s="47"/>
      <c r="G310" s="54"/>
      <c r="H310" s="55"/>
      <c r="I310" s="56"/>
      <c r="J310" s="56"/>
      <c r="K310" s="56"/>
      <c r="L310" s="54"/>
      <c r="M310" s="56"/>
      <c r="N310" s="55"/>
      <c r="O310" s="25"/>
    </row>
    <row r="311" spans="1:15" ht="24.95" customHeight="1" x14ac:dyDescent="0.2">
      <c r="A311" s="49"/>
      <c r="B311" s="50"/>
      <c r="C311" s="49"/>
      <c r="D311" s="49"/>
      <c r="E311" s="49"/>
      <c r="F311" s="49"/>
      <c r="G311" s="57"/>
      <c r="H311" s="58"/>
      <c r="I311" s="53"/>
      <c r="J311" s="53"/>
      <c r="K311" s="53"/>
      <c r="L311" s="57"/>
      <c r="M311" s="53"/>
      <c r="N311" s="58"/>
      <c r="O311" s="46"/>
    </row>
    <row r="312" spans="1:15" ht="24.95" customHeight="1" x14ac:dyDescent="0.2">
      <c r="A312" s="47"/>
      <c r="B312" s="48"/>
      <c r="C312" s="47"/>
      <c r="D312" s="47"/>
      <c r="E312" s="47"/>
      <c r="F312" s="47"/>
      <c r="G312" s="54"/>
      <c r="H312" s="55"/>
      <c r="I312" s="56"/>
      <c r="J312" s="56"/>
      <c r="K312" s="56"/>
      <c r="L312" s="54"/>
      <c r="M312" s="56"/>
      <c r="N312" s="55"/>
      <c r="O312" s="25"/>
    </row>
    <row r="313" spans="1:15" ht="24.95" customHeight="1" x14ac:dyDescent="0.2">
      <c r="A313" s="49"/>
      <c r="B313" s="50"/>
      <c r="C313" s="49"/>
      <c r="D313" s="49"/>
      <c r="E313" s="49"/>
      <c r="F313" s="49"/>
      <c r="G313" s="57"/>
      <c r="H313" s="58"/>
      <c r="I313" s="53"/>
      <c r="J313" s="53"/>
      <c r="K313" s="53"/>
      <c r="L313" s="57"/>
      <c r="M313" s="53"/>
      <c r="N313" s="58"/>
      <c r="O313" s="46"/>
    </row>
    <row r="314" spans="1:15" ht="24.95" customHeight="1" x14ac:dyDescent="0.2">
      <c r="A314" s="47"/>
      <c r="B314" s="48"/>
      <c r="C314" s="47"/>
      <c r="D314" s="47"/>
      <c r="E314" s="47"/>
      <c r="F314" s="47"/>
      <c r="G314" s="54"/>
      <c r="H314" s="55"/>
      <c r="I314" s="56"/>
      <c r="J314" s="56"/>
      <c r="K314" s="56"/>
      <c r="L314" s="54"/>
      <c r="M314" s="56"/>
      <c r="N314" s="55"/>
      <c r="O314" s="25"/>
    </row>
    <row r="315" spans="1:15" ht="24.95" customHeight="1" x14ac:dyDescent="0.2">
      <c r="A315" s="49"/>
      <c r="B315" s="50"/>
      <c r="C315" s="49"/>
      <c r="D315" s="49"/>
      <c r="E315" s="49"/>
      <c r="F315" s="49"/>
      <c r="G315" s="57"/>
      <c r="H315" s="58"/>
      <c r="I315" s="53"/>
      <c r="J315" s="53"/>
      <c r="K315" s="53"/>
      <c r="L315" s="57"/>
      <c r="M315" s="53"/>
      <c r="N315" s="58"/>
      <c r="O315" s="46"/>
    </row>
    <row r="316" spans="1:15" ht="24.95" customHeight="1" x14ac:dyDescent="0.2">
      <c r="A316" s="47"/>
      <c r="B316" s="48"/>
      <c r="C316" s="47"/>
      <c r="D316" s="47"/>
      <c r="E316" s="47"/>
      <c r="F316" s="47"/>
      <c r="G316" s="54"/>
      <c r="H316" s="55"/>
      <c r="I316" s="56"/>
      <c r="J316" s="56"/>
      <c r="K316" s="56"/>
      <c r="L316" s="54"/>
      <c r="M316" s="56"/>
      <c r="N316" s="55"/>
      <c r="O316" s="25"/>
    </row>
    <row r="317" spans="1:15" ht="24.95" customHeight="1" x14ac:dyDescent="0.2">
      <c r="A317" s="49"/>
      <c r="B317" s="50"/>
      <c r="C317" s="49"/>
      <c r="D317" s="49"/>
      <c r="E317" s="49"/>
      <c r="F317" s="49"/>
      <c r="G317" s="57"/>
      <c r="H317" s="58"/>
      <c r="I317" s="53"/>
      <c r="J317" s="53"/>
      <c r="K317" s="53"/>
      <c r="L317" s="57"/>
      <c r="M317" s="53"/>
      <c r="N317" s="58"/>
      <c r="O317" s="46"/>
    </row>
    <row r="318" spans="1:15" ht="24.95" customHeight="1" x14ac:dyDescent="0.2">
      <c r="A318" s="47"/>
      <c r="B318" s="48"/>
      <c r="C318" s="47"/>
      <c r="D318" s="47"/>
      <c r="E318" s="47"/>
      <c r="F318" s="47"/>
      <c r="G318" s="54"/>
      <c r="H318" s="55"/>
      <c r="I318" s="56"/>
      <c r="J318" s="56"/>
      <c r="K318" s="56"/>
      <c r="L318" s="54"/>
      <c r="M318" s="56"/>
      <c r="N318" s="55"/>
      <c r="O318" s="25"/>
    </row>
    <row r="319" spans="1:15" ht="24.95" customHeight="1" x14ac:dyDescent="0.2">
      <c r="A319" s="49"/>
      <c r="B319" s="50"/>
      <c r="C319" s="49"/>
      <c r="D319" s="49"/>
      <c r="E319" s="49"/>
      <c r="F319" s="49"/>
      <c r="G319" s="57"/>
      <c r="H319" s="58"/>
      <c r="I319" s="53"/>
      <c r="J319" s="53"/>
      <c r="K319" s="53"/>
      <c r="L319" s="57"/>
      <c r="M319" s="53"/>
      <c r="N319" s="58"/>
      <c r="O319" s="46"/>
    </row>
    <row r="320" spans="1:15" ht="24.95" customHeight="1" x14ac:dyDescent="0.2">
      <c r="A320" s="47"/>
      <c r="B320" s="48"/>
      <c r="C320" s="47"/>
      <c r="D320" s="47"/>
      <c r="E320" s="47"/>
      <c r="F320" s="47"/>
      <c r="G320" s="54"/>
      <c r="H320" s="55"/>
      <c r="I320" s="56"/>
      <c r="J320" s="56"/>
      <c r="K320" s="56"/>
      <c r="L320" s="54"/>
      <c r="M320" s="56"/>
      <c r="N320" s="55"/>
      <c r="O320" s="25"/>
    </row>
    <row r="321" spans="1:15" ht="24.95" customHeight="1" x14ac:dyDescent="0.2">
      <c r="A321" s="49"/>
      <c r="B321" s="50"/>
      <c r="C321" s="49"/>
      <c r="D321" s="49"/>
      <c r="E321" s="49"/>
      <c r="F321" s="49"/>
      <c r="G321" s="57"/>
      <c r="H321" s="58"/>
      <c r="I321" s="53"/>
      <c r="J321" s="53"/>
      <c r="K321" s="53"/>
      <c r="L321" s="57"/>
      <c r="M321" s="53"/>
      <c r="N321" s="58"/>
      <c r="O321" s="46"/>
    </row>
    <row r="322" spans="1:15" ht="24.95" customHeight="1" x14ac:dyDescent="0.2">
      <c r="A322" s="47"/>
      <c r="B322" s="48"/>
      <c r="C322" s="47"/>
      <c r="D322" s="47"/>
      <c r="E322" s="47"/>
      <c r="F322" s="47"/>
      <c r="G322" s="54"/>
      <c r="H322" s="55"/>
      <c r="I322" s="56"/>
      <c r="J322" s="56"/>
      <c r="K322" s="56"/>
      <c r="L322" s="54"/>
      <c r="M322" s="56"/>
      <c r="N322" s="55"/>
      <c r="O322" s="25"/>
    </row>
    <row r="323" spans="1:15" ht="24.95" customHeight="1" x14ac:dyDescent="0.2">
      <c r="A323" s="49"/>
      <c r="B323" s="50"/>
      <c r="C323" s="49"/>
      <c r="D323" s="49"/>
      <c r="E323" s="49"/>
      <c r="F323" s="49"/>
      <c r="G323" s="57"/>
      <c r="H323" s="58"/>
      <c r="I323" s="53"/>
      <c r="J323" s="53"/>
      <c r="K323" s="53"/>
      <c r="L323" s="57"/>
      <c r="M323" s="53"/>
      <c r="N323" s="58"/>
      <c r="O323" s="46"/>
    </row>
    <row r="324" spans="1:15" ht="24.95" customHeight="1" x14ac:dyDescent="0.2">
      <c r="A324" s="47"/>
      <c r="B324" s="48"/>
      <c r="C324" s="47"/>
      <c r="D324" s="47"/>
      <c r="E324" s="47"/>
      <c r="F324" s="47"/>
      <c r="G324" s="54"/>
      <c r="H324" s="55"/>
      <c r="I324" s="56"/>
      <c r="J324" s="56"/>
      <c r="K324" s="56"/>
      <c r="L324" s="54"/>
      <c r="M324" s="56"/>
      <c r="N324" s="55"/>
      <c r="O324" s="25"/>
    </row>
    <row r="325" spans="1:15" ht="24.95" customHeight="1" x14ac:dyDescent="0.2">
      <c r="A325" s="49"/>
      <c r="B325" s="50"/>
      <c r="C325" s="49"/>
      <c r="D325" s="49"/>
      <c r="E325" s="49"/>
      <c r="F325" s="49"/>
      <c r="G325" s="57"/>
      <c r="H325" s="58"/>
      <c r="I325" s="53"/>
      <c r="J325" s="53"/>
      <c r="K325" s="53"/>
      <c r="L325" s="57"/>
      <c r="M325" s="53"/>
      <c r="N325" s="58"/>
      <c r="O325" s="46"/>
    </row>
    <row r="326" spans="1:15" ht="24.95" customHeight="1" x14ac:dyDescent="0.2">
      <c r="A326" s="47"/>
      <c r="B326" s="48"/>
      <c r="C326" s="47"/>
      <c r="D326" s="47"/>
      <c r="E326" s="47"/>
      <c r="F326" s="47"/>
      <c r="G326" s="54"/>
      <c r="H326" s="55"/>
      <c r="I326" s="56"/>
      <c r="J326" s="56"/>
      <c r="K326" s="56"/>
      <c r="L326" s="54"/>
      <c r="M326" s="56"/>
      <c r="N326" s="55"/>
      <c r="O326" s="25"/>
    </row>
    <row r="327" spans="1:15" ht="24.95" customHeight="1" x14ac:dyDescent="0.2">
      <c r="A327" s="49"/>
      <c r="B327" s="50"/>
      <c r="C327" s="49"/>
      <c r="D327" s="49"/>
      <c r="E327" s="49"/>
      <c r="F327" s="49"/>
      <c r="G327" s="57"/>
      <c r="H327" s="58"/>
      <c r="I327" s="53"/>
      <c r="J327" s="53"/>
      <c r="K327" s="53"/>
      <c r="L327" s="57"/>
      <c r="M327" s="53"/>
      <c r="N327" s="58"/>
      <c r="O327" s="46"/>
    </row>
    <row r="328" spans="1:15" ht="24.95" customHeight="1" x14ac:dyDescent="0.2">
      <c r="A328" s="47"/>
      <c r="B328" s="48"/>
      <c r="C328" s="47"/>
      <c r="D328" s="47"/>
      <c r="E328" s="47"/>
      <c r="F328" s="47"/>
      <c r="G328" s="54"/>
      <c r="H328" s="55"/>
      <c r="I328" s="56"/>
      <c r="J328" s="56"/>
      <c r="K328" s="56"/>
      <c r="L328" s="54"/>
      <c r="M328" s="56"/>
      <c r="N328" s="55"/>
      <c r="O328" s="25"/>
    </row>
    <row r="329" spans="1:15" ht="24.95" customHeight="1" x14ac:dyDescent="0.2">
      <c r="A329" s="49"/>
      <c r="B329" s="50"/>
      <c r="C329" s="49"/>
      <c r="D329" s="49"/>
      <c r="E329" s="49"/>
      <c r="F329" s="49"/>
      <c r="G329" s="57"/>
      <c r="H329" s="58"/>
      <c r="I329" s="53"/>
      <c r="J329" s="53"/>
      <c r="K329" s="53"/>
      <c r="L329" s="57"/>
      <c r="M329" s="53"/>
      <c r="N329" s="58"/>
      <c r="O329" s="46"/>
    </row>
    <row r="330" spans="1:15" ht="24.95" customHeight="1" x14ac:dyDescent="0.2">
      <c r="A330" s="47"/>
      <c r="B330" s="48"/>
      <c r="C330" s="47"/>
      <c r="D330" s="47"/>
      <c r="E330" s="47"/>
      <c r="F330" s="47"/>
      <c r="G330" s="54"/>
      <c r="H330" s="55"/>
      <c r="I330" s="56"/>
      <c r="J330" s="56"/>
      <c r="K330" s="56"/>
      <c r="L330" s="54"/>
      <c r="M330" s="56"/>
      <c r="N330" s="55"/>
      <c r="O330" s="25"/>
    </row>
    <row r="331" spans="1:15" ht="24.95" customHeight="1" x14ac:dyDescent="0.2">
      <c r="A331" s="49"/>
      <c r="B331" s="50"/>
      <c r="C331" s="49"/>
      <c r="D331" s="49"/>
      <c r="E331" s="49"/>
      <c r="F331" s="49"/>
      <c r="G331" s="57"/>
      <c r="H331" s="58"/>
      <c r="I331" s="53"/>
      <c r="J331" s="53"/>
      <c r="K331" s="53"/>
      <c r="L331" s="57"/>
      <c r="M331" s="53"/>
      <c r="N331" s="58"/>
      <c r="O331" s="46"/>
    </row>
    <row r="332" spans="1:15" ht="24.95" customHeight="1" x14ac:dyDescent="0.2">
      <c r="A332" s="47"/>
      <c r="B332" s="48"/>
      <c r="C332" s="47"/>
      <c r="D332" s="47"/>
      <c r="E332" s="47"/>
      <c r="F332" s="47"/>
      <c r="G332" s="54"/>
      <c r="H332" s="55"/>
      <c r="I332" s="56"/>
      <c r="J332" s="56"/>
      <c r="K332" s="56"/>
      <c r="L332" s="54"/>
      <c r="M332" s="56"/>
      <c r="N332" s="55"/>
      <c r="O332" s="25"/>
    </row>
    <row r="333" spans="1:15" ht="24.95" customHeight="1" x14ac:dyDescent="0.2">
      <c r="A333" s="49"/>
      <c r="B333" s="50"/>
      <c r="C333" s="49"/>
      <c r="D333" s="49"/>
      <c r="E333" s="49"/>
      <c r="F333" s="49"/>
      <c r="G333" s="57"/>
      <c r="H333" s="58"/>
      <c r="I333" s="53"/>
      <c r="J333" s="53"/>
      <c r="K333" s="53"/>
      <c r="L333" s="57"/>
      <c r="M333" s="53"/>
      <c r="N333" s="58"/>
      <c r="O333" s="46"/>
    </row>
    <row r="334" spans="1:15" ht="24.95" customHeight="1" x14ac:dyDescent="0.2">
      <c r="A334" s="47"/>
      <c r="B334" s="48"/>
      <c r="C334" s="47"/>
      <c r="D334" s="47"/>
      <c r="E334" s="47"/>
      <c r="F334" s="47"/>
      <c r="G334" s="54"/>
      <c r="H334" s="55"/>
      <c r="I334" s="56"/>
      <c r="J334" s="56"/>
      <c r="K334" s="56"/>
      <c r="L334" s="54"/>
      <c r="M334" s="56"/>
      <c r="N334" s="55"/>
      <c r="O334" s="25"/>
    </row>
    <row r="335" spans="1:15" ht="24.95" customHeight="1" x14ac:dyDescent="0.2">
      <c r="A335" s="49"/>
      <c r="B335" s="50"/>
      <c r="C335" s="49"/>
      <c r="D335" s="49"/>
      <c r="E335" s="49"/>
      <c r="F335" s="49"/>
      <c r="G335" s="57"/>
      <c r="H335" s="58"/>
      <c r="I335" s="53"/>
      <c r="J335" s="53"/>
      <c r="K335" s="53"/>
      <c r="L335" s="57"/>
      <c r="M335" s="53"/>
      <c r="N335" s="58"/>
      <c r="O335" s="46"/>
    </row>
    <row r="336" spans="1:15" ht="24.95" customHeight="1" x14ac:dyDescent="0.2">
      <c r="A336" s="47"/>
      <c r="B336" s="48"/>
      <c r="C336" s="47"/>
      <c r="D336" s="47"/>
      <c r="E336" s="47"/>
      <c r="F336" s="47"/>
      <c r="G336" s="54"/>
      <c r="H336" s="55"/>
      <c r="I336" s="56"/>
      <c r="J336" s="56"/>
      <c r="K336" s="56"/>
      <c r="L336" s="54"/>
      <c r="M336" s="56"/>
      <c r="N336" s="55"/>
      <c r="O336" s="25"/>
    </row>
    <row r="337" spans="1:15" ht="24.95" customHeight="1" x14ac:dyDescent="0.2">
      <c r="A337" s="49"/>
      <c r="B337" s="50"/>
      <c r="C337" s="49"/>
      <c r="D337" s="49"/>
      <c r="E337" s="49"/>
      <c r="F337" s="49"/>
      <c r="G337" s="57"/>
      <c r="H337" s="58"/>
      <c r="I337" s="53"/>
      <c r="J337" s="53"/>
      <c r="K337" s="53"/>
      <c r="L337" s="57"/>
      <c r="M337" s="53"/>
      <c r="N337" s="58"/>
      <c r="O337" s="46"/>
    </row>
    <row r="338" spans="1:15" ht="24.95" customHeight="1" x14ac:dyDescent="0.2">
      <c r="A338" s="47"/>
      <c r="B338" s="48"/>
      <c r="C338" s="47"/>
      <c r="D338" s="47"/>
      <c r="E338" s="47"/>
      <c r="F338" s="47"/>
      <c r="G338" s="54"/>
      <c r="H338" s="55"/>
      <c r="I338" s="56"/>
      <c r="J338" s="56"/>
      <c r="K338" s="56"/>
      <c r="L338" s="54"/>
      <c r="M338" s="56"/>
      <c r="N338" s="55"/>
      <c r="O338" s="25"/>
    </row>
    <row r="339" spans="1:15" ht="24.95" customHeight="1" x14ac:dyDescent="0.2">
      <c r="A339" s="49"/>
      <c r="B339" s="50"/>
      <c r="C339" s="49"/>
      <c r="D339" s="49"/>
      <c r="E339" s="49"/>
      <c r="F339" s="49"/>
      <c r="G339" s="57"/>
      <c r="H339" s="58"/>
      <c r="I339" s="53"/>
      <c r="J339" s="53"/>
      <c r="K339" s="53"/>
      <c r="L339" s="57"/>
      <c r="M339" s="53"/>
      <c r="N339" s="58"/>
      <c r="O339" s="46"/>
    </row>
    <row r="340" spans="1:15" ht="24.95" customHeight="1" x14ac:dyDescent="0.2">
      <c r="A340" s="47"/>
      <c r="B340" s="48"/>
      <c r="C340" s="47"/>
      <c r="D340" s="47"/>
      <c r="E340" s="47"/>
      <c r="F340" s="47"/>
      <c r="G340" s="54"/>
      <c r="H340" s="55"/>
      <c r="I340" s="56"/>
      <c r="J340" s="56"/>
      <c r="K340" s="56"/>
      <c r="L340" s="54"/>
      <c r="M340" s="56"/>
      <c r="N340" s="55"/>
      <c r="O340" s="25"/>
    </row>
    <row r="341" spans="1:15" ht="24.95" customHeight="1" x14ac:dyDescent="0.2">
      <c r="A341" s="49"/>
      <c r="B341" s="50"/>
      <c r="C341" s="49"/>
      <c r="D341" s="49"/>
      <c r="E341" s="49"/>
      <c r="F341" s="49"/>
      <c r="G341" s="57"/>
      <c r="H341" s="58"/>
      <c r="I341" s="53"/>
      <c r="J341" s="53"/>
      <c r="K341" s="53"/>
      <c r="L341" s="57"/>
      <c r="M341" s="53"/>
      <c r="N341" s="58"/>
      <c r="O341" s="46"/>
    </row>
    <row r="342" spans="1:15" ht="24.95" customHeight="1" x14ac:dyDescent="0.2">
      <c r="A342" s="47"/>
      <c r="B342" s="48"/>
      <c r="C342" s="47"/>
      <c r="D342" s="47"/>
      <c r="E342" s="47"/>
      <c r="F342" s="47"/>
      <c r="G342" s="54"/>
      <c r="H342" s="55"/>
      <c r="I342" s="56"/>
      <c r="J342" s="56"/>
      <c r="K342" s="56"/>
      <c r="L342" s="54"/>
      <c r="M342" s="56"/>
      <c r="N342" s="55"/>
      <c r="O342" s="25"/>
    </row>
    <row r="343" spans="1:15" ht="24.95" customHeight="1" x14ac:dyDescent="0.2">
      <c r="A343" s="49"/>
      <c r="B343" s="50"/>
      <c r="C343" s="49"/>
      <c r="D343" s="49"/>
      <c r="E343" s="49"/>
      <c r="F343" s="49"/>
      <c r="G343" s="57"/>
      <c r="H343" s="58"/>
      <c r="I343" s="53"/>
      <c r="J343" s="53"/>
      <c r="K343" s="53"/>
      <c r="L343" s="57"/>
      <c r="M343" s="53"/>
      <c r="N343" s="58"/>
      <c r="O343" s="46"/>
    </row>
    <row r="344" spans="1:15" ht="24.95" customHeight="1" x14ac:dyDescent="0.2">
      <c r="A344" s="47"/>
      <c r="B344" s="48"/>
      <c r="C344" s="47"/>
      <c r="D344" s="47"/>
      <c r="E344" s="47"/>
      <c r="F344" s="47"/>
      <c r="G344" s="54"/>
      <c r="H344" s="55"/>
      <c r="I344" s="56"/>
      <c r="J344" s="56"/>
      <c r="K344" s="56"/>
      <c r="L344" s="54"/>
      <c r="M344" s="56"/>
      <c r="N344" s="55"/>
      <c r="O344" s="25"/>
    </row>
    <row r="345" spans="1:15" ht="24.95" customHeight="1" x14ac:dyDescent="0.2">
      <c r="A345" s="49"/>
      <c r="B345" s="50"/>
      <c r="C345" s="49"/>
      <c r="D345" s="49"/>
      <c r="E345" s="49"/>
      <c r="F345" s="49"/>
      <c r="G345" s="57"/>
      <c r="H345" s="58"/>
      <c r="I345" s="53"/>
      <c r="J345" s="53"/>
      <c r="K345" s="53"/>
      <c r="L345" s="57"/>
      <c r="M345" s="53"/>
      <c r="N345" s="58"/>
      <c r="O345" s="46"/>
    </row>
    <row r="346" spans="1:15" ht="24.95" customHeight="1" x14ac:dyDescent="0.2">
      <c r="A346" s="47"/>
      <c r="B346" s="48"/>
      <c r="C346" s="47"/>
      <c r="D346" s="47"/>
      <c r="E346" s="47"/>
      <c r="F346" s="47"/>
      <c r="G346" s="54"/>
      <c r="H346" s="55"/>
      <c r="I346" s="56"/>
      <c r="J346" s="56"/>
      <c r="K346" s="56"/>
      <c r="L346" s="54"/>
      <c r="M346" s="56"/>
      <c r="N346" s="55"/>
      <c r="O346" s="25"/>
    </row>
    <row r="347" spans="1:15" ht="24.95" customHeight="1" x14ac:dyDescent="0.2">
      <c r="A347" s="49"/>
      <c r="B347" s="50"/>
      <c r="C347" s="49"/>
      <c r="D347" s="49"/>
      <c r="E347" s="49"/>
      <c r="F347" s="49"/>
      <c r="G347" s="57"/>
      <c r="H347" s="58"/>
      <c r="I347" s="53"/>
      <c r="J347" s="53"/>
      <c r="K347" s="53"/>
      <c r="L347" s="57"/>
      <c r="M347" s="53"/>
      <c r="N347" s="58"/>
      <c r="O347" s="46"/>
    </row>
    <row r="348" spans="1:15" ht="24.95" customHeight="1" x14ac:dyDescent="0.2">
      <c r="A348" s="47"/>
      <c r="B348" s="48"/>
      <c r="C348" s="47"/>
      <c r="D348" s="47"/>
      <c r="E348" s="47"/>
      <c r="F348" s="47"/>
      <c r="G348" s="54"/>
      <c r="H348" s="55"/>
      <c r="I348" s="56"/>
      <c r="J348" s="56"/>
      <c r="K348" s="56"/>
      <c r="L348" s="54"/>
      <c r="M348" s="56"/>
      <c r="N348" s="55"/>
      <c r="O348" s="25"/>
    </row>
    <row r="349" spans="1:15" ht="24.95" customHeight="1" x14ac:dyDescent="0.2">
      <c r="A349" s="49"/>
      <c r="B349" s="50"/>
      <c r="C349" s="49"/>
      <c r="D349" s="49"/>
      <c r="E349" s="49"/>
      <c r="F349" s="49"/>
      <c r="G349" s="57"/>
      <c r="H349" s="58"/>
      <c r="I349" s="53"/>
      <c r="J349" s="53"/>
      <c r="K349" s="53"/>
      <c r="L349" s="57"/>
      <c r="M349" s="53"/>
      <c r="N349" s="58"/>
      <c r="O349" s="46"/>
    </row>
    <row r="350" spans="1:15" ht="24.95" customHeight="1" x14ac:dyDescent="0.2">
      <c r="A350" s="47"/>
      <c r="B350" s="48"/>
      <c r="C350" s="47"/>
      <c r="D350" s="47"/>
      <c r="E350" s="47"/>
      <c r="F350" s="47"/>
      <c r="G350" s="54"/>
      <c r="H350" s="55"/>
      <c r="I350" s="56"/>
      <c r="J350" s="56"/>
      <c r="K350" s="56"/>
      <c r="L350" s="54"/>
      <c r="M350" s="56"/>
      <c r="N350" s="55"/>
      <c r="O350" s="25"/>
    </row>
    <row r="351" spans="1:15" ht="24.95" customHeight="1" x14ac:dyDescent="0.2">
      <c r="A351" s="49"/>
      <c r="B351" s="50"/>
      <c r="C351" s="49"/>
      <c r="D351" s="49"/>
      <c r="E351" s="49"/>
      <c r="F351" s="49"/>
      <c r="G351" s="57"/>
      <c r="H351" s="58"/>
      <c r="I351" s="53"/>
      <c r="J351" s="53"/>
      <c r="K351" s="53"/>
      <c r="L351" s="57"/>
      <c r="M351" s="53"/>
      <c r="N351" s="58"/>
      <c r="O351" s="46"/>
    </row>
    <row r="352" spans="1:15" ht="24.95" customHeight="1" x14ac:dyDescent="0.2">
      <c r="A352" s="47"/>
      <c r="B352" s="48"/>
      <c r="C352" s="47"/>
      <c r="D352" s="47"/>
      <c r="E352" s="47"/>
      <c r="F352" s="47"/>
      <c r="G352" s="54"/>
      <c r="H352" s="55"/>
      <c r="I352" s="56"/>
      <c r="J352" s="56"/>
      <c r="K352" s="56"/>
      <c r="L352" s="54"/>
      <c r="M352" s="56"/>
      <c r="N352" s="55"/>
      <c r="O352" s="25"/>
    </row>
    <row r="353" spans="1:15" ht="24.95" customHeight="1" x14ac:dyDescent="0.2">
      <c r="A353" s="49"/>
      <c r="B353" s="50"/>
      <c r="C353" s="49"/>
      <c r="D353" s="49"/>
      <c r="E353" s="49"/>
      <c r="F353" s="49"/>
      <c r="G353" s="57"/>
      <c r="H353" s="58"/>
      <c r="I353" s="53"/>
      <c r="J353" s="53"/>
      <c r="K353" s="53"/>
      <c r="L353" s="57"/>
      <c r="M353" s="53"/>
      <c r="N353" s="58"/>
      <c r="O353" s="46"/>
    </row>
    <row r="354" spans="1:15" ht="24.95" customHeight="1" x14ac:dyDescent="0.2">
      <c r="A354" s="47"/>
      <c r="B354" s="48"/>
      <c r="C354" s="47"/>
      <c r="D354" s="47"/>
      <c r="E354" s="47"/>
      <c r="F354" s="47"/>
      <c r="G354" s="54"/>
      <c r="H354" s="55"/>
      <c r="I354" s="56"/>
      <c r="J354" s="56"/>
      <c r="K354" s="56"/>
      <c r="L354" s="54"/>
      <c r="M354" s="56"/>
      <c r="N354" s="55"/>
      <c r="O354" s="25"/>
    </row>
    <row r="355" spans="1:15" ht="24.95" customHeight="1" x14ac:dyDescent="0.2">
      <c r="A355" s="49"/>
      <c r="B355" s="50"/>
      <c r="C355" s="49"/>
      <c r="D355" s="49"/>
      <c r="E355" s="49"/>
      <c r="F355" s="49"/>
      <c r="G355" s="57"/>
      <c r="H355" s="58"/>
      <c r="I355" s="53"/>
      <c r="J355" s="53"/>
      <c r="K355" s="53"/>
      <c r="L355" s="57"/>
      <c r="M355" s="53"/>
      <c r="N355" s="58"/>
      <c r="O355" s="46"/>
    </row>
    <row r="356" spans="1:15" ht="24.95" customHeight="1" x14ac:dyDescent="0.2">
      <c r="A356" s="47"/>
      <c r="B356" s="48"/>
      <c r="C356" s="47"/>
      <c r="D356" s="47"/>
      <c r="E356" s="47"/>
      <c r="F356" s="47"/>
      <c r="G356" s="54"/>
      <c r="H356" s="55"/>
      <c r="I356" s="56"/>
      <c r="J356" s="56"/>
      <c r="K356" s="56"/>
      <c r="L356" s="54"/>
      <c r="M356" s="56"/>
      <c r="N356" s="55"/>
      <c r="O356" s="25"/>
    </row>
    <row r="357" spans="1:15" ht="24.95" customHeight="1" x14ac:dyDescent="0.2">
      <c r="A357" s="49"/>
      <c r="B357" s="50"/>
      <c r="C357" s="49"/>
      <c r="D357" s="49"/>
      <c r="E357" s="49"/>
      <c r="F357" s="49"/>
      <c r="G357" s="57"/>
      <c r="H357" s="58"/>
      <c r="I357" s="53"/>
      <c r="J357" s="53"/>
      <c r="K357" s="53"/>
      <c r="L357" s="57"/>
      <c r="M357" s="53"/>
      <c r="N357" s="58"/>
      <c r="O357" s="46"/>
    </row>
    <row r="358" spans="1:15" ht="24.95" customHeight="1" x14ac:dyDescent="0.2">
      <c r="A358" s="47"/>
      <c r="B358" s="48"/>
      <c r="C358" s="47"/>
      <c r="D358" s="47"/>
      <c r="E358" s="47"/>
      <c r="F358" s="47"/>
      <c r="G358" s="54"/>
      <c r="H358" s="55"/>
      <c r="I358" s="56"/>
      <c r="J358" s="56"/>
      <c r="K358" s="56"/>
      <c r="L358" s="54"/>
      <c r="M358" s="56"/>
      <c r="N358" s="55"/>
      <c r="O358" s="25"/>
    </row>
    <row r="359" spans="1:15" ht="24.95" customHeight="1" x14ac:dyDescent="0.2">
      <c r="A359" s="49"/>
      <c r="B359" s="50"/>
      <c r="C359" s="49"/>
      <c r="D359" s="49"/>
      <c r="E359" s="49"/>
      <c r="F359" s="49"/>
      <c r="G359" s="57"/>
      <c r="H359" s="58"/>
      <c r="I359" s="53"/>
      <c r="J359" s="53"/>
      <c r="K359" s="53"/>
      <c r="L359" s="57"/>
      <c r="M359" s="53"/>
      <c r="N359" s="58"/>
      <c r="O359" s="46"/>
    </row>
    <row r="360" spans="1:15" ht="24.95" customHeight="1" x14ac:dyDescent="0.2">
      <c r="A360" s="47"/>
      <c r="B360" s="48"/>
      <c r="C360" s="47"/>
      <c r="D360" s="47"/>
      <c r="E360" s="47"/>
      <c r="F360" s="47"/>
      <c r="G360" s="54"/>
      <c r="H360" s="55"/>
      <c r="I360" s="56"/>
      <c r="J360" s="56"/>
      <c r="K360" s="56"/>
      <c r="L360" s="54"/>
      <c r="M360" s="56"/>
      <c r="N360" s="55"/>
      <c r="O360" s="25"/>
    </row>
    <row r="361" spans="1:15" ht="24.95" customHeight="1" x14ac:dyDescent="0.2">
      <c r="A361" s="49"/>
      <c r="B361" s="50"/>
      <c r="C361" s="49"/>
      <c r="D361" s="49"/>
      <c r="E361" s="49"/>
      <c r="F361" s="49"/>
      <c r="G361" s="57"/>
      <c r="H361" s="58"/>
      <c r="I361" s="53"/>
      <c r="J361" s="53"/>
      <c r="K361" s="53"/>
      <c r="L361" s="57"/>
      <c r="M361" s="53"/>
      <c r="N361" s="58"/>
      <c r="O361" s="46"/>
    </row>
    <row r="362" spans="1:15" ht="24.95" customHeight="1" x14ac:dyDescent="0.2">
      <c r="A362" s="47"/>
      <c r="B362" s="48"/>
      <c r="C362" s="47"/>
      <c r="D362" s="47"/>
      <c r="E362" s="47"/>
      <c r="F362" s="47"/>
      <c r="G362" s="54"/>
      <c r="H362" s="55"/>
      <c r="I362" s="56"/>
      <c r="J362" s="56"/>
      <c r="K362" s="56"/>
      <c r="L362" s="54"/>
      <c r="M362" s="56"/>
      <c r="N362" s="55"/>
      <c r="O362" s="25"/>
    </row>
    <row r="363" spans="1:15" ht="24.95" customHeight="1" x14ac:dyDescent="0.2">
      <c r="A363" s="49"/>
      <c r="B363" s="50"/>
      <c r="C363" s="49"/>
      <c r="D363" s="49"/>
      <c r="E363" s="49"/>
      <c r="F363" s="49"/>
      <c r="G363" s="57"/>
      <c r="H363" s="58"/>
      <c r="I363" s="53"/>
      <c r="J363" s="53"/>
      <c r="K363" s="53"/>
      <c r="L363" s="57"/>
      <c r="M363" s="53"/>
      <c r="N363" s="58"/>
      <c r="O363" s="46"/>
    </row>
    <row r="364" spans="1:15" ht="24.95" customHeight="1" x14ac:dyDescent="0.2">
      <c r="A364" s="47"/>
      <c r="B364" s="48"/>
      <c r="C364" s="47"/>
      <c r="D364" s="47"/>
      <c r="E364" s="47"/>
      <c r="F364" s="47"/>
      <c r="G364" s="54"/>
      <c r="H364" s="55"/>
      <c r="I364" s="56"/>
      <c r="J364" s="56"/>
      <c r="K364" s="56"/>
      <c r="L364" s="54"/>
      <c r="M364" s="56"/>
      <c r="N364" s="55"/>
      <c r="O364" s="25"/>
    </row>
    <row r="365" spans="1:15" ht="24.95" customHeight="1" x14ac:dyDescent="0.2">
      <c r="A365" s="49"/>
      <c r="B365" s="50"/>
      <c r="C365" s="49"/>
      <c r="D365" s="49"/>
      <c r="E365" s="49"/>
      <c r="F365" s="49"/>
      <c r="G365" s="57"/>
      <c r="H365" s="58"/>
      <c r="I365" s="53"/>
      <c r="J365" s="53"/>
      <c r="K365" s="53"/>
      <c r="L365" s="57"/>
      <c r="M365" s="53"/>
      <c r="N365" s="58"/>
      <c r="O365" s="46"/>
    </row>
    <row r="366" spans="1:15" ht="24.95" customHeight="1" x14ac:dyDescent="0.2">
      <c r="A366" s="47"/>
      <c r="B366" s="48"/>
      <c r="C366" s="47"/>
      <c r="D366" s="47"/>
      <c r="E366" s="47"/>
      <c r="F366" s="47"/>
      <c r="G366" s="54"/>
      <c r="H366" s="55"/>
      <c r="I366" s="56"/>
      <c r="J366" s="56"/>
      <c r="K366" s="56"/>
      <c r="L366" s="54"/>
      <c r="M366" s="56"/>
      <c r="N366" s="55"/>
      <c r="O366" s="25"/>
    </row>
    <row r="367" spans="1:15" ht="24.95" customHeight="1" x14ac:dyDescent="0.2">
      <c r="A367" s="49"/>
      <c r="B367" s="50"/>
      <c r="C367" s="49"/>
      <c r="D367" s="49"/>
      <c r="E367" s="49"/>
      <c r="F367" s="49"/>
      <c r="G367" s="57"/>
      <c r="H367" s="58"/>
      <c r="I367" s="53"/>
      <c r="J367" s="53"/>
      <c r="K367" s="53"/>
      <c r="L367" s="57"/>
      <c r="M367" s="53"/>
      <c r="N367" s="58"/>
      <c r="O367" s="46"/>
    </row>
    <row r="368" spans="1:15" ht="24.95" customHeight="1" x14ac:dyDescent="0.2">
      <c r="A368" s="47"/>
      <c r="B368" s="48"/>
      <c r="C368" s="47"/>
      <c r="D368" s="47"/>
      <c r="E368" s="47"/>
      <c r="F368" s="47"/>
      <c r="G368" s="54"/>
      <c r="H368" s="55"/>
      <c r="I368" s="56"/>
      <c r="J368" s="56"/>
      <c r="K368" s="56"/>
      <c r="L368" s="54"/>
      <c r="M368" s="56"/>
      <c r="N368" s="55"/>
      <c r="O368" s="25"/>
    </row>
    <row r="369" spans="1:15" ht="24.95" customHeight="1" x14ac:dyDescent="0.2">
      <c r="A369" s="49"/>
      <c r="B369" s="50"/>
      <c r="C369" s="49"/>
      <c r="D369" s="49"/>
      <c r="E369" s="49"/>
      <c r="F369" s="49"/>
      <c r="G369" s="57"/>
      <c r="H369" s="58"/>
      <c r="I369" s="53"/>
      <c r="J369" s="53"/>
      <c r="K369" s="53"/>
      <c r="L369" s="57"/>
      <c r="M369" s="53"/>
      <c r="N369" s="58"/>
      <c r="O369" s="46"/>
    </row>
    <row r="370" spans="1:15" ht="24.95" customHeight="1" x14ac:dyDescent="0.2">
      <c r="A370" s="47"/>
      <c r="B370" s="48"/>
      <c r="C370" s="47"/>
      <c r="D370" s="47"/>
      <c r="E370" s="47"/>
      <c r="F370" s="47"/>
      <c r="G370" s="54"/>
      <c r="H370" s="55"/>
      <c r="I370" s="56"/>
      <c r="J370" s="56"/>
      <c r="K370" s="56"/>
      <c r="L370" s="54"/>
      <c r="M370" s="56"/>
      <c r="N370" s="55"/>
      <c r="O370" s="25"/>
    </row>
    <row r="371" spans="1:15" ht="24.95" customHeight="1" x14ac:dyDescent="0.2">
      <c r="A371" s="49"/>
      <c r="B371" s="50"/>
      <c r="C371" s="49"/>
      <c r="D371" s="49"/>
      <c r="E371" s="49"/>
      <c r="F371" s="49"/>
      <c r="G371" s="57"/>
      <c r="H371" s="58"/>
      <c r="I371" s="53"/>
      <c r="J371" s="53"/>
      <c r="K371" s="53"/>
      <c r="L371" s="57"/>
      <c r="M371" s="53"/>
      <c r="N371" s="58"/>
      <c r="O371" s="46"/>
    </row>
    <row r="372" spans="1:15" ht="24.95" customHeight="1" x14ac:dyDescent="0.2">
      <c r="A372" s="47"/>
      <c r="B372" s="48"/>
      <c r="C372" s="47"/>
      <c r="D372" s="47"/>
      <c r="E372" s="47"/>
      <c r="F372" s="47"/>
      <c r="G372" s="54"/>
      <c r="H372" s="55"/>
      <c r="I372" s="56"/>
      <c r="J372" s="56"/>
      <c r="K372" s="56"/>
      <c r="L372" s="54"/>
      <c r="M372" s="56"/>
      <c r="N372" s="55"/>
      <c r="O372" s="25"/>
    </row>
    <row r="373" spans="1:15" ht="24.95" customHeight="1" x14ac:dyDescent="0.2">
      <c r="A373" s="49"/>
      <c r="B373" s="50"/>
      <c r="C373" s="49"/>
      <c r="D373" s="49"/>
      <c r="E373" s="49"/>
      <c r="F373" s="49"/>
      <c r="G373" s="57"/>
      <c r="H373" s="58"/>
      <c r="I373" s="53"/>
      <c r="J373" s="53"/>
      <c r="K373" s="53"/>
      <c r="L373" s="57"/>
      <c r="M373" s="53"/>
      <c r="N373" s="58"/>
      <c r="O373" s="46"/>
    </row>
    <row r="374" spans="1:15" ht="24.95" customHeight="1" x14ac:dyDescent="0.2">
      <c r="A374" s="47"/>
      <c r="B374" s="48"/>
      <c r="C374" s="47"/>
      <c r="D374" s="47"/>
      <c r="E374" s="47"/>
      <c r="F374" s="47"/>
      <c r="G374" s="54"/>
      <c r="H374" s="55"/>
      <c r="I374" s="56"/>
      <c r="J374" s="56"/>
      <c r="K374" s="56"/>
      <c r="L374" s="54"/>
      <c r="M374" s="56"/>
      <c r="N374" s="55"/>
      <c r="O374" s="25"/>
    </row>
    <row r="375" spans="1:15" ht="24.95" customHeight="1" x14ac:dyDescent="0.2">
      <c r="A375" s="49"/>
      <c r="B375" s="50"/>
      <c r="C375" s="49"/>
      <c r="D375" s="49"/>
      <c r="E375" s="49"/>
      <c r="F375" s="49"/>
      <c r="G375" s="57"/>
      <c r="H375" s="58"/>
      <c r="I375" s="53"/>
      <c r="J375" s="53"/>
      <c r="K375" s="53"/>
      <c r="L375" s="57"/>
      <c r="M375" s="53"/>
      <c r="N375" s="58"/>
      <c r="O375" s="46"/>
    </row>
    <row r="376" spans="1:15" ht="24.95" customHeight="1" x14ac:dyDescent="0.2">
      <c r="A376" s="47"/>
      <c r="B376" s="48"/>
      <c r="C376" s="47"/>
      <c r="D376" s="47"/>
      <c r="E376" s="47"/>
      <c r="F376" s="47"/>
      <c r="G376" s="54"/>
      <c r="H376" s="55"/>
      <c r="I376" s="56"/>
      <c r="J376" s="56"/>
      <c r="K376" s="56"/>
      <c r="L376" s="54"/>
      <c r="M376" s="56"/>
      <c r="N376" s="55"/>
      <c r="O376" s="25"/>
    </row>
    <row r="377" spans="1:15" ht="24.95" customHeight="1" x14ac:dyDescent="0.2">
      <c r="A377" s="49"/>
      <c r="B377" s="50"/>
      <c r="C377" s="49"/>
      <c r="D377" s="49"/>
      <c r="E377" s="49"/>
      <c r="F377" s="49"/>
      <c r="G377" s="57"/>
      <c r="H377" s="58"/>
      <c r="I377" s="53"/>
      <c r="J377" s="53"/>
      <c r="K377" s="53"/>
      <c r="L377" s="57"/>
      <c r="M377" s="53"/>
      <c r="N377" s="58"/>
      <c r="O377" s="46"/>
    </row>
    <row r="378" spans="1:15" ht="24.95" customHeight="1" x14ac:dyDescent="0.2">
      <c r="A378" s="47"/>
      <c r="B378" s="48"/>
      <c r="C378" s="47"/>
      <c r="D378" s="47"/>
      <c r="E378" s="47"/>
      <c r="F378" s="47"/>
      <c r="G378" s="54"/>
      <c r="H378" s="55"/>
      <c r="I378" s="56"/>
      <c r="J378" s="56"/>
      <c r="K378" s="56"/>
      <c r="L378" s="54"/>
      <c r="M378" s="56"/>
      <c r="N378" s="55"/>
      <c r="O378" s="25"/>
    </row>
    <row r="379" spans="1:15" ht="24.95" customHeight="1" x14ac:dyDescent="0.2">
      <c r="A379" s="49"/>
      <c r="B379" s="50"/>
      <c r="C379" s="49"/>
      <c r="D379" s="49"/>
      <c r="E379" s="49"/>
      <c r="F379" s="49"/>
      <c r="G379" s="57"/>
      <c r="H379" s="58"/>
      <c r="I379" s="53"/>
      <c r="J379" s="53"/>
      <c r="K379" s="53"/>
      <c r="L379" s="57"/>
      <c r="M379" s="53"/>
      <c r="N379" s="58"/>
      <c r="O379" s="46"/>
    </row>
    <row r="380" spans="1:15" ht="24.95" customHeight="1" x14ac:dyDescent="0.2">
      <c r="A380" s="47"/>
      <c r="B380" s="48"/>
      <c r="C380" s="47"/>
      <c r="D380" s="47"/>
      <c r="E380" s="47"/>
      <c r="F380" s="47"/>
      <c r="G380" s="54"/>
      <c r="H380" s="55"/>
      <c r="I380" s="56"/>
      <c r="J380" s="56"/>
      <c r="K380" s="56"/>
      <c r="L380" s="54"/>
      <c r="M380" s="56"/>
      <c r="N380" s="55"/>
      <c r="O380" s="25"/>
    </row>
    <row r="381" spans="1:15" ht="24.95" customHeight="1" x14ac:dyDescent="0.2">
      <c r="A381" s="49"/>
      <c r="B381" s="50"/>
      <c r="C381" s="49"/>
      <c r="D381" s="49"/>
      <c r="E381" s="49"/>
      <c r="F381" s="49"/>
      <c r="G381" s="57"/>
      <c r="H381" s="58"/>
      <c r="I381" s="53"/>
      <c r="J381" s="53"/>
      <c r="K381" s="53"/>
      <c r="L381" s="57"/>
      <c r="M381" s="53"/>
      <c r="N381" s="58"/>
      <c r="O381" s="46"/>
    </row>
    <row r="382" spans="1:15" ht="24.95" customHeight="1" x14ac:dyDescent="0.2">
      <c r="A382" s="47"/>
      <c r="B382" s="48"/>
      <c r="C382" s="47"/>
      <c r="D382" s="47"/>
      <c r="E382" s="47"/>
      <c r="F382" s="47"/>
      <c r="G382" s="54"/>
      <c r="H382" s="55"/>
      <c r="I382" s="56"/>
      <c r="J382" s="56"/>
      <c r="K382" s="56"/>
      <c r="L382" s="54"/>
      <c r="M382" s="56"/>
      <c r="N382" s="55"/>
      <c r="O382" s="25"/>
    </row>
    <row r="383" spans="1:15" ht="24.95" customHeight="1" x14ac:dyDescent="0.2">
      <c r="A383" s="49"/>
      <c r="B383" s="50"/>
      <c r="C383" s="49"/>
      <c r="D383" s="49"/>
      <c r="E383" s="49"/>
      <c r="F383" s="49"/>
      <c r="G383" s="57"/>
      <c r="H383" s="58"/>
      <c r="I383" s="53"/>
      <c r="J383" s="53"/>
      <c r="K383" s="53"/>
      <c r="L383" s="57"/>
      <c r="M383" s="53"/>
      <c r="N383" s="58"/>
      <c r="O383" s="46"/>
    </row>
    <row r="384" spans="1:15" ht="24.95" customHeight="1" x14ac:dyDescent="0.2">
      <c r="A384" s="47"/>
      <c r="B384" s="48"/>
      <c r="C384" s="47"/>
      <c r="D384" s="47"/>
      <c r="E384" s="47"/>
      <c r="F384" s="47"/>
      <c r="G384" s="54"/>
      <c r="H384" s="55"/>
      <c r="I384" s="56"/>
      <c r="J384" s="56"/>
      <c r="K384" s="56"/>
      <c r="L384" s="54"/>
      <c r="M384" s="56"/>
      <c r="N384" s="55"/>
      <c r="O384" s="25"/>
    </row>
    <row r="385" spans="1:15" ht="24.95" customHeight="1" x14ac:dyDescent="0.2">
      <c r="A385" s="49"/>
      <c r="B385" s="50"/>
      <c r="C385" s="49"/>
      <c r="D385" s="49"/>
      <c r="E385" s="49"/>
      <c r="F385" s="49"/>
      <c r="G385" s="57"/>
      <c r="H385" s="58"/>
      <c r="I385" s="53"/>
      <c r="J385" s="53"/>
      <c r="K385" s="53"/>
      <c r="L385" s="57"/>
      <c r="M385" s="53"/>
      <c r="N385" s="58"/>
      <c r="O385" s="46"/>
    </row>
    <row r="386" spans="1:15" ht="24.95" customHeight="1" x14ac:dyDescent="0.2">
      <c r="A386" s="47"/>
      <c r="B386" s="48"/>
      <c r="C386" s="47"/>
      <c r="D386" s="47"/>
      <c r="E386" s="47"/>
      <c r="F386" s="47"/>
      <c r="G386" s="54"/>
      <c r="H386" s="55"/>
      <c r="I386" s="56"/>
      <c r="J386" s="56"/>
      <c r="K386" s="56"/>
      <c r="L386" s="54"/>
      <c r="M386" s="56"/>
      <c r="N386" s="55"/>
      <c r="O386" s="25"/>
    </row>
    <row r="387" spans="1:15" ht="24.95" customHeight="1" x14ac:dyDescent="0.2">
      <c r="A387" s="49"/>
      <c r="B387" s="50"/>
      <c r="C387" s="49"/>
      <c r="D387" s="49"/>
      <c r="E387" s="49"/>
      <c r="F387" s="49"/>
      <c r="G387" s="57"/>
      <c r="H387" s="58"/>
      <c r="I387" s="53"/>
      <c r="J387" s="53"/>
      <c r="K387" s="53"/>
      <c r="L387" s="57"/>
      <c r="M387" s="53"/>
      <c r="N387" s="58"/>
      <c r="O387" s="46"/>
    </row>
    <row r="388" spans="1:15" ht="24.95" customHeight="1" x14ac:dyDescent="0.2">
      <c r="A388" s="47"/>
      <c r="B388" s="48"/>
      <c r="C388" s="47"/>
      <c r="D388" s="47"/>
      <c r="E388" s="47"/>
      <c r="F388" s="47"/>
      <c r="G388" s="54"/>
      <c r="H388" s="55"/>
      <c r="I388" s="56"/>
      <c r="J388" s="56"/>
      <c r="K388" s="56"/>
      <c r="L388" s="54"/>
      <c r="M388" s="56"/>
      <c r="N388" s="55"/>
      <c r="O388" s="25"/>
    </row>
    <row r="389" spans="1:15" ht="24.95" customHeight="1" x14ac:dyDescent="0.2">
      <c r="A389" s="49"/>
      <c r="B389" s="50"/>
      <c r="C389" s="49"/>
      <c r="D389" s="49"/>
      <c r="E389" s="49"/>
      <c r="F389" s="49"/>
      <c r="G389" s="57"/>
      <c r="H389" s="58"/>
      <c r="I389" s="53"/>
      <c r="J389" s="53"/>
      <c r="K389" s="53"/>
      <c r="L389" s="57"/>
      <c r="M389" s="53"/>
      <c r="N389" s="58"/>
      <c r="O389" s="46"/>
    </row>
    <row r="390" spans="1:15" ht="24.95" customHeight="1" x14ac:dyDescent="0.2">
      <c r="A390" s="47"/>
      <c r="B390" s="48"/>
      <c r="C390" s="47"/>
      <c r="D390" s="47"/>
      <c r="E390" s="47"/>
      <c r="F390" s="47"/>
      <c r="G390" s="54"/>
      <c r="H390" s="55"/>
      <c r="I390" s="56"/>
      <c r="J390" s="56"/>
      <c r="K390" s="56"/>
      <c r="L390" s="54"/>
      <c r="M390" s="56"/>
      <c r="N390" s="55"/>
      <c r="O390" s="25"/>
    </row>
    <row r="391" spans="1:15" ht="24.95" customHeight="1" x14ac:dyDescent="0.2">
      <c r="A391" s="49"/>
      <c r="B391" s="50"/>
      <c r="C391" s="49"/>
      <c r="D391" s="49"/>
      <c r="E391" s="49"/>
      <c r="F391" s="49"/>
      <c r="G391" s="57"/>
      <c r="H391" s="58"/>
      <c r="I391" s="53"/>
      <c r="J391" s="53"/>
      <c r="K391" s="53"/>
      <c r="L391" s="57"/>
      <c r="M391" s="53"/>
      <c r="N391" s="58"/>
      <c r="O391" s="46"/>
    </row>
    <row r="392" spans="1:15" ht="24.95" customHeight="1" x14ac:dyDescent="0.2">
      <c r="A392" s="47"/>
      <c r="B392" s="48"/>
      <c r="C392" s="47"/>
      <c r="D392" s="47"/>
      <c r="E392" s="47"/>
      <c r="F392" s="47"/>
      <c r="G392" s="54"/>
      <c r="H392" s="55"/>
      <c r="I392" s="56"/>
      <c r="J392" s="56"/>
      <c r="K392" s="56"/>
      <c r="L392" s="54"/>
      <c r="M392" s="56"/>
      <c r="N392" s="55"/>
      <c r="O392" s="25"/>
    </row>
    <row r="393" spans="1:15" ht="24.95" customHeight="1" x14ac:dyDescent="0.2">
      <c r="A393" s="49"/>
      <c r="B393" s="50"/>
      <c r="C393" s="49"/>
      <c r="D393" s="49"/>
      <c r="E393" s="49"/>
      <c r="F393" s="49"/>
      <c r="G393" s="57"/>
      <c r="H393" s="58"/>
      <c r="I393" s="53"/>
      <c r="J393" s="53"/>
      <c r="K393" s="53"/>
      <c r="L393" s="57"/>
      <c r="M393" s="53"/>
      <c r="N393" s="58"/>
      <c r="O393" s="46"/>
    </row>
    <row r="394" spans="1:15" ht="24.95" customHeight="1" x14ac:dyDescent="0.2">
      <c r="A394" s="47"/>
      <c r="B394" s="48"/>
      <c r="C394" s="47"/>
      <c r="D394" s="47"/>
      <c r="E394" s="47"/>
      <c r="F394" s="47"/>
      <c r="G394" s="54"/>
      <c r="H394" s="55"/>
      <c r="I394" s="56"/>
      <c r="J394" s="56"/>
      <c r="K394" s="56"/>
      <c r="L394" s="54"/>
      <c r="M394" s="56"/>
      <c r="N394" s="55"/>
      <c r="O394" s="25"/>
    </row>
    <row r="395" spans="1:15" ht="24.95" customHeight="1" x14ac:dyDescent="0.2">
      <c r="A395" s="49"/>
      <c r="B395" s="50"/>
      <c r="C395" s="49"/>
      <c r="D395" s="49"/>
      <c r="E395" s="49"/>
      <c r="F395" s="49"/>
      <c r="G395" s="57"/>
      <c r="H395" s="58"/>
      <c r="I395" s="53"/>
      <c r="J395" s="53"/>
      <c r="K395" s="53"/>
      <c r="L395" s="57"/>
      <c r="M395" s="53"/>
      <c r="N395" s="58"/>
      <c r="O395" s="46"/>
    </row>
    <row r="396" spans="1:15" ht="24.95" customHeight="1" x14ac:dyDescent="0.2">
      <c r="A396" s="47"/>
      <c r="B396" s="48"/>
      <c r="C396" s="47"/>
      <c r="D396" s="47"/>
      <c r="E396" s="47"/>
      <c r="F396" s="47"/>
      <c r="G396" s="54"/>
      <c r="H396" s="55"/>
      <c r="I396" s="56"/>
      <c r="J396" s="56"/>
      <c r="K396" s="56"/>
      <c r="L396" s="54"/>
      <c r="M396" s="56"/>
      <c r="N396" s="55"/>
      <c r="O396" s="25"/>
    </row>
    <row r="397" spans="1:15" ht="24.95" customHeight="1" x14ac:dyDescent="0.2">
      <c r="A397" s="49"/>
      <c r="B397" s="50"/>
      <c r="C397" s="49"/>
      <c r="D397" s="49"/>
      <c r="E397" s="49"/>
      <c r="F397" s="49"/>
      <c r="G397" s="57"/>
      <c r="H397" s="58"/>
      <c r="I397" s="53"/>
      <c r="J397" s="53"/>
      <c r="K397" s="53"/>
      <c r="L397" s="57"/>
      <c r="M397" s="53"/>
      <c r="N397" s="58"/>
      <c r="O397" s="46"/>
    </row>
    <row r="398" spans="1:15" ht="24.95" customHeight="1" x14ac:dyDescent="0.2">
      <c r="A398" s="47"/>
      <c r="B398" s="48"/>
      <c r="C398" s="47"/>
      <c r="D398" s="47"/>
      <c r="E398" s="47"/>
      <c r="F398" s="47"/>
      <c r="G398" s="54"/>
      <c r="H398" s="55"/>
      <c r="I398" s="56"/>
      <c r="J398" s="56"/>
      <c r="K398" s="56"/>
      <c r="L398" s="54"/>
      <c r="M398" s="56"/>
      <c r="N398" s="55"/>
      <c r="O398" s="25"/>
    </row>
    <row r="399" spans="1:15" ht="24.95" customHeight="1" x14ac:dyDescent="0.2">
      <c r="A399" s="49"/>
      <c r="B399" s="50"/>
      <c r="C399" s="49"/>
      <c r="D399" s="49"/>
      <c r="E399" s="49"/>
      <c r="F399" s="49"/>
      <c r="G399" s="57"/>
      <c r="H399" s="58"/>
      <c r="I399" s="53"/>
      <c r="J399" s="53"/>
      <c r="K399" s="53"/>
      <c r="L399" s="57"/>
      <c r="M399" s="53"/>
      <c r="N399" s="58"/>
      <c r="O399" s="46"/>
    </row>
    <row r="400" spans="1:15" ht="24.95" customHeight="1" x14ac:dyDescent="0.2">
      <c r="A400" s="47"/>
      <c r="B400" s="48"/>
      <c r="C400" s="47"/>
      <c r="D400" s="47"/>
      <c r="E400" s="47"/>
      <c r="F400" s="47"/>
      <c r="G400" s="54"/>
      <c r="H400" s="55"/>
      <c r="I400" s="56"/>
      <c r="J400" s="56"/>
      <c r="K400" s="56"/>
      <c r="L400" s="54"/>
      <c r="M400" s="56"/>
      <c r="N400" s="55"/>
      <c r="O400" s="25"/>
    </row>
    <row r="401" spans="1:15" ht="24.95" customHeight="1" x14ac:dyDescent="0.2">
      <c r="A401" s="49"/>
      <c r="B401" s="50"/>
      <c r="C401" s="49"/>
      <c r="D401" s="49"/>
      <c r="E401" s="49"/>
      <c r="F401" s="49"/>
      <c r="G401" s="57"/>
      <c r="H401" s="58"/>
      <c r="I401" s="53"/>
      <c r="J401" s="53"/>
      <c r="K401" s="53"/>
      <c r="L401" s="57"/>
      <c r="M401" s="53"/>
      <c r="N401" s="58"/>
      <c r="O401" s="46"/>
    </row>
    <row r="402" spans="1:15" ht="24.95" customHeight="1" x14ac:dyDescent="0.2">
      <c r="A402" s="47"/>
      <c r="B402" s="48"/>
      <c r="C402" s="47"/>
      <c r="D402" s="47"/>
      <c r="E402" s="47"/>
      <c r="F402" s="47"/>
      <c r="G402" s="54"/>
      <c r="H402" s="55"/>
      <c r="I402" s="56"/>
      <c r="J402" s="56"/>
      <c r="K402" s="56"/>
      <c r="L402" s="54"/>
      <c r="M402" s="56"/>
      <c r="N402" s="55"/>
      <c r="O402" s="25"/>
    </row>
    <row r="403" spans="1:15" ht="24.95" customHeight="1" x14ac:dyDescent="0.2">
      <c r="A403" s="49"/>
      <c r="B403" s="50"/>
      <c r="C403" s="49"/>
      <c r="D403" s="49"/>
      <c r="E403" s="49"/>
      <c r="F403" s="49"/>
      <c r="G403" s="57"/>
      <c r="H403" s="58"/>
      <c r="I403" s="53"/>
      <c r="J403" s="53"/>
      <c r="K403" s="53"/>
      <c r="L403" s="57"/>
      <c r="M403" s="53"/>
      <c r="N403" s="58"/>
      <c r="O403" s="46"/>
    </row>
    <row r="404" spans="1:15" ht="24.95" customHeight="1" x14ac:dyDescent="0.2">
      <c r="A404" s="47"/>
      <c r="B404" s="48"/>
      <c r="C404" s="47"/>
      <c r="D404" s="47"/>
      <c r="E404" s="47"/>
      <c r="F404" s="47"/>
      <c r="G404" s="54"/>
      <c r="H404" s="55"/>
      <c r="I404" s="56"/>
      <c r="J404" s="56"/>
      <c r="K404" s="56"/>
      <c r="L404" s="54"/>
      <c r="M404" s="56"/>
      <c r="N404" s="55"/>
      <c r="O404" s="25"/>
    </row>
    <row r="405" spans="1:15" ht="24.95" customHeight="1" x14ac:dyDescent="0.2">
      <c r="A405" s="49"/>
      <c r="B405" s="50"/>
      <c r="C405" s="49"/>
      <c r="D405" s="49"/>
      <c r="E405" s="49"/>
      <c r="F405" s="49"/>
      <c r="G405" s="57"/>
      <c r="H405" s="58"/>
      <c r="I405" s="53"/>
      <c r="J405" s="53"/>
      <c r="K405" s="53"/>
      <c r="L405" s="57"/>
      <c r="M405" s="53"/>
      <c r="N405" s="58"/>
      <c r="O405" s="46"/>
    </row>
    <row r="406" spans="1:15" ht="24.95" customHeight="1" x14ac:dyDescent="0.2">
      <c r="A406" s="47"/>
      <c r="B406" s="48"/>
      <c r="C406" s="47"/>
      <c r="D406" s="47"/>
      <c r="E406" s="47"/>
      <c r="F406" s="47"/>
      <c r="G406" s="54"/>
      <c r="H406" s="55"/>
      <c r="I406" s="56"/>
      <c r="J406" s="56"/>
      <c r="K406" s="56"/>
      <c r="L406" s="54"/>
      <c r="M406" s="56"/>
      <c r="N406" s="55"/>
      <c r="O406" s="25"/>
    </row>
    <row r="407" spans="1:15" ht="24.95" customHeight="1" x14ac:dyDescent="0.2">
      <c r="A407" s="49"/>
      <c r="B407" s="50"/>
      <c r="C407" s="49"/>
      <c r="D407" s="49"/>
      <c r="E407" s="49"/>
      <c r="F407" s="49"/>
      <c r="G407" s="57"/>
      <c r="H407" s="58"/>
      <c r="I407" s="53"/>
      <c r="J407" s="53"/>
      <c r="K407" s="53"/>
      <c r="L407" s="57"/>
      <c r="M407" s="53"/>
      <c r="N407" s="58"/>
      <c r="O407" s="46"/>
    </row>
    <row r="408" spans="1:15" ht="24.95" customHeight="1" x14ac:dyDescent="0.2">
      <c r="A408" s="47"/>
      <c r="B408" s="48"/>
      <c r="C408" s="47"/>
      <c r="D408" s="47"/>
      <c r="E408" s="47"/>
      <c r="F408" s="47"/>
      <c r="G408" s="54"/>
      <c r="H408" s="55"/>
      <c r="I408" s="56"/>
      <c r="J408" s="56"/>
      <c r="K408" s="56"/>
      <c r="L408" s="54"/>
      <c r="M408" s="56"/>
      <c r="N408" s="55"/>
      <c r="O408" s="25"/>
    </row>
    <row r="409" spans="1:15" ht="24.95" customHeight="1" x14ac:dyDescent="0.2">
      <c r="A409" s="49"/>
      <c r="B409" s="50"/>
      <c r="C409" s="49"/>
      <c r="D409" s="49"/>
      <c r="E409" s="49"/>
      <c r="F409" s="49"/>
      <c r="G409" s="57"/>
      <c r="H409" s="58"/>
      <c r="I409" s="53"/>
      <c r="J409" s="53"/>
      <c r="K409" s="53"/>
      <c r="L409" s="57"/>
      <c r="M409" s="53"/>
      <c r="N409" s="58"/>
      <c r="O409" s="46"/>
    </row>
    <row r="410" spans="1:15" ht="24.95" customHeight="1" x14ac:dyDescent="0.2">
      <c r="A410" s="47"/>
      <c r="B410" s="48"/>
      <c r="C410" s="47"/>
      <c r="D410" s="47"/>
      <c r="E410" s="47"/>
      <c r="F410" s="47"/>
      <c r="G410" s="54"/>
      <c r="H410" s="55"/>
      <c r="I410" s="56"/>
      <c r="J410" s="56"/>
      <c r="K410" s="56"/>
      <c r="L410" s="54"/>
      <c r="M410" s="56"/>
      <c r="N410" s="55"/>
      <c r="O410" s="25"/>
    </row>
    <row r="411" spans="1:15" ht="24.95" customHeight="1" x14ac:dyDescent="0.2">
      <c r="A411" s="49"/>
      <c r="B411" s="50"/>
      <c r="C411" s="49"/>
      <c r="D411" s="49"/>
      <c r="E411" s="49"/>
      <c r="F411" s="49"/>
      <c r="G411" s="57"/>
      <c r="H411" s="58"/>
      <c r="I411" s="53"/>
      <c r="J411" s="53"/>
      <c r="K411" s="53"/>
      <c r="L411" s="57"/>
      <c r="M411" s="53"/>
      <c r="N411" s="58"/>
      <c r="O411" s="46"/>
    </row>
    <row r="412" spans="1:15" ht="24.95" customHeight="1" x14ac:dyDescent="0.2">
      <c r="A412" s="47"/>
      <c r="B412" s="48"/>
      <c r="C412" s="47"/>
      <c r="D412" s="47"/>
      <c r="E412" s="47"/>
      <c r="F412" s="47"/>
      <c r="G412" s="54"/>
      <c r="H412" s="55"/>
      <c r="I412" s="56"/>
      <c r="J412" s="56"/>
      <c r="K412" s="56"/>
      <c r="L412" s="54"/>
      <c r="M412" s="56"/>
      <c r="N412" s="55"/>
      <c r="O412" s="25"/>
    </row>
    <row r="413" spans="1:15" ht="24.95" customHeight="1" x14ac:dyDescent="0.2">
      <c r="A413" s="49"/>
      <c r="B413" s="50"/>
      <c r="C413" s="49"/>
      <c r="D413" s="49"/>
      <c r="E413" s="49"/>
      <c r="F413" s="49"/>
      <c r="G413" s="57"/>
      <c r="H413" s="58"/>
      <c r="I413" s="53"/>
      <c r="J413" s="53"/>
      <c r="K413" s="53"/>
      <c r="L413" s="57"/>
      <c r="M413" s="53"/>
      <c r="N413" s="58"/>
      <c r="O413" s="46"/>
    </row>
    <row r="414" spans="1:15" ht="24.95" customHeight="1" x14ac:dyDescent="0.2">
      <c r="A414" s="47"/>
      <c r="B414" s="48"/>
      <c r="C414" s="47"/>
      <c r="D414" s="47"/>
      <c r="E414" s="47"/>
      <c r="F414" s="47"/>
      <c r="G414" s="54"/>
      <c r="H414" s="55"/>
      <c r="I414" s="56"/>
      <c r="J414" s="56"/>
      <c r="K414" s="56"/>
      <c r="L414" s="54"/>
      <c r="M414" s="56"/>
      <c r="N414" s="55"/>
      <c r="O414" s="25"/>
    </row>
    <row r="415" spans="1:15" ht="24.95" customHeight="1" x14ac:dyDescent="0.2">
      <c r="A415" s="49"/>
      <c r="B415" s="50"/>
      <c r="C415" s="49"/>
      <c r="D415" s="49"/>
      <c r="E415" s="49"/>
      <c r="F415" s="49"/>
      <c r="G415" s="57"/>
      <c r="H415" s="58"/>
      <c r="I415" s="53"/>
      <c r="J415" s="53"/>
      <c r="K415" s="53"/>
      <c r="L415" s="57"/>
      <c r="M415" s="53"/>
      <c r="N415" s="58"/>
      <c r="O415" s="46"/>
    </row>
    <row r="416" spans="1:15" ht="24.95" customHeight="1" x14ac:dyDescent="0.2">
      <c r="A416" s="47"/>
      <c r="B416" s="48"/>
      <c r="C416" s="47"/>
      <c r="D416" s="47"/>
      <c r="E416" s="47"/>
      <c r="F416" s="47"/>
      <c r="G416" s="54"/>
      <c r="H416" s="55"/>
      <c r="I416" s="56"/>
      <c r="J416" s="56"/>
      <c r="K416" s="56"/>
      <c r="L416" s="54"/>
      <c r="M416" s="56"/>
      <c r="N416" s="55"/>
      <c r="O416" s="25"/>
    </row>
    <row r="417" spans="1:15" ht="24.95" customHeight="1" x14ac:dyDescent="0.2">
      <c r="A417" s="49"/>
      <c r="B417" s="50"/>
      <c r="C417" s="49"/>
      <c r="D417" s="49"/>
      <c r="E417" s="49"/>
      <c r="F417" s="49"/>
      <c r="G417" s="57"/>
      <c r="H417" s="58"/>
      <c r="I417" s="53"/>
      <c r="J417" s="53"/>
      <c r="K417" s="53"/>
      <c r="L417" s="57"/>
      <c r="M417" s="53"/>
      <c r="N417" s="58"/>
      <c r="O417" s="46"/>
    </row>
    <row r="418" spans="1:15" ht="24.95" customHeight="1" x14ac:dyDescent="0.2">
      <c r="A418" s="47"/>
      <c r="B418" s="48"/>
      <c r="C418" s="47"/>
      <c r="D418" s="47"/>
      <c r="E418" s="47"/>
      <c r="F418" s="47"/>
      <c r="G418" s="54"/>
      <c r="H418" s="55"/>
      <c r="I418" s="56"/>
      <c r="J418" s="56"/>
      <c r="K418" s="56"/>
      <c r="L418" s="54"/>
      <c r="M418" s="56"/>
      <c r="N418" s="55"/>
      <c r="O418" s="25"/>
    </row>
    <row r="419" spans="1:15" ht="24.95" customHeight="1" x14ac:dyDescent="0.2">
      <c r="A419" s="49"/>
      <c r="B419" s="50"/>
      <c r="C419" s="49"/>
      <c r="D419" s="49"/>
      <c r="E419" s="49"/>
      <c r="F419" s="49"/>
      <c r="G419" s="57"/>
      <c r="H419" s="58"/>
      <c r="I419" s="53"/>
      <c r="J419" s="53"/>
      <c r="K419" s="53"/>
      <c r="L419" s="57"/>
      <c r="M419" s="53"/>
      <c r="N419" s="58"/>
      <c r="O419" s="46"/>
    </row>
    <row r="420" spans="1:15" ht="24.95" customHeight="1" x14ac:dyDescent="0.2">
      <c r="A420" s="47"/>
      <c r="B420" s="48"/>
      <c r="C420" s="47"/>
      <c r="D420" s="47"/>
      <c r="E420" s="47"/>
      <c r="F420" s="47"/>
      <c r="G420" s="54"/>
      <c r="H420" s="55"/>
      <c r="I420" s="56"/>
      <c r="J420" s="56"/>
      <c r="K420" s="56"/>
      <c r="L420" s="54"/>
      <c r="M420" s="56"/>
      <c r="N420" s="55"/>
      <c r="O420" s="25"/>
    </row>
    <row r="421" spans="1:15" ht="24.95" customHeight="1" x14ac:dyDescent="0.2">
      <c r="A421" s="49"/>
      <c r="B421" s="50"/>
      <c r="C421" s="49"/>
      <c r="D421" s="49"/>
      <c r="E421" s="49"/>
      <c r="F421" s="49"/>
      <c r="G421" s="57"/>
      <c r="H421" s="58"/>
      <c r="I421" s="53"/>
      <c r="J421" s="53"/>
      <c r="K421" s="53"/>
      <c r="L421" s="57"/>
      <c r="M421" s="53"/>
      <c r="N421" s="58"/>
      <c r="O421" s="46"/>
    </row>
    <row r="422" spans="1:15" ht="24.95" customHeight="1" x14ac:dyDescent="0.2">
      <c r="A422" s="47"/>
      <c r="B422" s="48"/>
      <c r="C422" s="47"/>
      <c r="D422" s="47"/>
      <c r="E422" s="47"/>
      <c r="F422" s="47"/>
      <c r="G422" s="54"/>
      <c r="H422" s="55"/>
      <c r="I422" s="56"/>
      <c r="J422" s="56"/>
      <c r="K422" s="56"/>
      <c r="L422" s="54"/>
      <c r="M422" s="56"/>
      <c r="N422" s="55"/>
      <c r="O422" s="25"/>
    </row>
    <row r="423" spans="1:15" ht="24.95" customHeight="1" x14ac:dyDescent="0.2">
      <c r="A423" s="49"/>
      <c r="B423" s="50"/>
      <c r="C423" s="49"/>
      <c r="D423" s="49"/>
      <c r="E423" s="49"/>
      <c r="F423" s="49"/>
      <c r="G423" s="57"/>
      <c r="H423" s="58"/>
      <c r="I423" s="53"/>
      <c r="J423" s="53"/>
      <c r="K423" s="53"/>
      <c r="L423" s="57"/>
      <c r="M423" s="53"/>
      <c r="N423" s="58"/>
      <c r="O423" s="46"/>
    </row>
    <row r="424" spans="1:15" ht="24.95" customHeight="1" x14ac:dyDescent="0.2">
      <c r="A424" s="47"/>
      <c r="B424" s="48"/>
      <c r="C424" s="47"/>
      <c r="D424" s="47"/>
      <c r="E424" s="47"/>
      <c r="F424" s="47"/>
      <c r="G424" s="54"/>
      <c r="H424" s="55"/>
      <c r="I424" s="56"/>
      <c r="J424" s="56"/>
      <c r="K424" s="56"/>
      <c r="L424" s="54"/>
      <c r="M424" s="56"/>
      <c r="N424" s="55"/>
      <c r="O424" s="25"/>
    </row>
    <row r="425" spans="1:15" ht="24.95" customHeight="1" x14ac:dyDescent="0.2">
      <c r="A425" s="49"/>
      <c r="B425" s="50"/>
      <c r="C425" s="49"/>
      <c r="D425" s="49"/>
      <c r="E425" s="49"/>
      <c r="F425" s="49"/>
      <c r="G425" s="57"/>
      <c r="H425" s="58"/>
      <c r="I425" s="53"/>
      <c r="J425" s="53"/>
      <c r="K425" s="53"/>
      <c r="L425" s="57"/>
      <c r="M425" s="53"/>
      <c r="N425" s="58"/>
      <c r="O425" s="46"/>
    </row>
    <row r="426" spans="1:15" ht="24.95" customHeight="1" x14ac:dyDescent="0.2">
      <c r="A426" s="47"/>
      <c r="B426" s="48"/>
      <c r="C426" s="47"/>
      <c r="D426" s="47"/>
      <c r="E426" s="47"/>
      <c r="F426" s="47"/>
      <c r="G426" s="54"/>
      <c r="H426" s="55"/>
      <c r="I426" s="56"/>
      <c r="J426" s="56"/>
      <c r="K426" s="56"/>
      <c r="L426" s="54"/>
      <c r="M426" s="56"/>
      <c r="N426" s="55"/>
      <c r="O426" s="25"/>
    </row>
    <row r="427" spans="1:15" ht="24.95" customHeight="1" x14ac:dyDescent="0.2">
      <c r="A427" s="49"/>
      <c r="B427" s="50"/>
      <c r="C427" s="49"/>
      <c r="D427" s="49"/>
      <c r="E427" s="49"/>
      <c r="F427" s="49"/>
      <c r="G427" s="57"/>
      <c r="H427" s="58"/>
      <c r="I427" s="53"/>
      <c r="J427" s="53"/>
      <c r="K427" s="53"/>
      <c r="L427" s="57"/>
      <c r="M427" s="53"/>
      <c r="N427" s="58"/>
      <c r="O427" s="46"/>
    </row>
    <row r="428" spans="1:15" ht="24.95" customHeight="1" x14ac:dyDescent="0.2">
      <c r="A428" s="47"/>
      <c r="B428" s="48"/>
      <c r="C428" s="47"/>
      <c r="D428" s="47"/>
      <c r="E428" s="47"/>
      <c r="F428" s="47"/>
      <c r="G428" s="54"/>
      <c r="H428" s="55"/>
      <c r="I428" s="56"/>
      <c r="J428" s="56"/>
      <c r="K428" s="56"/>
      <c r="L428" s="54"/>
      <c r="M428" s="56"/>
      <c r="N428" s="55"/>
      <c r="O428" s="25"/>
    </row>
    <row r="429" spans="1:15" ht="24.95" customHeight="1" x14ac:dyDescent="0.2">
      <c r="A429" s="49"/>
      <c r="B429" s="50"/>
      <c r="C429" s="49"/>
      <c r="D429" s="49"/>
      <c r="E429" s="49"/>
      <c r="F429" s="49"/>
      <c r="G429" s="57"/>
      <c r="H429" s="58"/>
      <c r="I429" s="53"/>
      <c r="J429" s="53"/>
      <c r="K429" s="53"/>
      <c r="L429" s="57"/>
      <c r="M429" s="53"/>
      <c r="N429" s="58"/>
      <c r="O429" s="46"/>
    </row>
    <row r="430" spans="1:15" ht="24.95" customHeight="1" x14ac:dyDescent="0.2">
      <c r="A430" s="47"/>
      <c r="B430" s="48"/>
      <c r="C430" s="47"/>
      <c r="D430" s="47"/>
      <c r="E430" s="47"/>
      <c r="F430" s="47"/>
      <c r="G430" s="54"/>
      <c r="H430" s="55"/>
      <c r="I430" s="56"/>
      <c r="J430" s="56"/>
      <c r="K430" s="56"/>
      <c r="L430" s="54"/>
      <c r="M430" s="56"/>
      <c r="N430" s="55"/>
      <c r="O430" s="25"/>
    </row>
    <row r="431" spans="1:15" ht="24.95" customHeight="1" x14ac:dyDescent="0.2">
      <c r="A431" s="49"/>
      <c r="B431" s="50"/>
      <c r="C431" s="49"/>
      <c r="D431" s="49"/>
      <c r="E431" s="49"/>
      <c r="F431" s="49"/>
      <c r="G431" s="57"/>
      <c r="H431" s="58"/>
      <c r="I431" s="53"/>
      <c r="J431" s="53"/>
      <c r="K431" s="53"/>
      <c r="L431" s="57"/>
      <c r="M431" s="53"/>
      <c r="N431" s="58"/>
      <c r="O431" s="46"/>
    </row>
    <row r="432" spans="1:15" ht="21.95" customHeight="1" x14ac:dyDescent="0.2">
      <c r="A432" s="47"/>
      <c r="B432" s="48"/>
      <c r="C432" s="47"/>
      <c r="D432" s="47"/>
      <c r="E432" s="47"/>
      <c r="F432" s="47"/>
      <c r="G432" s="54"/>
      <c r="H432" s="55"/>
      <c r="I432" s="56"/>
      <c r="J432" s="56"/>
      <c r="K432" s="56"/>
      <c r="L432" s="54"/>
      <c r="M432" s="56"/>
      <c r="N432" s="55"/>
      <c r="O432" s="25"/>
    </row>
    <row r="433" spans="1:15" ht="21.95" customHeight="1" x14ac:dyDescent="0.2">
      <c r="A433" s="49"/>
      <c r="B433" s="50"/>
      <c r="C433" s="49"/>
      <c r="D433" s="49"/>
      <c r="E433" s="49"/>
      <c r="F433" s="49"/>
      <c r="G433" s="57"/>
      <c r="H433" s="58"/>
      <c r="I433" s="53"/>
      <c r="J433" s="53"/>
      <c r="K433" s="53"/>
      <c r="L433" s="57"/>
      <c r="M433" s="53"/>
      <c r="N433" s="58"/>
      <c r="O433" s="46"/>
    </row>
    <row r="434" spans="1:15" ht="21.95" customHeight="1" x14ac:dyDescent="0.2">
      <c r="A434" s="47"/>
      <c r="B434" s="48"/>
      <c r="C434" s="47"/>
      <c r="D434" s="47"/>
      <c r="E434" s="47"/>
      <c r="F434" s="47"/>
      <c r="G434" s="54"/>
      <c r="H434" s="55"/>
      <c r="I434" s="56"/>
      <c r="J434" s="56"/>
      <c r="K434" s="56"/>
      <c r="L434" s="54"/>
      <c r="M434" s="56"/>
      <c r="N434" s="55"/>
      <c r="O434" s="25"/>
    </row>
    <row r="435" spans="1:15" ht="21.95" customHeight="1" x14ac:dyDescent="0.2">
      <c r="A435" s="49"/>
      <c r="B435" s="50"/>
      <c r="C435" s="49"/>
      <c r="D435" s="49"/>
      <c r="E435" s="49"/>
      <c r="F435" s="49"/>
      <c r="G435" s="57"/>
      <c r="H435" s="58"/>
      <c r="I435" s="53"/>
      <c r="J435" s="53"/>
      <c r="K435" s="53"/>
      <c r="L435" s="57"/>
      <c r="M435" s="53"/>
      <c r="N435" s="58"/>
      <c r="O435" s="46"/>
    </row>
    <row r="436" spans="1:15" ht="21.95" customHeight="1" x14ac:dyDescent="0.2">
      <c r="A436" s="47"/>
      <c r="B436" s="48"/>
      <c r="C436" s="47"/>
      <c r="D436" s="47"/>
      <c r="E436" s="47"/>
      <c r="F436" s="47"/>
      <c r="G436" s="54"/>
      <c r="H436" s="55"/>
      <c r="I436" s="56"/>
      <c r="J436" s="56"/>
      <c r="K436" s="56"/>
      <c r="L436" s="54"/>
      <c r="M436" s="56"/>
      <c r="N436" s="55"/>
      <c r="O436" s="25"/>
    </row>
    <row r="437" spans="1:15" ht="21.95" customHeight="1" x14ac:dyDescent="0.2">
      <c r="A437" s="49"/>
      <c r="B437" s="50"/>
      <c r="C437" s="49"/>
      <c r="D437" s="49"/>
      <c r="E437" s="49"/>
      <c r="F437" s="49"/>
      <c r="G437" s="57"/>
      <c r="H437" s="58"/>
      <c r="I437" s="53"/>
      <c r="J437" s="53"/>
      <c r="K437" s="53"/>
      <c r="L437" s="57"/>
      <c r="M437" s="53"/>
      <c r="N437" s="58"/>
      <c r="O437" s="46"/>
    </row>
    <row r="438" spans="1:15" ht="21.95" customHeight="1" x14ac:dyDescent="0.2">
      <c r="A438" s="47"/>
      <c r="B438" s="48"/>
      <c r="C438" s="47"/>
      <c r="D438" s="47"/>
      <c r="E438" s="47"/>
      <c r="F438" s="47"/>
      <c r="G438" s="54"/>
      <c r="H438" s="55"/>
      <c r="I438" s="56"/>
      <c r="J438" s="56"/>
      <c r="K438" s="56"/>
      <c r="L438" s="54"/>
      <c r="M438" s="56"/>
      <c r="N438" s="55"/>
      <c r="O438" s="25"/>
    </row>
    <row r="439" spans="1:15" ht="21.95" customHeight="1" x14ac:dyDescent="0.2">
      <c r="A439" s="49"/>
      <c r="B439" s="50"/>
      <c r="C439" s="49"/>
      <c r="D439" s="49"/>
      <c r="E439" s="49"/>
      <c r="F439" s="49"/>
      <c r="G439" s="57"/>
      <c r="H439" s="58"/>
      <c r="I439" s="53"/>
      <c r="J439" s="53"/>
      <c r="K439" s="53"/>
      <c r="L439" s="57"/>
      <c r="M439" s="53"/>
      <c r="N439" s="58"/>
      <c r="O439" s="46"/>
    </row>
    <row r="440" spans="1:15" ht="21.95" customHeight="1" x14ac:dyDescent="0.2">
      <c r="A440" s="47"/>
      <c r="B440" s="48"/>
      <c r="C440" s="47"/>
      <c r="D440" s="47"/>
      <c r="E440" s="47"/>
      <c r="F440" s="47"/>
      <c r="G440" s="54"/>
      <c r="H440" s="55"/>
      <c r="I440" s="56"/>
      <c r="J440" s="56"/>
      <c r="K440" s="56"/>
      <c r="L440" s="54"/>
      <c r="M440" s="56"/>
      <c r="N440" s="55"/>
      <c r="O440" s="25"/>
    </row>
    <row r="441" spans="1:15" ht="21.95" customHeight="1" x14ac:dyDescent="0.2">
      <c r="A441" s="49"/>
      <c r="B441" s="50"/>
      <c r="C441" s="49"/>
      <c r="D441" s="49"/>
      <c r="E441" s="49"/>
      <c r="F441" s="49"/>
      <c r="G441" s="57"/>
      <c r="H441" s="58"/>
      <c r="I441" s="53"/>
      <c r="J441" s="53"/>
      <c r="K441" s="53"/>
      <c r="L441" s="57"/>
      <c r="M441" s="53"/>
      <c r="N441" s="58"/>
      <c r="O441" s="46"/>
    </row>
    <row r="442" spans="1:15" ht="21.95" customHeight="1" x14ac:dyDescent="0.2">
      <c r="A442" s="47"/>
      <c r="B442" s="48"/>
      <c r="C442" s="47"/>
      <c r="D442" s="47"/>
      <c r="E442" s="47"/>
      <c r="F442" s="47"/>
      <c r="G442" s="54"/>
      <c r="H442" s="55"/>
      <c r="I442" s="56"/>
      <c r="J442" s="56"/>
      <c r="K442" s="56"/>
      <c r="L442" s="54"/>
      <c r="M442" s="56"/>
      <c r="N442" s="55"/>
      <c r="O442" s="25"/>
    </row>
    <row r="443" spans="1:15" ht="21.95" customHeight="1" x14ac:dyDescent="0.2">
      <c r="A443" s="49"/>
      <c r="B443" s="50"/>
      <c r="C443" s="49"/>
      <c r="D443" s="49"/>
      <c r="E443" s="49"/>
      <c r="F443" s="49"/>
      <c r="G443" s="57"/>
      <c r="H443" s="58"/>
      <c r="I443" s="53"/>
      <c r="J443" s="53"/>
      <c r="K443" s="53"/>
      <c r="L443" s="57"/>
      <c r="M443" s="53"/>
      <c r="N443" s="58"/>
      <c r="O443" s="46"/>
    </row>
    <row r="444" spans="1:15" ht="21.95" customHeight="1" x14ac:dyDescent="0.2">
      <c r="A444" s="47"/>
      <c r="B444" s="48"/>
      <c r="C444" s="47"/>
      <c r="D444" s="47"/>
      <c r="E444" s="47"/>
      <c r="F444" s="47"/>
      <c r="G444" s="54"/>
      <c r="H444" s="55"/>
      <c r="I444" s="56"/>
      <c r="J444" s="56"/>
      <c r="K444" s="56"/>
      <c r="L444" s="54"/>
      <c r="M444" s="56"/>
      <c r="N444" s="55"/>
      <c r="O444" s="25"/>
    </row>
    <row r="445" spans="1:15" ht="21.95" customHeight="1" x14ac:dyDescent="0.2">
      <c r="A445" s="49"/>
      <c r="B445" s="50"/>
      <c r="C445" s="49"/>
      <c r="D445" s="49"/>
      <c r="E445" s="49"/>
      <c r="F445" s="49"/>
      <c r="G445" s="57"/>
      <c r="H445" s="58"/>
      <c r="I445" s="53"/>
      <c r="J445" s="53"/>
      <c r="K445" s="53"/>
      <c r="L445" s="57"/>
      <c r="M445" s="53"/>
      <c r="N445" s="58"/>
      <c r="O445" s="46"/>
    </row>
    <row r="446" spans="1:15" ht="21.95" customHeight="1" x14ac:dyDescent="0.2">
      <c r="A446" s="47"/>
      <c r="B446" s="48"/>
      <c r="C446" s="47"/>
      <c r="D446" s="47"/>
      <c r="E446" s="47"/>
      <c r="F446" s="47"/>
      <c r="G446" s="54"/>
      <c r="H446" s="55"/>
      <c r="I446" s="56"/>
      <c r="J446" s="56"/>
      <c r="K446" s="56"/>
      <c r="L446" s="54"/>
      <c r="M446" s="56"/>
      <c r="N446" s="55"/>
      <c r="O446" s="25"/>
    </row>
    <row r="447" spans="1:15" ht="21.95" customHeight="1" x14ac:dyDescent="0.2">
      <c r="A447" s="49"/>
      <c r="B447" s="50"/>
      <c r="C447" s="49"/>
      <c r="D447" s="49"/>
      <c r="E447" s="49"/>
      <c r="F447" s="49"/>
      <c r="G447" s="57"/>
      <c r="H447" s="58"/>
      <c r="I447" s="53"/>
      <c r="J447" s="53"/>
      <c r="K447" s="53"/>
      <c r="L447" s="57"/>
      <c r="M447" s="53"/>
      <c r="N447" s="58"/>
      <c r="O447" s="46"/>
    </row>
    <row r="448" spans="1:15" ht="21.95" customHeight="1" x14ac:dyDescent="0.2">
      <c r="A448" s="47"/>
      <c r="B448" s="48"/>
      <c r="C448" s="47"/>
      <c r="D448" s="47"/>
      <c r="E448" s="47"/>
      <c r="F448" s="47"/>
      <c r="G448" s="54"/>
      <c r="H448" s="55"/>
      <c r="I448" s="56"/>
      <c r="J448" s="56"/>
      <c r="K448" s="56"/>
      <c r="L448" s="54"/>
      <c r="M448" s="56"/>
      <c r="N448" s="55"/>
      <c r="O448" s="25"/>
    </row>
    <row r="449" spans="1:15" ht="21.95" customHeight="1" x14ac:dyDescent="0.2">
      <c r="A449" s="49"/>
      <c r="B449" s="50"/>
      <c r="C449" s="49"/>
      <c r="D449" s="49"/>
      <c r="E449" s="49"/>
      <c r="F449" s="49"/>
      <c r="G449" s="57"/>
      <c r="H449" s="58"/>
      <c r="I449" s="53"/>
      <c r="J449" s="53"/>
      <c r="K449" s="53"/>
      <c r="L449" s="57"/>
      <c r="M449" s="53"/>
      <c r="N449" s="58"/>
      <c r="O449" s="46"/>
    </row>
    <row r="450" spans="1:15" ht="21.95" customHeight="1" x14ac:dyDescent="0.2">
      <c r="A450" s="47"/>
      <c r="B450" s="48"/>
      <c r="C450" s="47"/>
      <c r="D450" s="47"/>
      <c r="E450" s="47"/>
      <c r="F450" s="47"/>
      <c r="G450" s="54"/>
      <c r="H450" s="55"/>
      <c r="I450" s="56"/>
      <c r="J450" s="56"/>
      <c r="K450" s="56"/>
      <c r="L450" s="54"/>
      <c r="M450" s="56"/>
      <c r="N450" s="55"/>
      <c r="O450" s="25"/>
    </row>
    <row r="451" spans="1:15" ht="21.95" customHeight="1" x14ac:dyDescent="0.2">
      <c r="A451" s="49"/>
      <c r="B451" s="50"/>
      <c r="C451" s="49"/>
      <c r="D451" s="49"/>
      <c r="E451" s="49"/>
      <c r="F451" s="49"/>
      <c r="G451" s="57"/>
      <c r="H451" s="58"/>
      <c r="I451" s="53"/>
      <c r="J451" s="53"/>
      <c r="K451" s="53"/>
      <c r="L451" s="57"/>
      <c r="M451" s="53"/>
      <c r="N451" s="58"/>
      <c r="O451" s="46"/>
    </row>
    <row r="452" spans="1:15" ht="21.95" customHeight="1" x14ac:dyDescent="0.2">
      <c r="A452" s="47"/>
      <c r="B452" s="48"/>
      <c r="C452" s="47"/>
      <c r="D452" s="47"/>
      <c r="E452" s="47"/>
      <c r="F452" s="47"/>
      <c r="G452" s="54"/>
      <c r="H452" s="55"/>
      <c r="I452" s="56"/>
      <c r="J452" s="56"/>
      <c r="K452" s="56"/>
      <c r="L452" s="54"/>
      <c r="M452" s="56"/>
      <c r="N452" s="55"/>
      <c r="O452" s="25"/>
    </row>
    <row r="453" spans="1:15" ht="21.95" customHeight="1" x14ac:dyDescent="0.2">
      <c r="A453" s="49"/>
      <c r="B453" s="50"/>
      <c r="C453" s="49"/>
      <c r="D453" s="49"/>
      <c r="E453" s="49"/>
      <c r="F453" s="49"/>
      <c r="G453" s="57"/>
      <c r="H453" s="58"/>
      <c r="I453" s="53"/>
      <c r="J453" s="53"/>
      <c r="K453" s="53"/>
      <c r="L453" s="57"/>
      <c r="M453" s="53"/>
      <c r="N453" s="58"/>
      <c r="O453" s="46"/>
    </row>
    <row r="454" spans="1:15" ht="21.95" customHeight="1" x14ac:dyDescent="0.2">
      <c r="A454" s="47"/>
      <c r="B454" s="48"/>
      <c r="C454" s="47"/>
      <c r="D454" s="47"/>
      <c r="E454" s="47"/>
      <c r="F454" s="47"/>
      <c r="G454" s="54"/>
      <c r="H454" s="55"/>
      <c r="I454" s="56"/>
      <c r="J454" s="56"/>
      <c r="K454" s="56"/>
      <c r="L454" s="54"/>
      <c r="M454" s="56"/>
      <c r="N454" s="55"/>
      <c r="O454" s="25"/>
    </row>
    <row r="455" spans="1:15" ht="21.95" customHeight="1" x14ac:dyDescent="0.2">
      <c r="A455" s="49"/>
      <c r="B455" s="50"/>
      <c r="C455" s="49"/>
      <c r="D455" s="49"/>
      <c r="E455" s="49"/>
      <c r="F455" s="49"/>
      <c r="G455" s="57"/>
      <c r="H455" s="58"/>
      <c r="I455" s="53"/>
      <c r="J455" s="53"/>
      <c r="K455" s="53"/>
      <c r="L455" s="57"/>
      <c r="M455" s="53"/>
      <c r="N455" s="58"/>
      <c r="O455" s="46"/>
    </row>
    <row r="456" spans="1:15" ht="21.95" customHeight="1" x14ac:dyDescent="0.2">
      <c r="A456" s="47"/>
      <c r="B456" s="48"/>
      <c r="C456" s="47"/>
      <c r="D456" s="47"/>
      <c r="E456" s="47"/>
      <c r="F456" s="47"/>
      <c r="G456" s="54"/>
      <c r="H456" s="55"/>
      <c r="I456" s="56"/>
      <c r="J456" s="56"/>
      <c r="K456" s="56"/>
      <c r="L456" s="54"/>
      <c r="M456" s="56"/>
      <c r="N456" s="55"/>
      <c r="O456" s="25"/>
    </row>
    <row r="457" spans="1:15" ht="21.95" customHeight="1" x14ac:dyDescent="0.2">
      <c r="A457" s="49"/>
      <c r="B457" s="50"/>
      <c r="C457" s="49"/>
      <c r="D457" s="49"/>
      <c r="E457" s="49"/>
      <c r="F457" s="49"/>
      <c r="G457" s="57"/>
      <c r="H457" s="58"/>
      <c r="I457" s="53"/>
      <c r="J457" s="53"/>
      <c r="K457" s="53"/>
      <c r="L457" s="57"/>
      <c r="M457" s="53"/>
      <c r="N457" s="58"/>
      <c r="O457" s="46"/>
    </row>
    <row r="458" spans="1:15" ht="21.95" customHeight="1" x14ac:dyDescent="0.2">
      <c r="A458" s="47"/>
      <c r="B458" s="48"/>
      <c r="C458" s="47"/>
      <c r="D458" s="47"/>
      <c r="E458" s="47"/>
      <c r="F458" s="47"/>
      <c r="G458" s="54"/>
      <c r="H458" s="55"/>
      <c r="I458" s="56"/>
      <c r="J458" s="56"/>
      <c r="K458" s="56"/>
      <c r="L458" s="54"/>
      <c r="M458" s="56"/>
      <c r="N458" s="55"/>
      <c r="O458" s="25"/>
    </row>
    <row r="459" spans="1:15" ht="21.95" customHeight="1" x14ac:dyDescent="0.2">
      <c r="A459" s="49"/>
      <c r="B459" s="50"/>
      <c r="C459" s="49"/>
      <c r="D459" s="49"/>
      <c r="E459" s="49"/>
      <c r="F459" s="49"/>
      <c r="G459" s="57"/>
      <c r="H459" s="58"/>
      <c r="I459" s="53"/>
      <c r="J459" s="53"/>
      <c r="K459" s="53"/>
      <c r="L459" s="57"/>
      <c r="M459" s="53"/>
      <c r="N459" s="58"/>
      <c r="O459" s="46"/>
    </row>
    <row r="460" spans="1:15" ht="21.95" customHeight="1" x14ac:dyDescent="0.2">
      <c r="A460" s="47"/>
      <c r="B460" s="48"/>
      <c r="C460" s="47"/>
      <c r="D460" s="47"/>
      <c r="E460" s="47"/>
      <c r="F460" s="47"/>
      <c r="G460" s="54"/>
      <c r="H460" s="55"/>
      <c r="I460" s="56"/>
      <c r="J460" s="56"/>
      <c r="K460" s="56"/>
      <c r="L460" s="54"/>
      <c r="M460" s="56"/>
      <c r="N460" s="55"/>
      <c r="O460" s="25"/>
    </row>
    <row r="461" spans="1:15" ht="21.95" customHeight="1" x14ac:dyDescent="0.2">
      <c r="A461" s="49"/>
      <c r="B461" s="50"/>
      <c r="C461" s="49"/>
      <c r="D461" s="49"/>
      <c r="E461" s="49"/>
      <c r="F461" s="49"/>
      <c r="G461" s="57"/>
      <c r="H461" s="58"/>
      <c r="I461" s="53"/>
      <c r="J461" s="53"/>
      <c r="K461" s="53"/>
      <c r="L461" s="57"/>
      <c r="M461" s="53"/>
      <c r="N461" s="58"/>
      <c r="O461" s="46"/>
    </row>
    <row r="462" spans="1:15" ht="21.95" customHeight="1" x14ac:dyDescent="0.2">
      <c r="A462" s="47"/>
      <c r="B462" s="48"/>
      <c r="C462" s="47"/>
      <c r="D462" s="47"/>
      <c r="E462" s="47"/>
      <c r="F462" s="47"/>
      <c r="G462" s="54"/>
      <c r="H462" s="55"/>
      <c r="I462" s="56"/>
      <c r="J462" s="56"/>
      <c r="K462" s="56"/>
      <c r="L462" s="54"/>
      <c r="M462" s="56"/>
      <c r="N462" s="55"/>
      <c r="O462" s="25"/>
    </row>
    <row r="463" spans="1:15" ht="21.95" customHeight="1" x14ac:dyDescent="0.2">
      <c r="A463" s="49"/>
      <c r="B463" s="50"/>
      <c r="C463" s="49"/>
      <c r="D463" s="49"/>
      <c r="E463" s="49"/>
      <c r="F463" s="49"/>
      <c r="G463" s="57"/>
      <c r="H463" s="58"/>
      <c r="I463" s="53"/>
      <c r="J463" s="53"/>
      <c r="K463" s="53"/>
      <c r="L463" s="57"/>
      <c r="M463" s="53"/>
      <c r="N463" s="58"/>
      <c r="O463" s="46"/>
    </row>
    <row r="464" spans="1:15" ht="21.95" customHeight="1" x14ac:dyDescent="0.2">
      <c r="A464" s="47"/>
      <c r="B464" s="48"/>
      <c r="C464" s="47"/>
      <c r="D464" s="47"/>
      <c r="E464" s="47"/>
      <c r="F464" s="47"/>
      <c r="G464" s="54"/>
      <c r="H464" s="55"/>
      <c r="I464" s="56"/>
      <c r="J464" s="56"/>
      <c r="K464" s="56"/>
      <c r="L464" s="54"/>
      <c r="M464" s="56"/>
      <c r="N464" s="55"/>
      <c r="O464" s="25"/>
    </row>
    <row r="465" spans="1:15" ht="21.95" customHeight="1" x14ac:dyDescent="0.2">
      <c r="A465" s="49"/>
      <c r="B465" s="50"/>
      <c r="C465" s="49"/>
      <c r="D465" s="49"/>
      <c r="E465" s="49"/>
      <c r="F465" s="49"/>
      <c r="G465" s="57"/>
      <c r="H465" s="58"/>
      <c r="I465" s="53"/>
      <c r="J465" s="53"/>
      <c r="K465" s="53"/>
      <c r="L465" s="57"/>
      <c r="M465" s="53"/>
      <c r="N465" s="58"/>
      <c r="O465" s="46"/>
    </row>
    <row r="466" spans="1:15" ht="21.95" customHeight="1" x14ac:dyDescent="0.2">
      <c r="A466" s="47"/>
      <c r="B466" s="48"/>
      <c r="C466" s="47"/>
      <c r="D466" s="47"/>
      <c r="E466" s="47"/>
      <c r="F466" s="47"/>
      <c r="G466" s="54"/>
      <c r="H466" s="55"/>
      <c r="I466" s="56"/>
      <c r="J466" s="56"/>
      <c r="K466" s="56"/>
      <c r="L466" s="54"/>
      <c r="M466" s="56"/>
      <c r="N466" s="55"/>
      <c r="O466" s="25"/>
    </row>
    <row r="467" spans="1:15" ht="21.95" customHeight="1" x14ac:dyDescent="0.2">
      <c r="A467" s="49"/>
      <c r="B467" s="50"/>
      <c r="C467" s="49"/>
      <c r="D467" s="49"/>
      <c r="E467" s="49"/>
      <c r="F467" s="49"/>
      <c r="G467" s="57"/>
      <c r="H467" s="58"/>
      <c r="I467" s="53"/>
      <c r="J467" s="53"/>
      <c r="K467" s="53"/>
      <c r="L467" s="57"/>
      <c r="M467" s="53"/>
      <c r="N467" s="58"/>
      <c r="O467" s="46"/>
    </row>
    <row r="468" spans="1:15" ht="21.95" customHeight="1" x14ac:dyDescent="0.2">
      <c r="A468" s="47"/>
      <c r="B468" s="48"/>
      <c r="C468" s="47"/>
      <c r="D468" s="47"/>
      <c r="E468" s="47"/>
      <c r="F468" s="47"/>
      <c r="G468" s="54"/>
      <c r="H468" s="55"/>
      <c r="I468" s="56"/>
      <c r="J468" s="56"/>
      <c r="K468" s="56"/>
      <c r="L468" s="54"/>
      <c r="M468" s="56"/>
      <c r="N468" s="55"/>
      <c r="O468" s="25"/>
    </row>
    <row r="469" spans="1:15" ht="21.95" customHeight="1" x14ac:dyDescent="0.2">
      <c r="A469" s="49"/>
      <c r="B469" s="50"/>
      <c r="C469" s="49"/>
      <c r="D469" s="49"/>
      <c r="E469" s="49"/>
      <c r="F469" s="49"/>
      <c r="G469" s="57"/>
      <c r="H469" s="58"/>
      <c r="I469" s="53"/>
      <c r="J469" s="53"/>
      <c r="K469" s="53"/>
      <c r="L469" s="57"/>
      <c r="M469" s="53"/>
      <c r="N469" s="58"/>
      <c r="O469" s="46"/>
    </row>
    <row r="470" spans="1:15" ht="21.95" customHeight="1" x14ac:dyDescent="0.2">
      <c r="A470" s="47"/>
      <c r="B470" s="48"/>
      <c r="C470" s="47"/>
      <c r="D470" s="47"/>
      <c r="E470" s="47"/>
      <c r="F470" s="47"/>
      <c r="G470" s="54"/>
      <c r="H470" s="55"/>
      <c r="I470" s="56"/>
      <c r="J470" s="56"/>
      <c r="K470" s="56"/>
      <c r="L470" s="54"/>
      <c r="M470" s="56"/>
      <c r="N470" s="55"/>
      <c r="O470" s="25"/>
    </row>
    <row r="471" spans="1:15" ht="21.95" customHeight="1" x14ac:dyDescent="0.2">
      <c r="A471" s="49"/>
      <c r="B471" s="50"/>
      <c r="C471" s="49"/>
      <c r="D471" s="49"/>
      <c r="E471" s="49"/>
      <c r="F471" s="49"/>
      <c r="G471" s="57"/>
      <c r="H471" s="58"/>
      <c r="I471" s="53"/>
      <c r="J471" s="53"/>
      <c r="K471" s="53"/>
      <c r="L471" s="57"/>
      <c r="M471" s="53"/>
      <c r="N471" s="58"/>
      <c r="O471" s="46"/>
    </row>
    <row r="472" spans="1:15" ht="21.95" customHeight="1" x14ac:dyDescent="0.2">
      <c r="A472" s="47"/>
      <c r="B472" s="48"/>
      <c r="C472" s="47"/>
      <c r="D472" s="47"/>
      <c r="E472" s="47"/>
      <c r="F472" s="47"/>
      <c r="G472" s="54"/>
      <c r="H472" s="55"/>
      <c r="I472" s="56"/>
      <c r="J472" s="56"/>
      <c r="K472" s="56"/>
      <c r="L472" s="54"/>
      <c r="M472" s="56"/>
      <c r="N472" s="55"/>
      <c r="O472" s="25"/>
    </row>
    <row r="473" spans="1:15" ht="21.95" customHeight="1" x14ac:dyDescent="0.2">
      <c r="A473" s="49"/>
      <c r="B473" s="50"/>
      <c r="C473" s="49"/>
      <c r="D473" s="49"/>
      <c r="E473" s="49"/>
      <c r="F473" s="49"/>
      <c r="G473" s="57"/>
      <c r="H473" s="58"/>
      <c r="I473" s="53"/>
      <c r="J473" s="53"/>
      <c r="K473" s="53"/>
      <c r="L473" s="57"/>
      <c r="M473" s="53"/>
      <c r="N473" s="58"/>
      <c r="O473" s="46"/>
    </row>
    <row r="474" spans="1:15" ht="21.95" customHeight="1" x14ac:dyDescent="0.2">
      <c r="A474" s="47"/>
      <c r="B474" s="48"/>
      <c r="C474" s="47"/>
      <c r="D474" s="47"/>
      <c r="E474" s="47"/>
      <c r="F474" s="47"/>
      <c r="G474" s="54"/>
      <c r="H474" s="55"/>
      <c r="I474" s="56"/>
      <c r="J474" s="56"/>
      <c r="K474" s="56"/>
      <c r="L474" s="54"/>
      <c r="M474" s="56"/>
      <c r="N474" s="55"/>
      <c r="O474" s="25"/>
    </row>
    <row r="475" spans="1:15" ht="21.95" customHeight="1" x14ac:dyDescent="0.2">
      <c r="A475" s="49"/>
      <c r="B475" s="50"/>
      <c r="C475" s="49"/>
      <c r="D475" s="49"/>
      <c r="E475" s="49"/>
      <c r="F475" s="49"/>
      <c r="G475" s="57"/>
      <c r="H475" s="58"/>
      <c r="I475" s="53"/>
      <c r="J475" s="53"/>
      <c r="K475" s="53"/>
      <c r="L475" s="57"/>
      <c r="M475" s="53"/>
      <c r="N475" s="58"/>
      <c r="O475" s="46"/>
    </row>
    <row r="476" spans="1:15" ht="21.95" customHeight="1" x14ac:dyDescent="0.2">
      <c r="A476" s="47"/>
      <c r="B476" s="48"/>
      <c r="C476" s="47"/>
      <c r="D476" s="47"/>
      <c r="E476" s="47"/>
      <c r="F476" s="47"/>
      <c r="G476" s="54"/>
      <c r="H476" s="55"/>
      <c r="I476" s="56"/>
      <c r="J476" s="56"/>
      <c r="K476" s="56"/>
      <c r="L476" s="54"/>
      <c r="M476" s="56"/>
      <c r="N476" s="55"/>
      <c r="O476" s="25"/>
    </row>
    <row r="477" spans="1:15" ht="21.95" customHeight="1" x14ac:dyDescent="0.2">
      <c r="A477" s="49"/>
      <c r="B477" s="50"/>
      <c r="C477" s="49"/>
      <c r="D477" s="49"/>
      <c r="E477" s="49"/>
      <c r="F477" s="49"/>
      <c r="G477" s="57"/>
      <c r="H477" s="58"/>
      <c r="I477" s="53"/>
      <c r="J477" s="53"/>
      <c r="K477" s="53"/>
      <c r="L477" s="57"/>
      <c r="M477" s="53"/>
      <c r="N477" s="58"/>
      <c r="O477" s="46"/>
    </row>
    <row r="478" spans="1:15" ht="21.95" customHeight="1" x14ac:dyDescent="0.2">
      <c r="A478" s="47"/>
      <c r="B478" s="48"/>
      <c r="C478" s="47"/>
      <c r="D478" s="47"/>
      <c r="E478" s="47"/>
      <c r="F478" s="47"/>
      <c r="G478" s="54"/>
      <c r="H478" s="55"/>
      <c r="I478" s="56"/>
      <c r="J478" s="56"/>
      <c r="K478" s="56"/>
      <c r="L478" s="54"/>
      <c r="M478" s="56"/>
      <c r="N478" s="55"/>
      <c r="O478" s="25"/>
    </row>
    <row r="479" spans="1:15" ht="21.95" customHeight="1" x14ac:dyDescent="0.2">
      <c r="A479" s="49"/>
      <c r="B479" s="50"/>
      <c r="C479" s="49"/>
      <c r="D479" s="49"/>
      <c r="E479" s="49"/>
      <c r="F479" s="49"/>
      <c r="G479" s="57"/>
      <c r="H479" s="58"/>
      <c r="I479" s="53"/>
      <c r="J479" s="53"/>
      <c r="K479" s="53"/>
      <c r="L479" s="57"/>
      <c r="M479" s="53"/>
      <c r="N479" s="58"/>
      <c r="O479" s="46"/>
    </row>
    <row r="480" spans="1:15" ht="21.95" customHeight="1" x14ac:dyDescent="0.2">
      <c r="A480" s="47"/>
      <c r="B480" s="48"/>
      <c r="C480" s="47"/>
      <c r="D480" s="47"/>
      <c r="E480" s="47"/>
      <c r="F480" s="47"/>
      <c r="G480" s="54"/>
      <c r="H480" s="55"/>
      <c r="I480" s="56"/>
      <c r="J480" s="56"/>
      <c r="K480" s="56"/>
      <c r="L480" s="54"/>
      <c r="M480" s="56"/>
      <c r="N480" s="55"/>
      <c r="O480" s="25"/>
    </row>
    <row r="481" spans="1:15" ht="21.95" customHeight="1" x14ac:dyDescent="0.2">
      <c r="A481" s="49"/>
      <c r="B481" s="50"/>
      <c r="C481" s="49"/>
      <c r="D481" s="49"/>
      <c r="E481" s="49"/>
      <c r="F481" s="49"/>
      <c r="G481" s="57"/>
      <c r="H481" s="58"/>
      <c r="I481" s="53"/>
      <c r="J481" s="53"/>
      <c r="K481" s="53"/>
      <c r="L481" s="57"/>
      <c r="M481" s="53"/>
      <c r="N481" s="58"/>
      <c r="O481" s="46"/>
    </row>
    <row r="482" spans="1:15" ht="21.95" customHeight="1" x14ac:dyDescent="0.2">
      <c r="A482" s="47"/>
      <c r="B482" s="48"/>
      <c r="C482" s="47"/>
      <c r="D482" s="47"/>
      <c r="E482" s="47"/>
      <c r="F482" s="47"/>
      <c r="G482" s="54"/>
      <c r="H482" s="55"/>
      <c r="I482" s="56"/>
      <c r="J482" s="56"/>
      <c r="K482" s="56"/>
      <c r="L482" s="54"/>
      <c r="M482" s="56"/>
      <c r="N482" s="55"/>
      <c r="O482" s="25"/>
    </row>
    <row r="483" spans="1:15" ht="21.95" customHeight="1" x14ac:dyDescent="0.2">
      <c r="A483" s="49"/>
      <c r="B483" s="50"/>
      <c r="C483" s="49"/>
      <c r="D483" s="49"/>
      <c r="E483" s="49"/>
      <c r="F483" s="49"/>
      <c r="G483" s="57"/>
      <c r="H483" s="58"/>
      <c r="I483" s="53"/>
      <c r="J483" s="53"/>
      <c r="K483" s="53"/>
      <c r="L483" s="57"/>
      <c r="M483" s="53"/>
      <c r="N483" s="58"/>
      <c r="O483" s="46"/>
    </row>
    <row r="484" spans="1:15" ht="21.95" customHeight="1" x14ac:dyDescent="0.2">
      <c r="A484" s="47"/>
      <c r="B484" s="48"/>
      <c r="C484" s="47"/>
      <c r="D484" s="47"/>
      <c r="E484" s="47"/>
      <c r="F484" s="47"/>
      <c r="G484" s="54"/>
      <c r="H484" s="55"/>
      <c r="I484" s="56"/>
      <c r="J484" s="56"/>
      <c r="K484" s="56"/>
      <c r="L484" s="54"/>
      <c r="M484" s="56"/>
      <c r="N484" s="55"/>
      <c r="O484" s="25"/>
    </row>
    <row r="485" spans="1:15" ht="21.95" customHeight="1" x14ac:dyDescent="0.2">
      <c r="A485" s="49"/>
      <c r="B485" s="50"/>
      <c r="C485" s="49"/>
      <c r="D485" s="49"/>
      <c r="E485" s="49"/>
      <c r="F485" s="49"/>
      <c r="G485" s="57"/>
      <c r="H485" s="58"/>
      <c r="I485" s="53"/>
      <c r="J485" s="53"/>
      <c r="K485" s="53"/>
      <c r="L485" s="57"/>
      <c r="M485" s="53"/>
      <c r="N485" s="58"/>
      <c r="O485" s="46"/>
    </row>
    <row r="486" spans="1:15" ht="21.95" customHeight="1" x14ac:dyDescent="0.2">
      <c r="A486" s="47"/>
      <c r="B486" s="48"/>
      <c r="C486" s="47"/>
      <c r="D486" s="47"/>
      <c r="E486" s="47"/>
      <c r="F486" s="47"/>
      <c r="G486" s="54"/>
      <c r="H486" s="55"/>
      <c r="I486" s="56"/>
      <c r="J486" s="56"/>
      <c r="K486" s="56"/>
      <c r="L486" s="54"/>
      <c r="M486" s="56"/>
      <c r="N486" s="55"/>
      <c r="O486" s="25"/>
    </row>
    <row r="487" spans="1:15" ht="21.95" customHeight="1" x14ac:dyDescent="0.2">
      <c r="A487" s="49"/>
      <c r="B487" s="50"/>
      <c r="C487" s="49"/>
      <c r="D487" s="49"/>
      <c r="E487" s="49"/>
      <c r="F487" s="49"/>
      <c r="G487" s="57"/>
      <c r="H487" s="58"/>
      <c r="I487" s="53"/>
      <c r="J487" s="53"/>
      <c r="K487" s="53"/>
      <c r="L487" s="57"/>
      <c r="M487" s="53"/>
      <c r="N487" s="58"/>
      <c r="O487" s="46"/>
    </row>
    <row r="488" spans="1:15" ht="21.95" customHeight="1" x14ac:dyDescent="0.2">
      <c r="A488" s="47"/>
      <c r="B488" s="48"/>
      <c r="C488" s="47"/>
      <c r="D488" s="47"/>
      <c r="E488" s="47"/>
      <c r="F488" s="47"/>
      <c r="G488" s="54"/>
      <c r="H488" s="55"/>
      <c r="I488" s="56"/>
      <c r="J488" s="56"/>
      <c r="K488" s="56"/>
      <c r="L488" s="54"/>
      <c r="M488" s="56"/>
      <c r="N488" s="55"/>
      <c r="O488" s="25"/>
    </row>
    <row r="489" spans="1:15" ht="21.95" customHeight="1" x14ac:dyDescent="0.2">
      <c r="A489" s="49"/>
      <c r="B489" s="50"/>
      <c r="C489" s="49"/>
      <c r="D489" s="49"/>
      <c r="E489" s="49"/>
      <c r="F489" s="49"/>
      <c r="G489" s="57"/>
      <c r="H489" s="58"/>
      <c r="I489" s="53"/>
      <c r="J489" s="53"/>
      <c r="K489" s="53"/>
      <c r="L489" s="57"/>
      <c r="M489" s="53"/>
      <c r="N489" s="58"/>
      <c r="O489" s="46"/>
    </row>
    <row r="490" spans="1:15" ht="21.95" customHeight="1" x14ac:dyDescent="0.2">
      <c r="A490" s="47"/>
      <c r="B490" s="48"/>
      <c r="C490" s="47"/>
      <c r="D490" s="47"/>
      <c r="E490" s="47"/>
      <c r="F490" s="47"/>
      <c r="G490" s="54"/>
      <c r="H490" s="55"/>
      <c r="I490" s="56"/>
      <c r="J490" s="56"/>
      <c r="K490" s="56"/>
      <c r="L490" s="54"/>
      <c r="M490" s="56"/>
      <c r="N490" s="55"/>
      <c r="O490" s="25"/>
    </row>
    <row r="491" spans="1:15" ht="21.95" customHeight="1" x14ac:dyDescent="0.2">
      <c r="A491" s="49"/>
      <c r="B491" s="50"/>
      <c r="C491" s="49"/>
      <c r="D491" s="49"/>
      <c r="E491" s="49"/>
      <c r="F491" s="49"/>
      <c r="G491" s="57"/>
      <c r="H491" s="58"/>
      <c r="I491" s="53"/>
      <c r="J491" s="53"/>
      <c r="K491" s="53"/>
      <c r="L491" s="57"/>
      <c r="M491" s="53"/>
      <c r="N491" s="58"/>
      <c r="O491" s="46"/>
    </row>
    <row r="492" spans="1:15" ht="21.95" customHeight="1" x14ac:dyDescent="0.2">
      <c r="A492" s="47"/>
      <c r="B492" s="48"/>
      <c r="C492" s="47"/>
      <c r="D492" s="47"/>
      <c r="E492" s="47"/>
      <c r="F492" s="47"/>
      <c r="G492" s="54"/>
      <c r="H492" s="55"/>
      <c r="I492" s="56"/>
      <c r="J492" s="56"/>
      <c r="K492" s="56"/>
      <c r="L492" s="54"/>
      <c r="M492" s="56"/>
      <c r="N492" s="55"/>
      <c r="O492" s="25"/>
    </row>
    <row r="493" spans="1:15" ht="21.95" customHeight="1" x14ac:dyDescent="0.2">
      <c r="A493" s="49"/>
      <c r="B493" s="50"/>
      <c r="C493" s="49"/>
      <c r="D493" s="49"/>
      <c r="E493" s="49"/>
      <c r="F493" s="49"/>
      <c r="G493" s="57"/>
      <c r="H493" s="58"/>
      <c r="I493" s="53"/>
      <c r="J493" s="53"/>
      <c r="K493" s="53"/>
      <c r="L493" s="57"/>
      <c r="M493" s="53"/>
      <c r="N493" s="58"/>
      <c r="O493" s="46"/>
    </row>
    <row r="494" spans="1:15" ht="21.95" customHeight="1" x14ac:dyDescent="0.2">
      <c r="A494" s="47"/>
      <c r="B494" s="48"/>
      <c r="C494" s="47"/>
      <c r="D494" s="47"/>
      <c r="E494" s="47"/>
      <c r="F494" s="47"/>
      <c r="G494" s="54"/>
      <c r="H494" s="55"/>
      <c r="I494" s="56"/>
      <c r="J494" s="56"/>
      <c r="K494" s="56"/>
      <c r="L494" s="54"/>
      <c r="M494" s="56"/>
      <c r="N494" s="55"/>
      <c r="O494" s="25"/>
    </row>
    <row r="495" spans="1:15" ht="21.95" customHeight="1" x14ac:dyDescent="0.2">
      <c r="A495" s="49"/>
      <c r="B495" s="50"/>
      <c r="C495" s="49"/>
      <c r="D495" s="49"/>
      <c r="E495" s="49"/>
      <c r="F495" s="49"/>
      <c r="G495" s="57"/>
      <c r="H495" s="58"/>
      <c r="I495" s="53"/>
      <c r="J495" s="53"/>
      <c r="K495" s="53"/>
      <c r="L495" s="57"/>
      <c r="M495" s="53"/>
      <c r="N495" s="58"/>
      <c r="O495" s="46"/>
    </row>
    <row r="496" spans="1:15" ht="21.95" customHeight="1" x14ac:dyDescent="0.2">
      <c r="A496" s="47"/>
      <c r="B496" s="48"/>
      <c r="C496" s="47"/>
      <c r="D496" s="47"/>
      <c r="E496" s="47"/>
      <c r="F496" s="47"/>
      <c r="G496" s="54"/>
      <c r="H496" s="55"/>
      <c r="I496" s="56"/>
      <c r="J496" s="56"/>
      <c r="K496" s="56"/>
      <c r="L496" s="54"/>
      <c r="M496" s="56"/>
      <c r="N496" s="55"/>
      <c r="O496" s="25"/>
    </row>
    <row r="497" spans="1:15" ht="21.95" customHeight="1" x14ac:dyDescent="0.2">
      <c r="A497" s="49"/>
      <c r="B497" s="50"/>
      <c r="C497" s="49"/>
      <c r="D497" s="49"/>
      <c r="E497" s="49"/>
      <c r="F497" s="49"/>
      <c r="G497" s="57"/>
      <c r="H497" s="58"/>
      <c r="I497" s="53"/>
      <c r="J497" s="53"/>
      <c r="K497" s="53"/>
      <c r="L497" s="57"/>
      <c r="M497" s="53"/>
      <c r="N497" s="58"/>
      <c r="O497" s="46"/>
    </row>
    <row r="498" spans="1:15" ht="21.95" customHeight="1" x14ac:dyDescent="0.2">
      <c r="A498" s="47"/>
      <c r="B498" s="48"/>
      <c r="C498" s="47"/>
      <c r="D498" s="47"/>
      <c r="E498" s="47"/>
      <c r="F498" s="47"/>
      <c r="G498" s="54"/>
      <c r="H498" s="55"/>
      <c r="I498" s="56"/>
      <c r="J498" s="56"/>
      <c r="K498" s="56"/>
      <c r="L498" s="54"/>
      <c r="M498" s="56"/>
      <c r="N498" s="55"/>
      <c r="O498" s="25"/>
    </row>
    <row r="499" spans="1:15" ht="21.95" customHeight="1" x14ac:dyDescent="0.2">
      <c r="A499" s="49"/>
      <c r="B499" s="50"/>
      <c r="C499" s="49"/>
      <c r="D499" s="49"/>
      <c r="E499" s="49"/>
      <c r="F499" s="49"/>
      <c r="G499" s="57"/>
      <c r="H499" s="58"/>
      <c r="I499" s="53"/>
      <c r="J499" s="53"/>
      <c r="K499" s="53"/>
      <c r="L499" s="57"/>
      <c r="M499" s="53"/>
      <c r="N499" s="58"/>
      <c r="O499" s="46"/>
    </row>
    <row r="500" spans="1:15" ht="21.95" customHeight="1" x14ac:dyDescent="0.2">
      <c r="A500" s="47"/>
      <c r="B500" s="48"/>
      <c r="C500" s="47"/>
      <c r="D500" s="47"/>
      <c r="E500" s="47"/>
      <c r="F500" s="47"/>
      <c r="G500" s="54"/>
      <c r="H500" s="55"/>
      <c r="I500" s="56"/>
      <c r="J500" s="56"/>
      <c r="K500" s="56"/>
      <c r="L500" s="54"/>
      <c r="M500" s="56"/>
      <c r="N500" s="55"/>
      <c r="O500" s="25"/>
    </row>
    <row r="501" spans="1:15" ht="21.95" customHeight="1" x14ac:dyDescent="0.2">
      <c r="A501" s="49"/>
      <c r="B501" s="50"/>
      <c r="C501" s="49"/>
      <c r="D501" s="49"/>
      <c r="E501" s="49"/>
      <c r="F501" s="49"/>
      <c r="G501" s="57"/>
      <c r="H501" s="58"/>
      <c r="I501" s="53"/>
      <c r="J501" s="53"/>
      <c r="K501" s="53"/>
      <c r="L501" s="57"/>
      <c r="M501" s="53"/>
      <c r="N501" s="58"/>
      <c r="O501" s="46"/>
    </row>
    <row r="502" spans="1:15" ht="21.95" customHeight="1" x14ac:dyDescent="0.2">
      <c r="A502" s="47"/>
      <c r="B502" s="48"/>
      <c r="C502" s="47"/>
      <c r="D502" s="47"/>
      <c r="E502" s="47"/>
      <c r="F502" s="47"/>
      <c r="G502" s="54"/>
      <c r="H502" s="55"/>
      <c r="I502" s="56"/>
      <c r="J502" s="56"/>
      <c r="K502" s="56"/>
      <c r="L502" s="54"/>
      <c r="M502" s="56"/>
      <c r="N502" s="55"/>
      <c r="O502" s="25"/>
    </row>
    <row r="503" spans="1:15" ht="21.95" customHeight="1" x14ac:dyDescent="0.2">
      <c r="A503" s="49"/>
      <c r="B503" s="50"/>
      <c r="C503" s="49"/>
      <c r="D503" s="49"/>
      <c r="E503" s="49"/>
      <c r="F503" s="49"/>
      <c r="G503" s="57"/>
      <c r="H503" s="58"/>
      <c r="I503" s="53"/>
      <c r="J503" s="53"/>
      <c r="K503" s="53"/>
      <c r="L503" s="57"/>
      <c r="M503" s="53"/>
      <c r="N503" s="58"/>
      <c r="O503" s="46"/>
    </row>
    <row r="504" spans="1:15" ht="21.95" customHeight="1" x14ac:dyDescent="0.2">
      <c r="A504" s="47"/>
      <c r="B504" s="48"/>
      <c r="C504" s="47"/>
      <c r="D504" s="47"/>
      <c r="E504" s="47"/>
      <c r="F504" s="47"/>
      <c r="G504" s="54"/>
      <c r="H504" s="55"/>
      <c r="I504" s="56"/>
      <c r="J504" s="56"/>
      <c r="K504" s="56"/>
      <c r="L504" s="54"/>
      <c r="M504" s="56"/>
      <c r="N504" s="55"/>
      <c r="O504" s="25"/>
    </row>
    <row r="505" spans="1:15" ht="21.95" customHeight="1" x14ac:dyDescent="0.2">
      <c r="A505" s="49"/>
      <c r="B505" s="50"/>
      <c r="C505" s="49"/>
      <c r="D505" s="49"/>
      <c r="E505" s="49"/>
      <c r="F505" s="49"/>
      <c r="G505" s="57"/>
      <c r="H505" s="58"/>
      <c r="I505" s="53"/>
      <c r="J505" s="53"/>
      <c r="K505" s="53"/>
      <c r="L505" s="57"/>
      <c r="M505" s="53"/>
      <c r="N505" s="58"/>
      <c r="O505" s="46"/>
    </row>
    <row r="506" spans="1:15" ht="21.95" customHeight="1" x14ac:dyDescent="0.2">
      <c r="A506" s="47"/>
      <c r="B506" s="48"/>
      <c r="C506" s="47"/>
      <c r="D506" s="47"/>
      <c r="E506" s="47"/>
      <c r="F506" s="47"/>
      <c r="G506" s="54"/>
      <c r="H506" s="55"/>
      <c r="I506" s="56"/>
      <c r="J506" s="56"/>
      <c r="K506" s="56"/>
      <c r="L506" s="54"/>
      <c r="M506" s="56"/>
      <c r="N506" s="55"/>
      <c r="O506" s="25"/>
    </row>
    <row r="507" spans="1:15" ht="21.95" customHeight="1" x14ac:dyDescent="0.2">
      <c r="A507" s="49"/>
      <c r="B507" s="50"/>
      <c r="C507" s="49"/>
      <c r="D507" s="49"/>
      <c r="E507" s="49"/>
      <c r="F507" s="49"/>
      <c r="G507" s="57"/>
      <c r="H507" s="58"/>
      <c r="I507" s="53"/>
      <c r="J507" s="53"/>
      <c r="K507" s="53"/>
      <c r="L507" s="57"/>
      <c r="M507" s="53"/>
      <c r="N507" s="58"/>
      <c r="O507" s="46"/>
    </row>
    <row r="508" spans="1:15" ht="21.95" customHeight="1" x14ac:dyDescent="0.2">
      <c r="A508" s="47"/>
      <c r="B508" s="48"/>
      <c r="C508" s="47"/>
      <c r="D508" s="47"/>
      <c r="E508" s="47"/>
      <c r="F508" s="47"/>
      <c r="G508" s="54"/>
      <c r="H508" s="55"/>
      <c r="I508" s="56"/>
      <c r="J508" s="56"/>
      <c r="K508" s="56"/>
      <c r="L508" s="54"/>
      <c r="M508" s="56"/>
      <c r="N508" s="55"/>
      <c r="O508" s="25"/>
    </row>
    <row r="509" spans="1:15" ht="21.95" customHeight="1" x14ac:dyDescent="0.2">
      <c r="A509" s="49"/>
      <c r="B509" s="50"/>
      <c r="C509" s="49"/>
      <c r="D509" s="49"/>
      <c r="E509" s="49"/>
      <c r="F509" s="49"/>
      <c r="G509" s="57"/>
      <c r="H509" s="58"/>
      <c r="I509" s="53"/>
      <c r="J509" s="53"/>
      <c r="K509" s="53"/>
      <c r="L509" s="57"/>
      <c r="M509" s="53"/>
      <c r="N509" s="58"/>
      <c r="O509" s="46"/>
    </row>
    <row r="510" spans="1:15" ht="21.95" customHeight="1" x14ac:dyDescent="0.2">
      <c r="A510" s="47"/>
      <c r="B510" s="48"/>
      <c r="C510" s="47"/>
      <c r="D510" s="47"/>
      <c r="E510" s="47"/>
      <c r="F510" s="47"/>
      <c r="G510" s="54"/>
      <c r="H510" s="55"/>
      <c r="I510" s="56"/>
      <c r="J510" s="56"/>
      <c r="K510" s="56"/>
      <c r="L510" s="54"/>
      <c r="M510" s="56"/>
      <c r="N510" s="55"/>
      <c r="O510" s="25"/>
    </row>
    <row r="511" spans="1:15" ht="21.95" customHeight="1" x14ac:dyDescent="0.2">
      <c r="A511" s="49"/>
      <c r="B511" s="50"/>
      <c r="C511" s="49"/>
      <c r="D511" s="49"/>
      <c r="E511" s="49"/>
      <c r="F511" s="49"/>
      <c r="G511" s="57"/>
      <c r="H511" s="58"/>
      <c r="I511" s="53"/>
      <c r="J511" s="53"/>
      <c r="K511" s="53"/>
      <c r="L511" s="57"/>
      <c r="M511" s="53"/>
      <c r="N511" s="58"/>
      <c r="O511" s="46"/>
    </row>
    <row r="512" spans="1:15" ht="21.95" customHeight="1" x14ac:dyDescent="0.2">
      <c r="A512" s="47"/>
      <c r="B512" s="48"/>
      <c r="C512" s="47"/>
      <c r="D512" s="47"/>
      <c r="E512" s="47"/>
      <c r="F512" s="47"/>
      <c r="G512" s="54"/>
      <c r="H512" s="55"/>
      <c r="I512" s="56"/>
      <c r="J512" s="56"/>
      <c r="K512" s="56"/>
      <c r="L512" s="54"/>
      <c r="M512" s="56"/>
      <c r="N512" s="55"/>
      <c r="O512" s="25"/>
    </row>
    <row r="513" spans="1:15" ht="21.95" customHeight="1" x14ac:dyDescent="0.2">
      <c r="A513" s="49"/>
      <c r="B513" s="50"/>
      <c r="C513" s="49"/>
      <c r="D513" s="49"/>
      <c r="E513" s="49"/>
      <c r="F513" s="49"/>
      <c r="G513" s="57"/>
      <c r="H513" s="58"/>
      <c r="I513" s="53"/>
      <c r="J513" s="53"/>
      <c r="K513" s="53"/>
      <c r="L513" s="57"/>
      <c r="M513" s="53"/>
      <c r="N513" s="58"/>
      <c r="O513" s="46"/>
    </row>
    <row r="514" spans="1:15" ht="21.95" customHeight="1" x14ac:dyDescent="0.2">
      <c r="A514" s="47"/>
      <c r="B514" s="48"/>
      <c r="C514" s="47"/>
      <c r="D514" s="47"/>
      <c r="E514" s="47"/>
      <c r="F514" s="47"/>
      <c r="G514" s="54"/>
      <c r="H514" s="55"/>
      <c r="I514" s="56"/>
      <c r="J514" s="56"/>
      <c r="K514" s="56"/>
      <c r="L514" s="54"/>
      <c r="M514" s="56"/>
      <c r="N514" s="55"/>
      <c r="O514" s="25"/>
    </row>
    <row r="515" spans="1:15" ht="21.95" customHeight="1" x14ac:dyDescent="0.2">
      <c r="A515" s="49"/>
      <c r="B515" s="50"/>
      <c r="C515" s="49"/>
      <c r="D515" s="49"/>
      <c r="E515" s="49"/>
      <c r="F515" s="49"/>
      <c r="G515" s="57"/>
      <c r="H515" s="58"/>
      <c r="I515" s="53"/>
      <c r="J515" s="53"/>
      <c r="K515" s="53"/>
      <c r="L515" s="57"/>
      <c r="M515" s="53"/>
      <c r="N515" s="58"/>
      <c r="O515" s="46"/>
    </row>
    <row r="516" spans="1:15" ht="21.95" customHeight="1" x14ac:dyDescent="0.2">
      <c r="A516" s="47"/>
      <c r="B516" s="48"/>
      <c r="C516" s="47"/>
      <c r="D516" s="47"/>
      <c r="E516" s="47"/>
      <c r="F516" s="47"/>
      <c r="G516" s="54"/>
      <c r="H516" s="55"/>
      <c r="I516" s="56"/>
      <c r="J516" s="56"/>
      <c r="K516" s="56"/>
      <c r="L516" s="54"/>
      <c r="M516" s="56"/>
      <c r="N516" s="55"/>
      <c r="O516" s="25"/>
    </row>
    <row r="517" spans="1:15" ht="21.95" customHeight="1" x14ac:dyDescent="0.2">
      <c r="A517" s="49"/>
      <c r="B517" s="50"/>
      <c r="C517" s="49"/>
      <c r="D517" s="49"/>
      <c r="E517" s="49"/>
      <c r="F517" s="49"/>
      <c r="G517" s="57"/>
      <c r="H517" s="58"/>
      <c r="I517" s="53"/>
      <c r="J517" s="53"/>
      <c r="K517" s="53"/>
      <c r="L517" s="57"/>
      <c r="M517" s="53"/>
      <c r="N517" s="58"/>
      <c r="O517" s="46"/>
    </row>
    <row r="518" spans="1:15" ht="21.95" customHeight="1" x14ac:dyDescent="0.2">
      <c r="A518" s="47"/>
      <c r="B518" s="48"/>
      <c r="C518" s="47"/>
      <c r="D518" s="47"/>
      <c r="E518" s="47"/>
      <c r="F518" s="47"/>
      <c r="G518" s="54"/>
      <c r="H518" s="55"/>
      <c r="I518" s="56"/>
      <c r="J518" s="56"/>
      <c r="K518" s="56"/>
      <c r="L518" s="54"/>
      <c r="M518" s="56"/>
      <c r="N518" s="55"/>
      <c r="O518" s="25"/>
    </row>
    <row r="519" spans="1:15" ht="21.95" customHeight="1" x14ac:dyDescent="0.2">
      <c r="A519" s="49"/>
      <c r="B519" s="50"/>
      <c r="C519" s="49"/>
      <c r="D519" s="49"/>
      <c r="E519" s="49"/>
      <c r="F519" s="49"/>
      <c r="G519" s="57"/>
      <c r="H519" s="58"/>
      <c r="I519" s="53"/>
      <c r="J519" s="53"/>
      <c r="K519" s="53"/>
      <c r="L519" s="57"/>
      <c r="M519" s="53"/>
      <c r="N519" s="58"/>
      <c r="O519" s="46"/>
    </row>
    <row r="520" spans="1:15" ht="21.95" customHeight="1" x14ac:dyDescent="0.2">
      <c r="A520" s="47"/>
      <c r="B520" s="48"/>
      <c r="C520" s="47"/>
      <c r="D520" s="47"/>
      <c r="E520" s="47"/>
      <c r="F520" s="47"/>
      <c r="G520" s="54"/>
      <c r="H520" s="55"/>
      <c r="I520" s="56"/>
      <c r="J520" s="56"/>
      <c r="K520" s="56"/>
      <c r="L520" s="54"/>
      <c r="M520" s="56"/>
      <c r="N520" s="55"/>
      <c r="O520" s="25"/>
    </row>
    <row r="521" spans="1:15" ht="21.95" customHeight="1" x14ac:dyDescent="0.2">
      <c r="A521" s="49"/>
      <c r="B521" s="50"/>
      <c r="C521" s="49"/>
      <c r="D521" s="49"/>
      <c r="E521" s="49"/>
      <c r="F521" s="49"/>
      <c r="G521" s="57"/>
      <c r="H521" s="58"/>
      <c r="I521" s="53"/>
      <c r="J521" s="53"/>
      <c r="K521" s="53"/>
      <c r="L521" s="57"/>
      <c r="M521" s="53"/>
      <c r="N521" s="58"/>
      <c r="O521" s="46"/>
    </row>
    <row r="522" spans="1:15" ht="21.95" customHeight="1" x14ac:dyDescent="0.2">
      <c r="A522" s="47"/>
      <c r="B522" s="48"/>
      <c r="C522" s="47"/>
      <c r="D522" s="47"/>
      <c r="E522" s="47"/>
      <c r="F522" s="47"/>
      <c r="G522" s="54"/>
      <c r="H522" s="55"/>
      <c r="I522" s="56"/>
      <c r="J522" s="56"/>
      <c r="K522" s="56"/>
      <c r="L522" s="54"/>
      <c r="M522" s="56"/>
      <c r="N522" s="55"/>
      <c r="O522" s="25"/>
    </row>
    <row r="523" spans="1:15" ht="21.95" customHeight="1" x14ac:dyDescent="0.2">
      <c r="A523" s="49"/>
      <c r="B523" s="50"/>
      <c r="C523" s="49"/>
      <c r="D523" s="49"/>
      <c r="E523" s="49"/>
      <c r="F523" s="49"/>
      <c r="G523" s="57"/>
      <c r="H523" s="58"/>
      <c r="I523" s="53"/>
      <c r="J523" s="53"/>
      <c r="K523" s="53"/>
      <c r="L523" s="57"/>
      <c r="M523" s="53"/>
      <c r="N523" s="58"/>
      <c r="O523" s="46"/>
    </row>
    <row r="524" spans="1:15" ht="21.95" customHeight="1" x14ac:dyDescent="0.2">
      <c r="A524" s="47"/>
      <c r="B524" s="48"/>
      <c r="C524" s="47"/>
      <c r="D524" s="47"/>
      <c r="E524" s="47"/>
      <c r="F524" s="47"/>
      <c r="G524" s="54"/>
      <c r="H524" s="55"/>
      <c r="I524" s="56"/>
      <c r="J524" s="56"/>
      <c r="K524" s="56"/>
      <c r="L524" s="54"/>
      <c r="M524" s="56"/>
      <c r="N524" s="55"/>
      <c r="O524" s="25"/>
    </row>
    <row r="525" spans="1:15" ht="21.95" customHeight="1" x14ac:dyDescent="0.2">
      <c r="A525" s="49"/>
      <c r="B525" s="50"/>
      <c r="C525" s="49"/>
      <c r="D525" s="49"/>
      <c r="E525" s="49"/>
      <c r="F525" s="49"/>
      <c r="G525" s="57"/>
      <c r="H525" s="58"/>
      <c r="I525" s="53"/>
      <c r="J525" s="53"/>
      <c r="K525" s="53"/>
      <c r="L525" s="57"/>
      <c r="M525" s="53"/>
      <c r="N525" s="58"/>
      <c r="O525" s="46"/>
    </row>
    <row r="526" spans="1:15" ht="21.95" customHeight="1" x14ac:dyDescent="0.2">
      <c r="A526" s="47"/>
      <c r="B526" s="48"/>
      <c r="C526" s="47"/>
      <c r="D526" s="47"/>
      <c r="E526" s="47"/>
      <c r="F526" s="47"/>
      <c r="G526" s="54"/>
      <c r="H526" s="55"/>
      <c r="I526" s="56"/>
      <c r="J526" s="56"/>
      <c r="K526" s="56"/>
      <c r="L526" s="54"/>
      <c r="M526" s="56"/>
      <c r="N526" s="55"/>
      <c r="O526" s="25"/>
    </row>
    <row r="527" spans="1:15" ht="21.95" customHeight="1" x14ac:dyDescent="0.2">
      <c r="A527" s="49"/>
      <c r="B527" s="50"/>
      <c r="C527" s="49"/>
      <c r="D527" s="49"/>
      <c r="E527" s="49"/>
      <c r="F527" s="49"/>
      <c r="G527" s="57"/>
      <c r="H527" s="58"/>
      <c r="I527" s="53"/>
      <c r="J527" s="53"/>
      <c r="K527" s="53"/>
      <c r="L527" s="57"/>
      <c r="M527" s="53"/>
      <c r="N527" s="58"/>
      <c r="O527" s="46"/>
    </row>
    <row r="528" spans="1:15" ht="21.95" customHeight="1" x14ac:dyDescent="0.2">
      <c r="A528" s="47"/>
      <c r="B528" s="48"/>
      <c r="C528" s="47"/>
      <c r="D528" s="47"/>
      <c r="E528" s="47"/>
      <c r="F528" s="47"/>
      <c r="G528" s="54"/>
      <c r="H528" s="55"/>
      <c r="I528" s="56"/>
      <c r="J528" s="56"/>
      <c r="K528" s="56"/>
      <c r="L528" s="54"/>
      <c r="M528" s="56"/>
      <c r="N528" s="55"/>
      <c r="O528" s="25"/>
    </row>
    <row r="529" spans="1:15" ht="21.95" customHeight="1" x14ac:dyDescent="0.2">
      <c r="A529" s="49"/>
      <c r="B529" s="50"/>
      <c r="C529" s="49"/>
      <c r="D529" s="49"/>
      <c r="E529" s="49"/>
      <c r="F529" s="49"/>
      <c r="G529" s="57"/>
      <c r="H529" s="58"/>
      <c r="I529" s="53"/>
      <c r="J529" s="53"/>
      <c r="K529" s="53"/>
      <c r="L529" s="57"/>
      <c r="M529" s="53"/>
      <c r="N529" s="58"/>
      <c r="O529" s="46"/>
    </row>
    <row r="530" spans="1:15" ht="21.95" customHeight="1" x14ac:dyDescent="0.2">
      <c r="A530" s="47"/>
      <c r="B530" s="48"/>
      <c r="C530" s="47"/>
      <c r="D530" s="47"/>
      <c r="E530" s="47"/>
      <c r="F530" s="47"/>
      <c r="G530" s="54"/>
      <c r="H530" s="55"/>
      <c r="I530" s="56"/>
      <c r="J530" s="56"/>
      <c r="K530" s="56"/>
      <c r="L530" s="54"/>
      <c r="M530" s="56"/>
      <c r="N530" s="55"/>
      <c r="O530" s="25"/>
    </row>
    <row r="531" spans="1:15" ht="21.95" customHeight="1" x14ac:dyDescent="0.2">
      <c r="A531" s="49"/>
      <c r="B531" s="50"/>
      <c r="C531" s="49"/>
      <c r="D531" s="49"/>
      <c r="E531" s="49"/>
      <c r="F531" s="49"/>
      <c r="G531" s="57"/>
      <c r="H531" s="58"/>
      <c r="I531" s="53"/>
      <c r="J531" s="53"/>
      <c r="K531" s="53"/>
      <c r="L531" s="57"/>
      <c r="M531" s="53"/>
      <c r="N531" s="58"/>
      <c r="O531" s="46"/>
    </row>
    <row r="532" spans="1:15" ht="21.95" customHeight="1" x14ac:dyDescent="0.2">
      <c r="A532" s="47"/>
      <c r="B532" s="48"/>
      <c r="C532" s="47"/>
      <c r="D532" s="47"/>
      <c r="E532" s="47"/>
      <c r="F532" s="47"/>
      <c r="G532" s="54"/>
      <c r="H532" s="55"/>
      <c r="I532" s="56"/>
      <c r="J532" s="56"/>
      <c r="K532" s="56"/>
      <c r="L532" s="54"/>
      <c r="M532" s="56"/>
      <c r="N532" s="55"/>
      <c r="O532" s="25"/>
    </row>
    <row r="533" spans="1:15" ht="21.95" customHeight="1" x14ac:dyDescent="0.2">
      <c r="A533" s="49"/>
      <c r="B533" s="50"/>
      <c r="C533" s="49"/>
      <c r="D533" s="49"/>
      <c r="E533" s="49"/>
      <c r="F533" s="49"/>
      <c r="G533" s="57"/>
      <c r="H533" s="58"/>
      <c r="I533" s="53"/>
      <c r="J533" s="53"/>
      <c r="K533" s="53"/>
      <c r="L533" s="57"/>
      <c r="M533" s="53"/>
      <c r="N533" s="58"/>
      <c r="O533" s="46"/>
    </row>
    <row r="534" spans="1:15" ht="21.95" customHeight="1" x14ac:dyDescent="0.2">
      <c r="A534" s="47"/>
      <c r="B534" s="48"/>
      <c r="C534" s="47"/>
      <c r="D534" s="47"/>
      <c r="E534" s="47"/>
      <c r="F534" s="47"/>
      <c r="G534" s="54"/>
      <c r="H534" s="55"/>
      <c r="I534" s="56"/>
      <c r="J534" s="56"/>
      <c r="K534" s="56"/>
      <c r="L534" s="54"/>
      <c r="M534" s="56"/>
      <c r="N534" s="55"/>
      <c r="O534" s="25"/>
    </row>
    <row r="535" spans="1:15" ht="21.95" customHeight="1" x14ac:dyDescent="0.2">
      <c r="A535" s="49"/>
      <c r="B535" s="50"/>
      <c r="C535" s="49"/>
      <c r="D535" s="49"/>
      <c r="E535" s="49"/>
      <c r="F535" s="49"/>
      <c r="G535" s="57"/>
      <c r="H535" s="58"/>
      <c r="I535" s="53"/>
      <c r="J535" s="53"/>
      <c r="K535" s="53"/>
      <c r="L535" s="57"/>
      <c r="M535" s="53"/>
      <c r="N535" s="58"/>
      <c r="O535" s="46"/>
    </row>
    <row r="536" spans="1:15" ht="21.95" customHeight="1" x14ac:dyDescent="0.2">
      <c r="A536" s="47"/>
      <c r="B536" s="48"/>
      <c r="C536" s="47"/>
      <c r="D536" s="47"/>
      <c r="E536" s="47"/>
      <c r="F536" s="47"/>
      <c r="G536" s="54"/>
      <c r="H536" s="55"/>
      <c r="I536" s="56"/>
      <c r="J536" s="56"/>
      <c r="K536" s="56"/>
      <c r="L536" s="54"/>
      <c r="M536" s="56"/>
      <c r="N536" s="55"/>
      <c r="O536" s="25"/>
    </row>
    <row r="537" spans="1:15" ht="21.95" customHeight="1" x14ac:dyDescent="0.2">
      <c r="A537" s="49"/>
      <c r="B537" s="50"/>
      <c r="C537" s="49"/>
      <c r="D537" s="49"/>
      <c r="E537" s="49"/>
      <c r="F537" s="49"/>
      <c r="G537" s="57"/>
      <c r="H537" s="58"/>
      <c r="I537" s="53"/>
      <c r="J537" s="53"/>
      <c r="K537" s="53"/>
      <c r="L537" s="57"/>
      <c r="M537" s="53"/>
      <c r="N537" s="58"/>
      <c r="O537" s="46"/>
    </row>
    <row r="538" spans="1:15" ht="21.95" customHeight="1" x14ac:dyDescent="0.2">
      <c r="A538" s="47"/>
      <c r="B538" s="48"/>
      <c r="C538" s="47"/>
      <c r="D538" s="47"/>
      <c r="E538" s="47"/>
      <c r="F538" s="47"/>
      <c r="G538" s="54"/>
      <c r="H538" s="55"/>
      <c r="I538" s="56"/>
      <c r="J538" s="56"/>
      <c r="K538" s="56"/>
      <c r="L538" s="54"/>
      <c r="M538" s="56"/>
      <c r="N538" s="55"/>
      <c r="O538" s="25"/>
    </row>
    <row r="539" spans="1:15" ht="21.95" customHeight="1" x14ac:dyDescent="0.2">
      <c r="A539" s="49"/>
      <c r="B539" s="50"/>
      <c r="C539" s="49"/>
      <c r="D539" s="49"/>
      <c r="E539" s="49"/>
      <c r="F539" s="49"/>
      <c r="G539" s="57"/>
      <c r="H539" s="58"/>
      <c r="I539" s="53"/>
      <c r="J539" s="53"/>
      <c r="K539" s="53"/>
      <c r="L539" s="57"/>
      <c r="M539" s="53"/>
      <c r="N539" s="58"/>
      <c r="O539" s="46"/>
    </row>
    <row r="540" spans="1:15" ht="21.95" customHeight="1" x14ac:dyDescent="0.2">
      <c r="A540" s="47"/>
      <c r="B540" s="48"/>
      <c r="C540" s="47"/>
      <c r="D540" s="47"/>
      <c r="E540" s="47"/>
      <c r="F540" s="47"/>
      <c r="G540" s="54"/>
      <c r="H540" s="55"/>
      <c r="I540" s="56"/>
      <c r="J540" s="56"/>
      <c r="K540" s="56"/>
      <c r="L540" s="54"/>
      <c r="M540" s="56"/>
      <c r="N540" s="55"/>
      <c r="O540" s="25"/>
    </row>
    <row r="541" spans="1:15" ht="21.95" customHeight="1" x14ac:dyDescent="0.2">
      <c r="A541" s="49"/>
      <c r="B541" s="50"/>
      <c r="C541" s="49"/>
      <c r="D541" s="49"/>
      <c r="E541" s="49"/>
      <c r="F541" s="49"/>
      <c r="G541" s="57"/>
      <c r="H541" s="58"/>
      <c r="I541" s="53"/>
      <c r="J541" s="53"/>
      <c r="K541" s="53"/>
      <c r="L541" s="57"/>
      <c r="M541" s="53"/>
      <c r="N541" s="58"/>
      <c r="O541" s="46"/>
    </row>
    <row r="542" spans="1:15" ht="21.95" customHeight="1" x14ac:dyDescent="0.2">
      <c r="A542" s="47"/>
      <c r="B542" s="48"/>
      <c r="C542" s="47"/>
      <c r="D542" s="47"/>
      <c r="E542" s="47"/>
      <c r="F542" s="47"/>
      <c r="G542" s="54"/>
      <c r="H542" s="55"/>
      <c r="I542" s="56"/>
      <c r="J542" s="56"/>
      <c r="K542" s="56"/>
      <c r="L542" s="54"/>
      <c r="M542" s="56"/>
      <c r="N542" s="55"/>
      <c r="O542" s="25"/>
    </row>
    <row r="543" spans="1:15" ht="21.95" customHeight="1" x14ac:dyDescent="0.2">
      <c r="A543" s="49"/>
      <c r="B543" s="50"/>
      <c r="C543" s="49"/>
      <c r="D543" s="49"/>
      <c r="E543" s="49"/>
      <c r="F543" s="49"/>
      <c r="G543" s="57"/>
      <c r="H543" s="58"/>
      <c r="I543" s="53"/>
      <c r="J543" s="53"/>
      <c r="K543" s="53"/>
      <c r="L543" s="57"/>
      <c r="M543" s="53"/>
      <c r="N543" s="58"/>
      <c r="O543" s="46"/>
    </row>
    <row r="544" spans="1:15" ht="21.95" customHeight="1" x14ac:dyDescent="0.2">
      <c r="A544" s="47"/>
      <c r="B544" s="48"/>
      <c r="C544" s="47"/>
      <c r="D544" s="47"/>
      <c r="E544" s="47"/>
      <c r="F544" s="47"/>
      <c r="G544" s="54"/>
      <c r="H544" s="55"/>
      <c r="I544" s="56"/>
      <c r="J544" s="56"/>
      <c r="K544" s="56"/>
      <c r="L544" s="54"/>
      <c r="M544" s="56"/>
      <c r="N544" s="55"/>
      <c r="O544" s="25"/>
    </row>
    <row r="545" spans="1:15" ht="21.95" customHeight="1" x14ac:dyDescent="0.2">
      <c r="A545" s="49"/>
      <c r="B545" s="50"/>
      <c r="C545" s="49"/>
      <c r="D545" s="49"/>
      <c r="E545" s="49"/>
      <c r="F545" s="49"/>
      <c r="G545" s="57"/>
      <c r="H545" s="58"/>
      <c r="I545" s="53"/>
      <c r="J545" s="53"/>
      <c r="K545" s="53"/>
      <c r="L545" s="57"/>
      <c r="M545" s="53"/>
      <c r="N545" s="58"/>
      <c r="O545" s="46"/>
    </row>
    <row r="546" spans="1:15" ht="21.95" customHeight="1" x14ac:dyDescent="0.2">
      <c r="A546" s="47"/>
      <c r="B546" s="48"/>
      <c r="C546" s="47"/>
      <c r="D546" s="47"/>
      <c r="E546" s="47"/>
      <c r="F546" s="47"/>
      <c r="G546" s="54"/>
      <c r="H546" s="55"/>
      <c r="I546" s="56"/>
      <c r="J546" s="56"/>
      <c r="K546" s="56"/>
      <c r="L546" s="54"/>
      <c r="M546" s="56"/>
      <c r="N546" s="55"/>
      <c r="O546" s="25"/>
    </row>
    <row r="547" spans="1:15" ht="21.95" customHeight="1" x14ac:dyDescent="0.2">
      <c r="A547" s="49"/>
      <c r="B547" s="50"/>
      <c r="C547" s="49"/>
      <c r="D547" s="49"/>
      <c r="E547" s="49"/>
      <c r="F547" s="49"/>
      <c r="G547" s="57"/>
      <c r="H547" s="58"/>
      <c r="I547" s="53"/>
      <c r="J547" s="53"/>
      <c r="K547" s="53"/>
      <c r="L547" s="57"/>
      <c r="M547" s="53"/>
      <c r="N547" s="58"/>
    </row>
    <row r="548" spans="1:15" ht="21.95" customHeight="1" x14ac:dyDescent="0.2">
      <c r="A548" s="47"/>
      <c r="B548" s="48"/>
      <c r="C548" s="47"/>
      <c r="D548" s="47"/>
      <c r="E548" s="47"/>
      <c r="F548" s="47"/>
      <c r="G548" s="54"/>
      <c r="H548" s="55"/>
      <c r="I548" s="56"/>
      <c r="J548" s="56"/>
      <c r="K548" s="56"/>
      <c r="L548" s="54"/>
      <c r="M548" s="56"/>
      <c r="N548" s="55"/>
    </row>
    <row r="549" spans="1:15" ht="21.95" customHeight="1" x14ac:dyDescent="0.2">
      <c r="A549" s="49"/>
      <c r="B549" s="50"/>
      <c r="C549" s="49"/>
      <c r="D549" s="49"/>
      <c r="E549" s="49"/>
      <c r="F549" s="49"/>
      <c r="G549" s="57"/>
      <c r="H549" s="58"/>
      <c r="I549" s="53"/>
      <c r="J549" s="53"/>
      <c r="K549" s="53"/>
      <c r="L549" s="57"/>
      <c r="M549" s="53"/>
      <c r="N549" s="58"/>
    </row>
    <row r="550" spans="1:15" ht="21.95" customHeight="1" x14ac:dyDescent="0.2">
      <c r="A550" s="47"/>
      <c r="B550" s="48"/>
      <c r="C550" s="47"/>
      <c r="D550" s="47"/>
      <c r="E550" s="47"/>
      <c r="F550" s="47"/>
      <c r="G550" s="54"/>
      <c r="H550" s="55"/>
      <c r="I550" s="56"/>
      <c r="J550" s="56"/>
      <c r="K550" s="56"/>
      <c r="L550" s="54"/>
      <c r="M550" s="56"/>
      <c r="N550" s="55"/>
    </row>
    <row r="551" spans="1:15" ht="21.95" customHeight="1" x14ac:dyDescent="0.2">
      <c r="A551" s="49"/>
      <c r="B551" s="50"/>
      <c r="C551" s="49"/>
      <c r="D551" s="49"/>
      <c r="E551" s="49"/>
      <c r="F551" s="49"/>
      <c r="G551" s="57"/>
      <c r="H551" s="58"/>
      <c r="I551" s="53"/>
      <c r="J551" s="53"/>
      <c r="K551" s="53"/>
      <c r="L551" s="57"/>
      <c r="M551" s="53"/>
      <c r="N551" s="58"/>
    </row>
    <row r="552" spans="1:15" ht="21.95" customHeight="1" x14ac:dyDescent="0.2">
      <c r="A552" s="47"/>
      <c r="B552" s="48"/>
      <c r="C552" s="47"/>
      <c r="D552" s="47"/>
      <c r="E552" s="47"/>
      <c r="F552" s="47"/>
      <c r="G552" s="54"/>
      <c r="H552" s="55"/>
      <c r="I552" s="56"/>
      <c r="J552" s="56"/>
      <c r="K552" s="56"/>
      <c r="L552" s="54"/>
      <c r="M552" s="56"/>
      <c r="N552" s="55"/>
    </row>
    <row r="553" spans="1:15" ht="21.95" customHeight="1" x14ac:dyDescent="0.2">
      <c r="A553" s="49"/>
      <c r="B553" s="50"/>
      <c r="C553" s="49"/>
      <c r="D553" s="49"/>
      <c r="E553" s="49"/>
      <c r="F553" s="49"/>
      <c r="G553" s="57"/>
      <c r="H553" s="58"/>
      <c r="I553" s="53"/>
      <c r="J553" s="53"/>
      <c r="K553" s="53"/>
      <c r="L553" s="57"/>
      <c r="M553" s="53"/>
      <c r="N553" s="58"/>
    </row>
    <row r="554" spans="1:15" ht="21.95" customHeight="1" x14ac:dyDescent="0.2">
      <c r="A554" s="47"/>
      <c r="B554" s="48"/>
      <c r="C554" s="47"/>
      <c r="D554" s="47"/>
      <c r="E554" s="47"/>
      <c r="F554" s="47"/>
      <c r="G554" s="54"/>
      <c r="H554" s="55"/>
      <c r="I554" s="56"/>
      <c r="J554" s="56"/>
      <c r="K554" s="56"/>
      <c r="L554" s="54"/>
      <c r="M554" s="56"/>
      <c r="N554" s="55"/>
    </row>
    <row r="555" spans="1:15" ht="21.95" customHeight="1" x14ac:dyDescent="0.2">
      <c r="A555" s="49"/>
      <c r="B555" s="50"/>
      <c r="C555" s="49"/>
      <c r="D555" s="49"/>
      <c r="E555" s="49"/>
      <c r="F555" s="49"/>
      <c r="G555" s="57"/>
      <c r="H555" s="58"/>
      <c r="I555" s="53"/>
      <c r="J555" s="53"/>
      <c r="K555" s="53"/>
      <c r="L555" s="57"/>
      <c r="M555" s="53"/>
      <c r="N555" s="58"/>
    </row>
    <row r="556" spans="1:15" ht="21.95" customHeight="1" x14ac:dyDescent="0.2">
      <c r="A556" s="47"/>
      <c r="B556" s="48"/>
      <c r="C556" s="47"/>
      <c r="D556" s="47"/>
      <c r="E556" s="47"/>
      <c r="F556" s="47"/>
      <c r="G556" s="54"/>
      <c r="H556" s="55"/>
      <c r="I556" s="56"/>
      <c r="J556" s="56"/>
      <c r="K556" s="56"/>
      <c r="L556" s="54"/>
      <c r="M556" s="56"/>
      <c r="N556" s="55"/>
    </row>
    <row r="557" spans="1:15" ht="21.95" customHeight="1" x14ac:dyDescent="0.2">
      <c r="A557" s="49"/>
      <c r="B557" s="50"/>
      <c r="C557" s="49"/>
      <c r="D557" s="49"/>
      <c r="E557" s="49"/>
      <c r="F557" s="49"/>
      <c r="G557" s="57"/>
      <c r="H557" s="58"/>
      <c r="I557" s="53"/>
      <c r="J557" s="53"/>
      <c r="K557" s="53"/>
      <c r="L557" s="57"/>
      <c r="M557" s="53"/>
      <c r="N557" s="58"/>
    </row>
    <row r="558" spans="1:15" ht="21.95" customHeight="1" x14ac:dyDescent="0.2">
      <c r="A558" s="47"/>
      <c r="B558" s="48"/>
      <c r="C558" s="47"/>
      <c r="D558" s="47"/>
      <c r="E558" s="47"/>
      <c r="F558" s="47"/>
      <c r="G558" s="54"/>
      <c r="H558" s="55"/>
      <c r="I558" s="56"/>
      <c r="J558" s="56"/>
      <c r="K558" s="56"/>
      <c r="L558" s="54"/>
      <c r="M558" s="56"/>
      <c r="N558" s="55"/>
    </row>
    <row r="559" spans="1:15" ht="21.95" customHeight="1" x14ac:dyDescent="0.2">
      <c r="A559" s="49"/>
      <c r="B559" s="50"/>
      <c r="C559" s="49"/>
      <c r="D559" s="49"/>
      <c r="E559" s="49"/>
      <c r="F559" s="49"/>
      <c r="G559" s="57"/>
      <c r="H559" s="58"/>
      <c r="I559" s="53"/>
      <c r="J559" s="53"/>
      <c r="K559" s="53"/>
      <c r="L559" s="57"/>
      <c r="M559" s="53"/>
      <c r="N559" s="58"/>
    </row>
    <row r="560" spans="1:15" ht="21.95" customHeight="1" x14ac:dyDescent="0.2">
      <c r="A560" s="47"/>
      <c r="B560" s="48"/>
      <c r="C560" s="47"/>
      <c r="D560" s="47"/>
      <c r="E560" s="47"/>
      <c r="F560" s="47"/>
      <c r="G560" s="54"/>
      <c r="H560" s="55"/>
      <c r="I560" s="56"/>
      <c r="J560" s="56"/>
      <c r="K560" s="56"/>
      <c r="L560" s="54"/>
      <c r="M560" s="56"/>
      <c r="N560" s="55"/>
    </row>
    <row r="561" spans="1:14" ht="21.95" customHeight="1" x14ac:dyDescent="0.2">
      <c r="A561" s="49"/>
      <c r="B561" s="50"/>
      <c r="C561" s="49"/>
      <c r="D561" s="49"/>
      <c r="E561" s="49"/>
      <c r="F561" s="49"/>
      <c r="G561" s="57"/>
      <c r="H561" s="58"/>
      <c r="I561" s="53"/>
      <c r="J561" s="53"/>
      <c r="K561" s="53"/>
      <c r="L561" s="57"/>
      <c r="M561" s="53"/>
      <c r="N561" s="58"/>
    </row>
    <row r="562" spans="1:14" ht="21.95" customHeight="1" x14ac:dyDescent="0.2">
      <c r="A562" s="47"/>
      <c r="B562" s="48"/>
      <c r="C562" s="47"/>
      <c r="D562" s="47"/>
      <c r="E562" s="47"/>
      <c r="F562" s="47"/>
      <c r="G562" s="54"/>
      <c r="H562" s="55"/>
      <c r="I562" s="56"/>
      <c r="J562" s="56"/>
      <c r="K562" s="56"/>
      <c r="L562" s="54"/>
      <c r="M562" s="56"/>
      <c r="N562" s="55"/>
    </row>
    <row r="563" spans="1:14" ht="21.95" customHeight="1" x14ac:dyDescent="0.2">
      <c r="A563" s="49"/>
      <c r="B563" s="50"/>
      <c r="C563" s="49"/>
      <c r="D563" s="49"/>
      <c r="E563" s="49"/>
      <c r="F563" s="49"/>
      <c r="G563" s="57"/>
      <c r="H563" s="58"/>
      <c r="I563" s="53"/>
      <c r="J563" s="53"/>
      <c r="K563" s="53"/>
      <c r="L563" s="57"/>
      <c r="M563" s="53"/>
      <c r="N563" s="58"/>
    </row>
    <row r="564" spans="1:14" ht="21.95" customHeight="1" x14ac:dyDescent="0.2">
      <c r="A564" s="47"/>
      <c r="B564" s="48"/>
      <c r="C564" s="47"/>
      <c r="D564" s="47"/>
      <c r="E564" s="47"/>
      <c r="F564" s="47"/>
      <c r="G564" s="54"/>
      <c r="H564" s="55"/>
      <c r="I564" s="56"/>
      <c r="J564" s="56"/>
      <c r="K564" s="56"/>
      <c r="L564" s="54"/>
      <c r="M564" s="56"/>
      <c r="N564" s="55"/>
    </row>
    <row r="565" spans="1:14" ht="21.95" customHeight="1" x14ac:dyDescent="0.2">
      <c r="A565" s="49"/>
      <c r="B565" s="50"/>
      <c r="C565" s="49"/>
      <c r="D565" s="49"/>
      <c r="E565" s="49"/>
      <c r="F565" s="49"/>
      <c r="G565" s="57"/>
      <c r="H565" s="58"/>
      <c r="I565" s="53"/>
      <c r="J565" s="53"/>
      <c r="K565" s="53"/>
      <c r="L565" s="57"/>
      <c r="M565" s="53"/>
      <c r="N565" s="58"/>
    </row>
    <row r="566" spans="1:14" ht="21.95" customHeight="1" x14ac:dyDescent="0.2">
      <c r="A566" s="47"/>
      <c r="B566" s="48"/>
      <c r="C566" s="47"/>
      <c r="D566" s="47"/>
      <c r="E566" s="47"/>
      <c r="F566" s="47"/>
      <c r="G566" s="54"/>
      <c r="H566" s="55"/>
      <c r="I566" s="56"/>
      <c r="J566" s="56"/>
      <c r="K566" s="56"/>
      <c r="L566" s="54"/>
      <c r="M566" s="56"/>
      <c r="N566" s="55"/>
    </row>
    <row r="567" spans="1:14" ht="21.95" customHeight="1" x14ac:dyDescent="0.2">
      <c r="A567" s="49"/>
      <c r="B567" s="50"/>
      <c r="C567" s="49"/>
      <c r="D567" s="49"/>
      <c r="E567" s="49"/>
      <c r="F567" s="49"/>
      <c r="G567" s="57"/>
      <c r="H567" s="58"/>
      <c r="I567" s="53"/>
      <c r="J567" s="53"/>
      <c r="K567" s="53"/>
      <c r="L567" s="57"/>
      <c r="M567" s="53"/>
      <c r="N567" s="58"/>
    </row>
    <row r="568" spans="1:14" ht="21.95" customHeight="1" x14ac:dyDescent="0.2">
      <c r="A568" s="47"/>
      <c r="B568" s="48"/>
      <c r="C568" s="47"/>
      <c r="D568" s="47"/>
      <c r="E568" s="47"/>
      <c r="F568" s="47"/>
      <c r="G568" s="54"/>
      <c r="H568" s="55"/>
      <c r="I568" s="56"/>
      <c r="J568" s="56"/>
      <c r="K568" s="56"/>
      <c r="L568" s="54"/>
      <c r="M568" s="56"/>
      <c r="N568" s="55"/>
    </row>
    <row r="569" spans="1:14" ht="21.95" customHeight="1" x14ac:dyDescent="0.2">
      <c r="A569" s="49"/>
      <c r="B569" s="50"/>
      <c r="C569" s="49"/>
      <c r="D569" s="49"/>
      <c r="E569" s="49"/>
      <c r="F569" s="49"/>
      <c r="G569" s="57"/>
      <c r="H569" s="58"/>
      <c r="I569" s="53"/>
      <c r="J569" s="53"/>
      <c r="K569" s="53"/>
      <c r="L569" s="57"/>
      <c r="M569" s="53"/>
      <c r="N569" s="58"/>
    </row>
    <row r="570" spans="1:14" ht="21.95" customHeight="1" x14ac:dyDescent="0.2">
      <c r="A570" s="47"/>
      <c r="B570" s="48"/>
      <c r="C570" s="47"/>
      <c r="D570" s="47"/>
      <c r="E570" s="47"/>
      <c r="F570" s="47"/>
      <c r="G570" s="54"/>
      <c r="H570" s="55"/>
      <c r="I570" s="56"/>
      <c r="J570" s="56"/>
      <c r="K570" s="56"/>
      <c r="L570" s="54"/>
      <c r="M570" s="56"/>
      <c r="N570" s="55"/>
    </row>
    <row r="571" spans="1:14" ht="21.95" customHeight="1" x14ac:dyDescent="0.2">
      <c r="A571" s="49"/>
      <c r="B571" s="50"/>
      <c r="C571" s="49"/>
      <c r="D571" s="49"/>
      <c r="E571" s="49"/>
      <c r="F571" s="49"/>
      <c r="G571" s="57"/>
      <c r="H571" s="58"/>
      <c r="I571" s="53"/>
      <c r="J571" s="53"/>
      <c r="K571" s="53"/>
      <c r="L571" s="57"/>
      <c r="M571" s="53"/>
      <c r="N571" s="58"/>
    </row>
    <row r="572" spans="1:14" ht="21.95" customHeight="1" x14ac:dyDescent="0.2">
      <c r="A572" s="47"/>
      <c r="B572" s="48"/>
      <c r="C572" s="47"/>
      <c r="D572" s="47"/>
      <c r="E572" s="47"/>
      <c r="F572" s="47"/>
      <c r="G572" s="54"/>
      <c r="H572" s="55"/>
      <c r="I572" s="56"/>
      <c r="J572" s="56"/>
      <c r="K572" s="56"/>
      <c r="L572" s="54"/>
      <c r="M572" s="56"/>
      <c r="N572" s="55"/>
    </row>
    <row r="573" spans="1:14" ht="21.95" customHeight="1" x14ac:dyDescent="0.2">
      <c r="A573" s="49"/>
      <c r="B573" s="50"/>
      <c r="C573" s="49"/>
      <c r="D573" s="49"/>
      <c r="E573" s="49"/>
      <c r="F573" s="49"/>
      <c r="G573" s="57"/>
      <c r="H573" s="58"/>
      <c r="I573" s="53"/>
      <c r="J573" s="53"/>
      <c r="K573" s="53"/>
      <c r="L573" s="57"/>
      <c r="M573" s="53"/>
      <c r="N573" s="58"/>
    </row>
    <row r="574" spans="1:14" ht="21.95" customHeight="1" x14ac:dyDescent="0.2">
      <c r="A574" s="47"/>
      <c r="B574" s="48"/>
      <c r="C574" s="47"/>
      <c r="D574" s="47"/>
      <c r="E574" s="47"/>
      <c r="F574" s="47"/>
      <c r="G574" s="54"/>
      <c r="H574" s="55"/>
      <c r="I574" s="56"/>
      <c r="J574" s="56"/>
      <c r="K574" s="56"/>
      <c r="L574" s="54"/>
      <c r="M574" s="56"/>
      <c r="N574" s="55"/>
    </row>
    <row r="575" spans="1:14" ht="21.95" customHeight="1" x14ac:dyDescent="0.2">
      <c r="A575" s="49"/>
      <c r="B575" s="50"/>
      <c r="C575" s="49"/>
      <c r="D575" s="49"/>
      <c r="E575" s="49"/>
      <c r="F575" s="49"/>
      <c r="G575" s="57"/>
      <c r="H575" s="58"/>
      <c r="I575" s="53"/>
      <c r="J575" s="53"/>
      <c r="K575" s="53"/>
      <c r="L575" s="57"/>
      <c r="M575" s="53"/>
      <c r="N575" s="58"/>
    </row>
    <row r="576" spans="1:14" ht="21.95" customHeight="1" x14ac:dyDescent="0.2">
      <c r="A576" s="47"/>
      <c r="B576" s="48"/>
      <c r="C576" s="47"/>
      <c r="D576" s="47"/>
      <c r="E576" s="47"/>
      <c r="F576" s="47"/>
      <c r="G576" s="54"/>
      <c r="H576" s="55"/>
      <c r="I576" s="56"/>
      <c r="J576" s="56"/>
      <c r="K576" s="56"/>
      <c r="L576" s="54"/>
      <c r="M576" s="56"/>
      <c r="N576" s="55"/>
    </row>
    <row r="577" spans="1:14" ht="21.95" customHeight="1" x14ac:dyDescent="0.2">
      <c r="A577" s="49"/>
      <c r="B577" s="50"/>
      <c r="C577" s="49"/>
      <c r="D577" s="49"/>
      <c r="E577" s="49"/>
      <c r="F577" s="49"/>
      <c r="G577" s="57"/>
      <c r="H577" s="58"/>
      <c r="I577" s="53"/>
      <c r="J577" s="53"/>
      <c r="K577" s="53"/>
      <c r="L577" s="57"/>
      <c r="M577" s="53"/>
      <c r="N577" s="58"/>
    </row>
    <row r="578" spans="1:14" ht="21.95" customHeight="1" x14ac:dyDescent="0.2">
      <c r="A578" s="47"/>
      <c r="B578" s="48"/>
      <c r="C578" s="47"/>
      <c r="D578" s="47"/>
      <c r="E578" s="47"/>
      <c r="F578" s="47"/>
      <c r="G578" s="54"/>
      <c r="H578" s="55"/>
      <c r="I578" s="56"/>
      <c r="J578" s="56"/>
      <c r="K578" s="56"/>
      <c r="L578" s="54"/>
      <c r="M578" s="56"/>
      <c r="N578" s="55"/>
    </row>
    <row r="579" spans="1:14" ht="21.95" customHeight="1" x14ac:dyDescent="0.2">
      <c r="A579" s="49"/>
      <c r="B579" s="50"/>
      <c r="C579" s="49"/>
      <c r="D579" s="49"/>
      <c r="E579" s="49"/>
      <c r="F579" s="49"/>
      <c r="G579" s="57"/>
      <c r="H579" s="58"/>
      <c r="I579" s="53"/>
      <c r="J579" s="53"/>
      <c r="K579" s="53"/>
      <c r="L579" s="57"/>
      <c r="M579" s="53"/>
      <c r="N579" s="58"/>
    </row>
    <row r="580" spans="1:14" ht="21.95" customHeight="1" x14ac:dyDescent="0.2">
      <c r="A580" s="47"/>
      <c r="B580" s="48"/>
      <c r="C580" s="47"/>
      <c r="D580" s="47"/>
      <c r="E580" s="47"/>
      <c r="F580" s="47"/>
      <c r="G580" s="54"/>
      <c r="H580" s="55"/>
      <c r="I580" s="56"/>
      <c r="J580" s="56"/>
      <c r="K580" s="56"/>
      <c r="L580" s="54"/>
      <c r="M580" s="56"/>
      <c r="N580" s="55"/>
    </row>
    <row r="581" spans="1:14" x14ac:dyDescent="0.2">
      <c r="A581" s="49"/>
      <c r="B581" s="50"/>
      <c r="C581" s="49"/>
      <c r="D581" s="49"/>
      <c r="E581" s="49"/>
      <c r="F581" s="49"/>
      <c r="G581" s="57"/>
      <c r="H581" s="58"/>
      <c r="I581" s="53"/>
      <c r="J581" s="53"/>
      <c r="K581" s="53"/>
      <c r="L581" s="57"/>
      <c r="M581" s="53"/>
      <c r="N581" s="58"/>
    </row>
    <row r="582" spans="1:14" x14ac:dyDescent="0.2">
      <c r="A582" s="47"/>
      <c r="B582" s="48"/>
      <c r="C582" s="47"/>
      <c r="D582" s="47"/>
      <c r="E582" s="47"/>
      <c r="F582" s="47"/>
      <c r="G582" s="54"/>
      <c r="H582" s="55"/>
      <c r="I582" s="56"/>
      <c r="J582" s="56"/>
      <c r="K582" s="56"/>
      <c r="L582" s="54"/>
      <c r="M582" s="56"/>
      <c r="N582" s="55"/>
    </row>
    <row r="583" spans="1:14" x14ac:dyDescent="0.2">
      <c r="A583" s="49"/>
      <c r="B583" s="50"/>
      <c r="C583" s="49"/>
      <c r="D583" s="49"/>
      <c r="E583" s="49"/>
      <c r="F583" s="49"/>
      <c r="G583" s="57"/>
      <c r="H583" s="58"/>
      <c r="I583" s="53"/>
      <c r="J583" s="53"/>
      <c r="K583" s="53"/>
      <c r="L583" s="57"/>
      <c r="M583" s="53"/>
      <c r="N583" s="58"/>
    </row>
    <row r="584" spans="1:14" x14ac:dyDescent="0.2">
      <c r="A584" s="47"/>
      <c r="B584" s="48"/>
      <c r="C584" s="47"/>
      <c r="D584" s="47"/>
      <c r="E584" s="47"/>
      <c r="F584" s="47"/>
      <c r="G584" s="54"/>
      <c r="H584" s="55"/>
      <c r="I584" s="56"/>
      <c r="J584" s="56"/>
      <c r="K584" s="56"/>
      <c r="L584" s="54"/>
      <c r="M584" s="56"/>
      <c r="N584" s="55"/>
    </row>
    <row r="585" spans="1:14" x14ac:dyDescent="0.2">
      <c r="A585" s="49"/>
      <c r="B585" s="50"/>
      <c r="C585" s="49"/>
      <c r="D585" s="49"/>
      <c r="E585" s="49"/>
      <c r="F585" s="49"/>
      <c r="G585" s="57"/>
      <c r="H585" s="58"/>
      <c r="I585" s="53"/>
      <c r="J585" s="53"/>
      <c r="K585" s="53"/>
      <c r="L585" s="57"/>
      <c r="M585" s="53"/>
      <c r="N585" s="58"/>
    </row>
    <row r="586" spans="1:14" x14ac:dyDescent="0.2">
      <c r="A586" s="47"/>
      <c r="B586" s="48"/>
      <c r="C586" s="47"/>
      <c r="D586" s="47"/>
      <c r="E586" s="47"/>
      <c r="F586" s="47"/>
      <c r="G586" s="54"/>
      <c r="H586" s="55"/>
      <c r="I586" s="56"/>
      <c r="J586" s="56"/>
      <c r="K586" s="56"/>
      <c r="L586" s="54"/>
      <c r="M586" s="56"/>
      <c r="N586" s="55"/>
    </row>
    <row r="587" spans="1:14" x14ac:dyDescent="0.2">
      <c r="A587" s="49"/>
      <c r="B587" s="50"/>
      <c r="C587" s="49"/>
      <c r="D587" s="49"/>
      <c r="E587" s="49"/>
      <c r="F587" s="49"/>
      <c r="G587" s="57"/>
      <c r="H587" s="58"/>
      <c r="I587" s="53"/>
      <c r="J587" s="53"/>
      <c r="K587" s="53"/>
      <c r="L587" s="57"/>
      <c r="M587" s="53"/>
      <c r="N587" s="58"/>
    </row>
    <row r="588" spans="1:14" x14ac:dyDescent="0.2">
      <c r="A588" s="47"/>
      <c r="B588" s="48"/>
      <c r="C588" s="47"/>
      <c r="D588" s="47"/>
      <c r="E588" s="47"/>
      <c r="F588" s="47"/>
      <c r="G588" s="54"/>
      <c r="H588" s="55"/>
      <c r="I588" s="56"/>
      <c r="J588" s="56"/>
      <c r="K588" s="56"/>
      <c r="L588" s="54"/>
      <c r="M588" s="56"/>
      <c r="N588" s="55"/>
    </row>
    <row r="589" spans="1:14" x14ac:dyDescent="0.2">
      <c r="A589" s="49"/>
      <c r="B589" s="50"/>
      <c r="C589" s="49"/>
      <c r="D589" s="49"/>
      <c r="E589" s="49"/>
      <c r="F589" s="49"/>
      <c r="G589" s="57"/>
      <c r="H589" s="58"/>
      <c r="I589" s="53"/>
      <c r="J589" s="53"/>
      <c r="K589" s="53"/>
      <c r="L589" s="57"/>
      <c r="M589" s="53"/>
      <c r="N589" s="58"/>
    </row>
    <row r="590" spans="1:14" x14ac:dyDescent="0.2">
      <c r="A590" s="47"/>
      <c r="B590" s="48"/>
      <c r="C590" s="47"/>
      <c r="D590" s="47"/>
      <c r="E590" s="47"/>
      <c r="F590" s="47"/>
      <c r="G590" s="54"/>
      <c r="H590" s="55"/>
      <c r="I590" s="56"/>
      <c r="J590" s="56"/>
      <c r="K590" s="56"/>
      <c r="L590" s="54"/>
      <c r="M590" s="56"/>
      <c r="N590" s="55"/>
    </row>
    <row r="591" spans="1:14" x14ac:dyDescent="0.2">
      <c r="A591" s="49"/>
      <c r="B591" s="50"/>
      <c r="C591" s="49"/>
      <c r="D591" s="49"/>
      <c r="E591" s="49"/>
      <c r="F591" s="49"/>
      <c r="G591" s="57"/>
      <c r="H591" s="58"/>
      <c r="I591" s="53"/>
      <c r="J591" s="53"/>
      <c r="K591" s="53"/>
      <c r="L591" s="57"/>
      <c r="M591" s="53"/>
      <c r="N591" s="58"/>
    </row>
    <row r="592" spans="1:14" x14ac:dyDescent="0.2">
      <c r="B592" s="52"/>
    </row>
    <row r="593" spans="2:2" x14ac:dyDescent="0.2">
      <c r="B593" s="52"/>
    </row>
    <row r="594" spans="2:2" x14ac:dyDescent="0.2">
      <c r="B594" s="52"/>
    </row>
    <row r="595" spans="2:2" x14ac:dyDescent="0.2">
      <c r="B595" s="52"/>
    </row>
    <row r="596" spans="2:2" x14ac:dyDescent="0.2">
      <c r="B596" s="52"/>
    </row>
    <row r="597" spans="2:2" x14ac:dyDescent="0.2">
      <c r="B597" s="52"/>
    </row>
    <row r="598" spans="2:2" x14ac:dyDescent="0.2">
      <c r="B598" s="52"/>
    </row>
    <row r="599" spans="2:2" x14ac:dyDescent="0.2">
      <c r="B599" s="52"/>
    </row>
    <row r="600" spans="2:2" x14ac:dyDescent="0.2">
      <c r="B600" s="52"/>
    </row>
    <row r="601" spans="2:2" x14ac:dyDescent="0.2">
      <c r="B601" s="52"/>
    </row>
    <row r="602" spans="2:2" x14ac:dyDescent="0.2">
      <c r="B602" s="52"/>
    </row>
    <row r="603" spans="2:2" x14ac:dyDescent="0.2">
      <c r="B603" s="52"/>
    </row>
    <row r="604" spans="2:2" x14ac:dyDescent="0.2">
      <c r="B604" s="52"/>
    </row>
    <row r="605" spans="2:2" x14ac:dyDescent="0.2">
      <c r="B605" s="52"/>
    </row>
    <row r="606" spans="2:2" x14ac:dyDescent="0.2">
      <c r="B606" s="52"/>
    </row>
    <row r="607" spans="2:2" x14ac:dyDescent="0.2">
      <c r="B607" s="52"/>
    </row>
    <row r="608" spans="2:2" x14ac:dyDescent="0.2">
      <c r="B608" s="52"/>
    </row>
    <row r="609" spans="2:2" x14ac:dyDescent="0.2">
      <c r="B609" s="52"/>
    </row>
    <row r="610" spans="2:2" x14ac:dyDescent="0.2">
      <c r="B610" s="52"/>
    </row>
    <row r="611" spans="2:2" x14ac:dyDescent="0.2">
      <c r="B611" s="52"/>
    </row>
    <row r="612" spans="2:2" x14ac:dyDescent="0.2">
      <c r="B612" s="52"/>
    </row>
    <row r="613" spans="2:2" x14ac:dyDescent="0.2">
      <c r="B613" s="52"/>
    </row>
    <row r="614" spans="2:2" x14ac:dyDescent="0.2">
      <c r="B614" s="52"/>
    </row>
    <row r="615" spans="2:2" x14ac:dyDescent="0.2">
      <c r="B615" s="52"/>
    </row>
    <row r="616" spans="2:2" x14ac:dyDescent="0.2">
      <c r="B616" s="52"/>
    </row>
    <row r="617" spans="2:2" x14ac:dyDescent="0.2">
      <c r="B617" s="52"/>
    </row>
    <row r="618" spans="2:2" x14ac:dyDescent="0.2">
      <c r="B618" s="52"/>
    </row>
    <row r="619" spans="2:2" x14ac:dyDescent="0.2">
      <c r="B619" s="52"/>
    </row>
    <row r="620" spans="2:2" x14ac:dyDescent="0.2">
      <c r="B620" s="52"/>
    </row>
    <row r="621" spans="2:2" x14ac:dyDescent="0.2">
      <c r="B621" s="52"/>
    </row>
    <row r="622" spans="2:2" x14ac:dyDescent="0.2">
      <c r="B622" s="52"/>
    </row>
    <row r="623" spans="2:2" x14ac:dyDescent="0.2">
      <c r="B623" s="52"/>
    </row>
    <row r="624" spans="2:2" x14ac:dyDescent="0.2">
      <c r="B624" s="52"/>
    </row>
    <row r="625" spans="2:2" x14ac:dyDescent="0.2">
      <c r="B625" s="52"/>
    </row>
    <row r="626" spans="2:2" x14ac:dyDescent="0.2">
      <c r="B626" s="52"/>
    </row>
    <row r="627" spans="2:2" x14ac:dyDescent="0.2">
      <c r="B627" s="52"/>
    </row>
    <row r="628" spans="2:2" x14ac:dyDescent="0.2">
      <c r="B628" s="52"/>
    </row>
    <row r="629" spans="2:2" x14ac:dyDescent="0.2">
      <c r="B629" s="52"/>
    </row>
    <row r="630" spans="2:2" x14ac:dyDescent="0.2">
      <c r="B630" s="52"/>
    </row>
    <row r="631" spans="2:2" x14ac:dyDescent="0.2">
      <c r="B631" s="52"/>
    </row>
    <row r="632" spans="2:2" x14ac:dyDescent="0.2">
      <c r="B632" s="52"/>
    </row>
    <row r="633" spans="2:2" x14ac:dyDescent="0.2">
      <c r="B633" s="52"/>
    </row>
    <row r="634" spans="2:2" x14ac:dyDescent="0.2">
      <c r="B634" s="52"/>
    </row>
    <row r="635" spans="2:2" x14ac:dyDescent="0.2">
      <c r="B635" s="52"/>
    </row>
    <row r="636" spans="2:2" x14ac:dyDescent="0.2">
      <c r="B636" s="52"/>
    </row>
    <row r="637" spans="2:2" x14ac:dyDescent="0.2">
      <c r="B637" s="52"/>
    </row>
    <row r="638" spans="2:2" x14ac:dyDescent="0.2">
      <c r="B638" s="52"/>
    </row>
    <row r="639" spans="2:2" x14ac:dyDescent="0.2">
      <c r="B639" s="52"/>
    </row>
    <row r="640" spans="2:2" x14ac:dyDescent="0.2">
      <c r="B640" s="52"/>
    </row>
    <row r="641" spans="2:2" x14ac:dyDescent="0.2">
      <c r="B641" s="52"/>
    </row>
    <row r="642" spans="2:2" x14ac:dyDescent="0.2">
      <c r="B642" s="52"/>
    </row>
    <row r="643" spans="2:2" x14ac:dyDescent="0.2">
      <c r="B643" s="52"/>
    </row>
    <row r="644" spans="2:2" x14ac:dyDescent="0.2">
      <c r="B644" s="52"/>
    </row>
    <row r="645" spans="2:2" x14ac:dyDescent="0.2">
      <c r="B645" s="52"/>
    </row>
    <row r="646" spans="2:2" x14ac:dyDescent="0.2">
      <c r="B646" s="52"/>
    </row>
    <row r="647" spans="2:2" x14ac:dyDescent="0.2">
      <c r="B647" s="52"/>
    </row>
    <row r="648" spans="2:2" x14ac:dyDescent="0.2">
      <c r="B648" s="52"/>
    </row>
    <row r="649" spans="2:2" x14ac:dyDescent="0.2">
      <c r="B649" s="52"/>
    </row>
    <row r="650" spans="2:2" x14ac:dyDescent="0.2">
      <c r="B650" s="52"/>
    </row>
    <row r="651" spans="2:2" x14ac:dyDescent="0.2">
      <c r="B651" s="52"/>
    </row>
  </sheetData>
  <sortState xmlns:xlrd2="http://schemas.microsoft.com/office/spreadsheetml/2017/richdata2" ref="A2:O82">
    <sortCondition ref="B2:B81"/>
  </sortState>
  <pageMargins left="0.7" right="0.7" top="0.75" bottom="0.75" header="0.3" footer="0.3"/>
  <pageSetup scale="65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>
    <tabColor rgb="FFFF0000"/>
    <pageSetUpPr fitToPage="1"/>
  </sheetPr>
  <dimension ref="A1:N80"/>
  <sheetViews>
    <sheetView workbookViewId="0">
      <selection activeCell="I10" sqref="I10"/>
    </sheetView>
  </sheetViews>
  <sheetFormatPr defaultRowHeight="23.25" customHeight="1" x14ac:dyDescent="0.2"/>
  <cols>
    <col min="1" max="1" width="6.7109375" style="6" customWidth="1"/>
    <col min="2" max="2" width="7.85546875" style="6" customWidth="1"/>
    <col min="3" max="3" width="20.42578125" style="6" customWidth="1"/>
    <col min="4" max="4" width="9" style="6" customWidth="1"/>
    <col min="5" max="5" width="7.7109375" style="6" customWidth="1"/>
    <col min="6" max="6" width="10" style="6" customWidth="1"/>
    <col min="7" max="7" width="7" style="6" customWidth="1"/>
    <col min="8" max="8" width="9.28515625" style="6" customWidth="1"/>
    <col min="9" max="9" width="9.5703125" style="6" customWidth="1"/>
    <col min="10" max="10" width="8.140625" style="6" customWidth="1"/>
    <col min="11" max="11" width="9.85546875" style="6" customWidth="1"/>
    <col min="12" max="12" width="8.85546875" style="6" customWidth="1"/>
    <col min="13" max="13" width="9.140625" style="6"/>
    <col min="14" max="14" width="10.42578125" style="6" customWidth="1"/>
    <col min="15" max="16384" width="9.140625" style="6"/>
  </cols>
  <sheetData>
    <row r="1" spans="1:14" ht="43.5" customHeight="1" thickBot="1" x14ac:dyDescent="0.25">
      <c r="A1" s="96" t="s">
        <v>0</v>
      </c>
      <c r="B1" s="97" t="s">
        <v>1</v>
      </c>
      <c r="C1" s="112" t="s">
        <v>2</v>
      </c>
      <c r="D1" s="96" t="s">
        <v>3</v>
      </c>
      <c r="E1" s="97" t="s">
        <v>4</v>
      </c>
      <c r="F1" s="98" t="s">
        <v>5</v>
      </c>
      <c r="G1" s="97" t="s">
        <v>6</v>
      </c>
      <c r="H1" s="99" t="s">
        <v>7</v>
      </c>
      <c r="I1" s="96" t="s">
        <v>36</v>
      </c>
      <c r="J1" s="97" t="s">
        <v>8</v>
      </c>
      <c r="K1" s="97" t="s">
        <v>5</v>
      </c>
      <c r="L1" s="97" t="s">
        <v>9</v>
      </c>
      <c r="M1" s="97" t="s">
        <v>10</v>
      </c>
      <c r="N1" s="99" t="s">
        <v>11</v>
      </c>
    </row>
    <row r="2" spans="1:14" ht="30" customHeight="1" x14ac:dyDescent="0.2">
      <c r="A2" s="7">
        <v>1</v>
      </c>
      <c r="B2" s="7">
        <v>63</v>
      </c>
      <c r="C2" s="8" t="s">
        <v>71</v>
      </c>
      <c r="D2" s="9">
        <v>7</v>
      </c>
      <c r="E2" s="9">
        <v>9.32</v>
      </c>
      <c r="F2" s="9">
        <v>7</v>
      </c>
      <c r="G2" s="10">
        <f t="shared" ref="G2:G33" si="0">E2+F2*0.2</f>
        <v>10.72</v>
      </c>
      <c r="H2" s="11">
        <v>2.36</v>
      </c>
      <c r="I2" s="9">
        <v>7</v>
      </c>
      <c r="J2" s="9">
        <v>12.6</v>
      </c>
      <c r="K2" s="9">
        <v>7</v>
      </c>
      <c r="L2" s="10">
        <f t="shared" ref="L2:L33" si="1">J2+K2*0.2</f>
        <v>14</v>
      </c>
      <c r="M2" s="12">
        <f t="shared" ref="M2:M33" si="2">L2+G2</f>
        <v>24.72</v>
      </c>
      <c r="N2" s="11">
        <v>3.92</v>
      </c>
    </row>
    <row r="3" spans="1:14" ht="30" customHeight="1" x14ac:dyDescent="0.2">
      <c r="A3" s="7">
        <v>2</v>
      </c>
      <c r="B3" s="7">
        <v>28</v>
      </c>
      <c r="C3" s="8" t="s">
        <v>29</v>
      </c>
      <c r="D3" s="9">
        <v>7</v>
      </c>
      <c r="E3" s="9">
        <v>8.3800000000000008</v>
      </c>
      <c r="F3" s="9">
        <v>7</v>
      </c>
      <c r="G3" s="10">
        <f t="shared" si="0"/>
        <v>9.7800000000000011</v>
      </c>
      <c r="H3" s="11"/>
      <c r="I3" s="9">
        <v>7</v>
      </c>
      <c r="J3" s="9">
        <v>12.52</v>
      </c>
      <c r="K3" s="9">
        <v>7</v>
      </c>
      <c r="L3" s="10">
        <f t="shared" si="1"/>
        <v>13.92</v>
      </c>
      <c r="M3" s="12">
        <f t="shared" si="2"/>
        <v>23.700000000000003</v>
      </c>
      <c r="N3" s="11">
        <v>5.12</v>
      </c>
    </row>
    <row r="4" spans="1:14" ht="30" customHeight="1" x14ac:dyDescent="0.2">
      <c r="A4" s="7">
        <v>3</v>
      </c>
      <c r="B4" s="7">
        <v>2</v>
      </c>
      <c r="C4" s="8" t="s">
        <v>60</v>
      </c>
      <c r="D4" s="9">
        <v>7</v>
      </c>
      <c r="E4" s="9">
        <v>10.58</v>
      </c>
      <c r="F4" s="9">
        <v>7</v>
      </c>
      <c r="G4" s="10">
        <f t="shared" si="0"/>
        <v>11.98</v>
      </c>
      <c r="H4" s="11">
        <v>3.3</v>
      </c>
      <c r="I4" s="9">
        <v>7</v>
      </c>
      <c r="J4" s="9">
        <v>9.98</v>
      </c>
      <c r="K4" s="9">
        <v>7</v>
      </c>
      <c r="L4" s="10">
        <f t="shared" si="1"/>
        <v>11.38</v>
      </c>
      <c r="M4" s="12">
        <f t="shared" si="2"/>
        <v>23.36</v>
      </c>
      <c r="N4" s="11">
        <v>3.26</v>
      </c>
    </row>
    <row r="5" spans="1:14" ht="30" customHeight="1" x14ac:dyDescent="0.2">
      <c r="A5" s="7">
        <v>4</v>
      </c>
      <c r="B5" s="7">
        <v>50</v>
      </c>
      <c r="C5" s="8" t="s">
        <v>118</v>
      </c>
      <c r="D5" s="9">
        <v>7</v>
      </c>
      <c r="E5" s="9">
        <v>9.76</v>
      </c>
      <c r="F5" s="9">
        <v>7</v>
      </c>
      <c r="G5" s="10">
        <f t="shared" si="0"/>
        <v>11.16</v>
      </c>
      <c r="H5" s="11">
        <v>3.2</v>
      </c>
      <c r="I5" s="9">
        <v>7</v>
      </c>
      <c r="J5" s="9">
        <v>10.68</v>
      </c>
      <c r="K5" s="9">
        <v>7</v>
      </c>
      <c r="L5" s="10">
        <f t="shared" si="1"/>
        <v>12.08</v>
      </c>
      <c r="M5" s="12">
        <f t="shared" si="2"/>
        <v>23.240000000000002</v>
      </c>
      <c r="N5" s="11">
        <v>3.88</v>
      </c>
    </row>
    <row r="6" spans="1:14" ht="30" customHeight="1" x14ac:dyDescent="0.2">
      <c r="A6" s="7">
        <v>5</v>
      </c>
      <c r="B6" s="7">
        <v>34</v>
      </c>
      <c r="C6" s="8" t="s">
        <v>37</v>
      </c>
      <c r="D6" s="9">
        <v>7</v>
      </c>
      <c r="E6" s="9">
        <v>11.24</v>
      </c>
      <c r="F6" s="9">
        <v>7</v>
      </c>
      <c r="G6" s="10">
        <f t="shared" si="0"/>
        <v>12.64</v>
      </c>
      <c r="H6" s="11">
        <v>3.28</v>
      </c>
      <c r="I6" s="9">
        <v>7</v>
      </c>
      <c r="J6" s="9">
        <v>9.14</v>
      </c>
      <c r="K6" s="9">
        <v>7</v>
      </c>
      <c r="L6" s="10">
        <f t="shared" si="1"/>
        <v>10.540000000000001</v>
      </c>
      <c r="M6" s="12">
        <f t="shared" si="2"/>
        <v>23.18</v>
      </c>
      <c r="N6" s="11">
        <v>2.42</v>
      </c>
    </row>
    <row r="7" spans="1:14" ht="30" customHeight="1" x14ac:dyDescent="0.2">
      <c r="A7" s="7">
        <v>6</v>
      </c>
      <c r="B7" s="7">
        <v>43</v>
      </c>
      <c r="C7" s="8" t="s">
        <v>68</v>
      </c>
      <c r="D7" s="9">
        <v>7</v>
      </c>
      <c r="E7" s="9">
        <v>11.56</v>
      </c>
      <c r="F7" s="9">
        <v>7</v>
      </c>
      <c r="G7" s="10">
        <f t="shared" si="0"/>
        <v>12.96</v>
      </c>
      <c r="H7" s="11">
        <v>3.56</v>
      </c>
      <c r="I7" s="9">
        <v>7</v>
      </c>
      <c r="J7" s="9">
        <v>8.56</v>
      </c>
      <c r="K7" s="9">
        <v>7</v>
      </c>
      <c r="L7" s="10">
        <f t="shared" si="1"/>
        <v>9.9600000000000009</v>
      </c>
      <c r="M7" s="12">
        <f t="shared" si="2"/>
        <v>22.92</v>
      </c>
      <c r="N7" s="11">
        <v>2.04</v>
      </c>
    </row>
    <row r="8" spans="1:14" ht="30" customHeight="1" x14ac:dyDescent="0.2">
      <c r="A8" s="7">
        <v>7</v>
      </c>
      <c r="B8" s="7">
        <v>21</v>
      </c>
      <c r="C8" s="8" t="s">
        <v>70</v>
      </c>
      <c r="D8" s="9">
        <v>7</v>
      </c>
      <c r="E8" s="9">
        <v>11.18</v>
      </c>
      <c r="F8" s="9">
        <v>7</v>
      </c>
      <c r="G8" s="10">
        <f t="shared" si="0"/>
        <v>12.58</v>
      </c>
      <c r="H8" s="11">
        <v>3.48</v>
      </c>
      <c r="I8" s="9">
        <v>7</v>
      </c>
      <c r="J8" s="9">
        <v>8.9</v>
      </c>
      <c r="K8" s="9">
        <v>7</v>
      </c>
      <c r="L8" s="10">
        <f t="shared" si="1"/>
        <v>10.3</v>
      </c>
      <c r="M8" s="12">
        <f t="shared" si="2"/>
        <v>22.880000000000003</v>
      </c>
      <c r="N8" s="11">
        <v>2.2799999999999998</v>
      </c>
    </row>
    <row r="9" spans="1:14" ht="30" customHeight="1" x14ac:dyDescent="0.2">
      <c r="A9" s="7">
        <v>8</v>
      </c>
      <c r="B9" s="7">
        <v>1</v>
      </c>
      <c r="C9" s="8" t="s">
        <v>43</v>
      </c>
      <c r="D9" s="9">
        <v>7</v>
      </c>
      <c r="E9" s="9">
        <v>8.7799999999999994</v>
      </c>
      <c r="F9" s="9">
        <v>7</v>
      </c>
      <c r="G9" s="10">
        <f t="shared" si="0"/>
        <v>10.18</v>
      </c>
      <c r="H9" s="11">
        <v>2.58</v>
      </c>
      <c r="I9" s="9">
        <v>7</v>
      </c>
      <c r="J9" s="9">
        <v>11.28</v>
      </c>
      <c r="K9" s="9">
        <v>7</v>
      </c>
      <c r="L9" s="10">
        <f t="shared" si="1"/>
        <v>12.68</v>
      </c>
      <c r="M9" s="12">
        <f t="shared" si="2"/>
        <v>22.86</v>
      </c>
      <c r="N9" s="11">
        <v>3.86</v>
      </c>
    </row>
    <row r="10" spans="1:14" ht="30" customHeight="1" x14ac:dyDescent="0.2">
      <c r="A10" s="7">
        <v>9</v>
      </c>
      <c r="B10" s="7">
        <v>48</v>
      </c>
      <c r="C10" s="8" t="s">
        <v>67</v>
      </c>
      <c r="D10" s="9">
        <v>7</v>
      </c>
      <c r="E10" s="9">
        <v>9.86</v>
      </c>
      <c r="F10" s="9">
        <v>7</v>
      </c>
      <c r="G10" s="10">
        <f t="shared" si="0"/>
        <v>11.26</v>
      </c>
      <c r="H10" s="11">
        <v>3.4</v>
      </c>
      <c r="I10" s="9">
        <v>7</v>
      </c>
      <c r="J10" s="9">
        <v>10.08</v>
      </c>
      <c r="K10" s="9">
        <v>7</v>
      </c>
      <c r="L10" s="10">
        <f t="shared" si="1"/>
        <v>11.48</v>
      </c>
      <c r="M10" s="12">
        <f t="shared" si="2"/>
        <v>22.740000000000002</v>
      </c>
      <c r="N10" s="11">
        <v>2.98</v>
      </c>
    </row>
    <row r="11" spans="1:14" ht="30" customHeight="1" x14ac:dyDescent="0.2">
      <c r="A11" s="7">
        <v>10</v>
      </c>
      <c r="B11" s="7">
        <v>54</v>
      </c>
      <c r="C11" s="8" t="s">
        <v>65</v>
      </c>
      <c r="D11" s="9">
        <v>7</v>
      </c>
      <c r="E11" s="9">
        <v>10.54</v>
      </c>
      <c r="F11" s="9">
        <v>7</v>
      </c>
      <c r="G11" s="10">
        <f t="shared" si="0"/>
        <v>11.94</v>
      </c>
      <c r="H11" s="11">
        <v>3.62</v>
      </c>
      <c r="I11" s="9">
        <v>7</v>
      </c>
      <c r="J11" s="9">
        <v>8.82</v>
      </c>
      <c r="K11" s="9">
        <v>7</v>
      </c>
      <c r="L11" s="10">
        <f t="shared" si="1"/>
        <v>10.220000000000001</v>
      </c>
      <c r="M11" s="12">
        <f t="shared" si="2"/>
        <v>22.16</v>
      </c>
      <c r="N11" s="11">
        <v>2.4</v>
      </c>
    </row>
    <row r="12" spans="1:14" ht="30" customHeight="1" x14ac:dyDescent="0.2">
      <c r="A12" s="7">
        <v>11</v>
      </c>
      <c r="B12" s="7">
        <v>8</v>
      </c>
      <c r="C12" s="8" t="s">
        <v>106</v>
      </c>
      <c r="D12" s="9">
        <v>7</v>
      </c>
      <c r="E12" s="9">
        <v>9.7200000000000006</v>
      </c>
      <c r="F12" s="9">
        <v>7</v>
      </c>
      <c r="G12" s="10">
        <f t="shared" si="0"/>
        <v>11.120000000000001</v>
      </c>
      <c r="H12" s="11"/>
      <c r="I12" s="9">
        <v>7</v>
      </c>
      <c r="J12" s="9">
        <v>9.6</v>
      </c>
      <c r="K12" s="9">
        <v>7</v>
      </c>
      <c r="L12" s="10">
        <f t="shared" si="1"/>
        <v>11</v>
      </c>
      <c r="M12" s="12">
        <f t="shared" si="2"/>
        <v>22.12</v>
      </c>
      <c r="N12" s="11"/>
    </row>
    <row r="13" spans="1:14" ht="30" customHeight="1" x14ac:dyDescent="0.2">
      <c r="A13" s="7">
        <v>12</v>
      </c>
      <c r="B13" s="7">
        <v>32</v>
      </c>
      <c r="C13" s="8" t="s">
        <v>109</v>
      </c>
      <c r="D13" s="9">
        <v>7</v>
      </c>
      <c r="E13" s="9">
        <v>9.0399999999999991</v>
      </c>
      <c r="F13" s="9">
        <v>7</v>
      </c>
      <c r="G13" s="10">
        <f t="shared" si="0"/>
        <v>10.44</v>
      </c>
      <c r="H13" s="11"/>
      <c r="I13" s="9">
        <v>7</v>
      </c>
      <c r="J13" s="9">
        <v>10.1</v>
      </c>
      <c r="K13" s="9">
        <v>7</v>
      </c>
      <c r="L13" s="10">
        <f t="shared" si="1"/>
        <v>11.5</v>
      </c>
      <c r="M13" s="12">
        <f t="shared" si="2"/>
        <v>21.939999999999998</v>
      </c>
      <c r="N13" s="11">
        <v>3.2</v>
      </c>
    </row>
    <row r="14" spans="1:14" ht="30" customHeight="1" x14ac:dyDescent="0.2">
      <c r="A14" s="7">
        <v>13</v>
      </c>
      <c r="B14" s="7">
        <v>23</v>
      </c>
      <c r="C14" s="8" t="s">
        <v>55</v>
      </c>
      <c r="D14" s="9">
        <v>7</v>
      </c>
      <c r="E14" s="9">
        <v>9.16</v>
      </c>
      <c r="F14" s="9">
        <v>7</v>
      </c>
      <c r="G14" s="10">
        <f t="shared" si="0"/>
        <v>10.56</v>
      </c>
      <c r="H14" s="11"/>
      <c r="I14" s="9">
        <v>7</v>
      </c>
      <c r="J14" s="9">
        <v>9.86</v>
      </c>
      <c r="K14" s="9">
        <v>7</v>
      </c>
      <c r="L14" s="10">
        <f t="shared" si="1"/>
        <v>11.26</v>
      </c>
      <c r="M14" s="12">
        <f t="shared" si="2"/>
        <v>21.82</v>
      </c>
      <c r="N14" s="11">
        <v>2.7</v>
      </c>
    </row>
    <row r="15" spans="1:14" ht="30" customHeight="1" x14ac:dyDescent="0.2">
      <c r="A15" s="7">
        <v>14</v>
      </c>
      <c r="B15" s="7">
        <v>41</v>
      </c>
      <c r="C15" s="8" t="s">
        <v>50</v>
      </c>
      <c r="D15" s="9">
        <v>7</v>
      </c>
      <c r="E15" s="9">
        <v>9.7799999999999994</v>
      </c>
      <c r="F15" s="9">
        <v>7</v>
      </c>
      <c r="G15" s="10">
        <f t="shared" si="0"/>
        <v>11.18</v>
      </c>
      <c r="H15" s="11">
        <v>2.96</v>
      </c>
      <c r="I15" s="9">
        <v>7</v>
      </c>
      <c r="J15" s="9">
        <v>9.02</v>
      </c>
      <c r="K15" s="9">
        <v>7</v>
      </c>
      <c r="L15" s="10">
        <f t="shared" si="1"/>
        <v>10.42</v>
      </c>
      <c r="M15" s="12">
        <f t="shared" si="2"/>
        <v>21.6</v>
      </c>
      <c r="N15" s="11">
        <v>2.42</v>
      </c>
    </row>
    <row r="16" spans="1:14" ht="30" customHeight="1" x14ac:dyDescent="0.2">
      <c r="A16" s="7">
        <v>15</v>
      </c>
      <c r="B16" s="7">
        <v>47</v>
      </c>
      <c r="C16" s="8" t="s">
        <v>104</v>
      </c>
      <c r="D16" s="9">
        <v>7</v>
      </c>
      <c r="E16" s="9">
        <v>9.06</v>
      </c>
      <c r="F16" s="9">
        <v>7</v>
      </c>
      <c r="G16" s="10">
        <f t="shared" si="0"/>
        <v>10.46</v>
      </c>
      <c r="H16" s="11">
        <v>2.98</v>
      </c>
      <c r="I16" s="9">
        <v>7</v>
      </c>
      <c r="J16" s="9">
        <v>9.66</v>
      </c>
      <c r="K16" s="9">
        <v>7</v>
      </c>
      <c r="L16" s="10">
        <f t="shared" si="1"/>
        <v>11.06</v>
      </c>
      <c r="M16" s="12">
        <f t="shared" si="2"/>
        <v>21.520000000000003</v>
      </c>
      <c r="N16" s="11">
        <v>3.08</v>
      </c>
    </row>
    <row r="17" spans="1:14" ht="30" customHeight="1" x14ac:dyDescent="0.2">
      <c r="A17" s="7">
        <v>16</v>
      </c>
      <c r="B17" s="7">
        <v>29</v>
      </c>
      <c r="C17" s="8" t="s">
        <v>30</v>
      </c>
      <c r="D17" s="9">
        <v>7</v>
      </c>
      <c r="E17" s="9">
        <v>8.2799999999999994</v>
      </c>
      <c r="F17" s="9">
        <v>7</v>
      </c>
      <c r="G17" s="10">
        <f t="shared" si="0"/>
        <v>9.68</v>
      </c>
      <c r="H17" s="11">
        <v>3.2</v>
      </c>
      <c r="I17" s="9">
        <v>7</v>
      </c>
      <c r="J17" s="9">
        <v>10.44</v>
      </c>
      <c r="K17" s="9">
        <v>7</v>
      </c>
      <c r="L17" s="10">
        <f t="shared" si="1"/>
        <v>11.84</v>
      </c>
      <c r="M17" s="12">
        <f t="shared" si="2"/>
        <v>21.52</v>
      </c>
      <c r="N17" s="11">
        <v>3.54</v>
      </c>
    </row>
    <row r="18" spans="1:14" ht="30" customHeight="1" x14ac:dyDescent="0.2">
      <c r="A18" s="7">
        <v>17</v>
      </c>
      <c r="B18" s="7">
        <v>46</v>
      </c>
      <c r="C18" s="8" t="s">
        <v>103</v>
      </c>
      <c r="D18" s="9">
        <v>7</v>
      </c>
      <c r="E18" s="9">
        <v>8.5</v>
      </c>
      <c r="F18" s="9">
        <v>7</v>
      </c>
      <c r="G18" s="10">
        <f t="shared" si="0"/>
        <v>9.9</v>
      </c>
      <c r="H18" s="11">
        <v>1.9</v>
      </c>
      <c r="I18" s="9">
        <v>7</v>
      </c>
      <c r="J18" s="9">
        <v>10.1</v>
      </c>
      <c r="K18" s="9">
        <v>7</v>
      </c>
      <c r="L18" s="10">
        <f t="shared" si="1"/>
        <v>11.5</v>
      </c>
      <c r="M18" s="12">
        <f t="shared" si="2"/>
        <v>21.4</v>
      </c>
      <c r="N18" s="11">
        <v>3.18</v>
      </c>
    </row>
    <row r="19" spans="1:14" ht="30" customHeight="1" x14ac:dyDescent="0.2">
      <c r="A19" s="7">
        <v>18</v>
      </c>
      <c r="B19" s="7">
        <v>3</v>
      </c>
      <c r="C19" s="8" t="s">
        <v>42</v>
      </c>
      <c r="D19" s="9">
        <v>7</v>
      </c>
      <c r="E19" s="9">
        <v>9.18</v>
      </c>
      <c r="F19" s="9">
        <v>7</v>
      </c>
      <c r="G19" s="10">
        <f t="shared" si="0"/>
        <v>10.58</v>
      </c>
      <c r="H19" s="11">
        <v>3.28</v>
      </c>
      <c r="I19" s="9">
        <v>7</v>
      </c>
      <c r="J19" s="9">
        <v>9.42</v>
      </c>
      <c r="K19" s="9">
        <v>7</v>
      </c>
      <c r="L19" s="10">
        <f t="shared" si="1"/>
        <v>10.82</v>
      </c>
      <c r="M19" s="12">
        <f t="shared" si="2"/>
        <v>21.4</v>
      </c>
      <c r="N19" s="11">
        <v>2.74</v>
      </c>
    </row>
    <row r="20" spans="1:14" ht="30" customHeight="1" x14ac:dyDescent="0.2">
      <c r="A20" s="7">
        <v>19</v>
      </c>
      <c r="B20" s="7">
        <v>18</v>
      </c>
      <c r="C20" s="8" t="s">
        <v>51</v>
      </c>
      <c r="D20" s="9">
        <v>7</v>
      </c>
      <c r="E20" s="9">
        <v>10.26</v>
      </c>
      <c r="F20" s="9">
        <v>7</v>
      </c>
      <c r="G20" s="10">
        <f t="shared" si="0"/>
        <v>11.66</v>
      </c>
      <c r="H20" s="11">
        <v>3</v>
      </c>
      <c r="I20" s="9">
        <v>7</v>
      </c>
      <c r="J20" s="9">
        <v>8.34</v>
      </c>
      <c r="K20" s="9">
        <v>7</v>
      </c>
      <c r="L20" s="10">
        <f t="shared" si="1"/>
        <v>9.74</v>
      </c>
      <c r="M20" s="12">
        <f t="shared" si="2"/>
        <v>21.4</v>
      </c>
      <c r="N20" s="11">
        <v>2.08</v>
      </c>
    </row>
    <row r="21" spans="1:14" ht="30" customHeight="1" x14ac:dyDescent="0.2">
      <c r="A21" s="7">
        <v>20</v>
      </c>
      <c r="B21" s="7">
        <v>33</v>
      </c>
      <c r="C21" s="8" t="s">
        <v>39</v>
      </c>
      <c r="D21" s="9">
        <v>7</v>
      </c>
      <c r="E21" s="9">
        <v>7.32</v>
      </c>
      <c r="F21" s="9">
        <v>7</v>
      </c>
      <c r="G21" s="10">
        <f t="shared" si="0"/>
        <v>8.7200000000000006</v>
      </c>
      <c r="H21" s="11"/>
      <c r="I21" s="9">
        <v>7</v>
      </c>
      <c r="J21" s="9">
        <v>11.08</v>
      </c>
      <c r="K21" s="9">
        <v>7</v>
      </c>
      <c r="L21" s="10">
        <f t="shared" si="1"/>
        <v>12.48</v>
      </c>
      <c r="M21" s="12">
        <f t="shared" si="2"/>
        <v>21.200000000000003</v>
      </c>
      <c r="N21" s="11">
        <v>3.8</v>
      </c>
    </row>
    <row r="22" spans="1:14" ht="30" customHeight="1" x14ac:dyDescent="0.2">
      <c r="A22" s="7">
        <v>21</v>
      </c>
      <c r="B22" s="7">
        <v>11</v>
      </c>
      <c r="C22" s="8" t="s">
        <v>38</v>
      </c>
      <c r="D22" s="9">
        <v>7</v>
      </c>
      <c r="E22" s="9">
        <v>9.32</v>
      </c>
      <c r="F22" s="9">
        <v>7</v>
      </c>
      <c r="G22" s="10">
        <f t="shared" si="0"/>
        <v>10.72</v>
      </c>
      <c r="H22" s="11">
        <v>2.46</v>
      </c>
      <c r="I22" s="9">
        <v>7</v>
      </c>
      <c r="J22" s="9">
        <v>9.06</v>
      </c>
      <c r="K22" s="9">
        <v>7</v>
      </c>
      <c r="L22" s="10">
        <f t="shared" si="1"/>
        <v>10.46</v>
      </c>
      <c r="M22" s="12">
        <f t="shared" si="2"/>
        <v>21.18</v>
      </c>
      <c r="N22" s="11">
        <v>2.5</v>
      </c>
    </row>
    <row r="23" spans="1:14" ht="30" customHeight="1" x14ac:dyDescent="0.2">
      <c r="A23" s="7">
        <v>22</v>
      </c>
      <c r="B23" s="7">
        <v>27</v>
      </c>
      <c r="C23" s="8" t="s">
        <v>61</v>
      </c>
      <c r="D23" s="9">
        <v>7</v>
      </c>
      <c r="E23" s="7">
        <v>9.58</v>
      </c>
      <c r="F23" s="9">
        <v>7</v>
      </c>
      <c r="G23" s="10">
        <f t="shared" si="0"/>
        <v>10.98</v>
      </c>
      <c r="H23" s="11">
        <v>3.58</v>
      </c>
      <c r="I23" s="9">
        <v>7</v>
      </c>
      <c r="J23" s="9">
        <v>8.7799999999999994</v>
      </c>
      <c r="K23" s="9">
        <v>7</v>
      </c>
      <c r="L23" s="10">
        <f t="shared" si="1"/>
        <v>10.18</v>
      </c>
      <c r="M23" s="12">
        <f t="shared" si="2"/>
        <v>21.16</v>
      </c>
      <c r="N23" s="11">
        <v>2.6</v>
      </c>
    </row>
    <row r="24" spans="1:14" ht="30" customHeight="1" x14ac:dyDescent="0.2">
      <c r="A24" s="7">
        <v>23</v>
      </c>
      <c r="B24" s="7">
        <v>60</v>
      </c>
      <c r="C24" s="8" t="s">
        <v>119</v>
      </c>
      <c r="D24" s="9">
        <v>7</v>
      </c>
      <c r="E24" s="9">
        <v>8.56</v>
      </c>
      <c r="F24" s="9">
        <v>7</v>
      </c>
      <c r="G24" s="10">
        <f t="shared" si="0"/>
        <v>9.9600000000000009</v>
      </c>
      <c r="H24" s="11">
        <v>2.4</v>
      </c>
      <c r="I24" s="9">
        <v>7</v>
      </c>
      <c r="J24" s="9">
        <v>9.64</v>
      </c>
      <c r="K24" s="9">
        <v>7</v>
      </c>
      <c r="L24" s="10">
        <f t="shared" si="1"/>
        <v>11.040000000000001</v>
      </c>
      <c r="M24" s="12">
        <f t="shared" si="2"/>
        <v>21</v>
      </c>
      <c r="N24" s="11">
        <v>2.98</v>
      </c>
    </row>
    <row r="25" spans="1:14" ht="30" customHeight="1" x14ac:dyDescent="0.2">
      <c r="A25" s="7">
        <v>24</v>
      </c>
      <c r="B25" s="7">
        <v>5</v>
      </c>
      <c r="C25" s="8" t="s">
        <v>64</v>
      </c>
      <c r="D25" s="9">
        <v>7</v>
      </c>
      <c r="E25" s="9">
        <v>9.3800000000000008</v>
      </c>
      <c r="F25" s="9">
        <v>7</v>
      </c>
      <c r="G25" s="10">
        <f t="shared" si="0"/>
        <v>10.780000000000001</v>
      </c>
      <c r="H25" s="11">
        <v>3.34</v>
      </c>
      <c r="I25" s="9">
        <v>7</v>
      </c>
      <c r="J25" s="9">
        <v>8.76</v>
      </c>
      <c r="K25" s="9">
        <v>7</v>
      </c>
      <c r="L25" s="10">
        <f t="shared" si="1"/>
        <v>10.16</v>
      </c>
      <c r="M25" s="12">
        <f t="shared" si="2"/>
        <v>20.94</v>
      </c>
      <c r="N25" s="11">
        <v>2.2799999999999998</v>
      </c>
    </row>
    <row r="26" spans="1:14" ht="30" customHeight="1" x14ac:dyDescent="0.2">
      <c r="A26" s="7">
        <v>25</v>
      </c>
      <c r="B26" s="7">
        <v>45</v>
      </c>
      <c r="C26" s="8" t="s">
        <v>117</v>
      </c>
      <c r="D26" s="9">
        <v>7</v>
      </c>
      <c r="E26" s="9">
        <v>9.02</v>
      </c>
      <c r="F26" s="9">
        <v>7</v>
      </c>
      <c r="G26" s="10">
        <f t="shared" si="0"/>
        <v>10.42</v>
      </c>
      <c r="H26" s="11"/>
      <c r="I26" s="9">
        <v>7</v>
      </c>
      <c r="J26" s="9">
        <v>9</v>
      </c>
      <c r="K26" s="9">
        <v>7</v>
      </c>
      <c r="L26" s="10">
        <f t="shared" si="1"/>
        <v>10.4</v>
      </c>
      <c r="M26" s="12">
        <f t="shared" si="2"/>
        <v>20.82</v>
      </c>
      <c r="N26" s="11">
        <v>2.2599999999999998</v>
      </c>
    </row>
    <row r="27" spans="1:14" ht="30" customHeight="1" x14ac:dyDescent="0.2">
      <c r="A27" s="7">
        <v>26</v>
      </c>
      <c r="B27" s="7">
        <v>52</v>
      </c>
      <c r="C27" s="8" t="s">
        <v>45</v>
      </c>
      <c r="D27" s="9">
        <v>7</v>
      </c>
      <c r="E27" s="9">
        <v>9.2799999999999994</v>
      </c>
      <c r="F27" s="9">
        <v>7</v>
      </c>
      <c r="G27" s="10">
        <f t="shared" si="0"/>
        <v>10.68</v>
      </c>
      <c r="H27" s="11"/>
      <c r="I27" s="9">
        <v>7</v>
      </c>
      <c r="J27" s="9">
        <v>8.68</v>
      </c>
      <c r="K27" s="9">
        <v>7</v>
      </c>
      <c r="L27" s="10">
        <f t="shared" si="1"/>
        <v>10.08</v>
      </c>
      <c r="M27" s="12">
        <f t="shared" si="2"/>
        <v>20.759999999999998</v>
      </c>
      <c r="N27" s="11">
        <v>2.2799999999999998</v>
      </c>
    </row>
    <row r="28" spans="1:14" ht="30" customHeight="1" x14ac:dyDescent="0.2">
      <c r="A28" s="7">
        <v>27</v>
      </c>
      <c r="B28" s="7">
        <v>66</v>
      </c>
      <c r="C28" s="8" t="s">
        <v>40</v>
      </c>
      <c r="D28" s="9">
        <v>7</v>
      </c>
      <c r="E28" s="9">
        <v>9.7200000000000006</v>
      </c>
      <c r="F28" s="9">
        <v>7</v>
      </c>
      <c r="G28" s="10">
        <f t="shared" si="0"/>
        <v>11.120000000000001</v>
      </c>
      <c r="H28" s="11">
        <v>3.82</v>
      </c>
      <c r="I28" s="9">
        <v>7</v>
      </c>
      <c r="J28" s="9">
        <v>7.94</v>
      </c>
      <c r="K28" s="9">
        <v>7</v>
      </c>
      <c r="L28" s="10">
        <f t="shared" si="1"/>
        <v>9.34</v>
      </c>
      <c r="M28" s="12">
        <f t="shared" si="2"/>
        <v>20.46</v>
      </c>
      <c r="N28" s="11">
        <v>1.78</v>
      </c>
    </row>
    <row r="29" spans="1:14" ht="30" customHeight="1" x14ac:dyDescent="0.2">
      <c r="A29" s="7">
        <v>28</v>
      </c>
      <c r="B29" s="7">
        <v>53</v>
      </c>
      <c r="C29" s="8" t="s">
        <v>54</v>
      </c>
      <c r="D29" s="9">
        <v>7</v>
      </c>
      <c r="E29" s="9">
        <v>9.76</v>
      </c>
      <c r="F29" s="9">
        <v>7</v>
      </c>
      <c r="G29" s="10">
        <f t="shared" si="0"/>
        <v>11.16</v>
      </c>
      <c r="H29" s="11">
        <v>3.4</v>
      </c>
      <c r="I29" s="9">
        <v>7</v>
      </c>
      <c r="J29" s="9">
        <v>7.9</v>
      </c>
      <c r="K29" s="9">
        <v>7</v>
      </c>
      <c r="L29" s="10">
        <f t="shared" si="1"/>
        <v>9.3000000000000007</v>
      </c>
      <c r="M29" s="12">
        <f t="shared" si="2"/>
        <v>20.46</v>
      </c>
      <c r="N29" s="11">
        <v>2.08</v>
      </c>
    </row>
    <row r="30" spans="1:14" ht="30" customHeight="1" x14ac:dyDescent="0.2">
      <c r="A30" s="7">
        <v>29</v>
      </c>
      <c r="B30" s="7">
        <v>24</v>
      </c>
      <c r="C30" s="8" t="s">
        <v>33</v>
      </c>
      <c r="D30" s="9">
        <v>7</v>
      </c>
      <c r="E30" s="9">
        <v>8.58</v>
      </c>
      <c r="F30" s="9">
        <v>7</v>
      </c>
      <c r="G30" s="10">
        <f t="shared" si="0"/>
        <v>9.98</v>
      </c>
      <c r="H30" s="11"/>
      <c r="I30" s="9">
        <v>7</v>
      </c>
      <c r="J30" s="9">
        <v>9.06</v>
      </c>
      <c r="K30" s="9">
        <v>7</v>
      </c>
      <c r="L30" s="10">
        <f t="shared" si="1"/>
        <v>10.46</v>
      </c>
      <c r="M30" s="12">
        <f t="shared" si="2"/>
        <v>20.440000000000001</v>
      </c>
      <c r="N30" s="11">
        <v>2.38</v>
      </c>
    </row>
    <row r="31" spans="1:14" ht="30" customHeight="1" x14ac:dyDescent="0.2">
      <c r="A31" s="7">
        <v>30</v>
      </c>
      <c r="B31" s="7">
        <v>49</v>
      </c>
      <c r="C31" s="8" t="s">
        <v>34</v>
      </c>
      <c r="D31" s="9">
        <v>7</v>
      </c>
      <c r="E31" s="9">
        <v>8.3800000000000008</v>
      </c>
      <c r="F31" s="9">
        <v>7</v>
      </c>
      <c r="G31" s="10">
        <f t="shared" si="0"/>
        <v>9.7800000000000011</v>
      </c>
      <c r="H31" s="11"/>
      <c r="I31" s="9">
        <v>7</v>
      </c>
      <c r="J31" s="9">
        <v>9.24</v>
      </c>
      <c r="K31" s="9">
        <v>7</v>
      </c>
      <c r="L31" s="10">
        <f t="shared" si="1"/>
        <v>10.64</v>
      </c>
      <c r="M31" s="12">
        <f t="shared" si="2"/>
        <v>20.420000000000002</v>
      </c>
      <c r="N31" s="11">
        <v>2.38</v>
      </c>
    </row>
    <row r="32" spans="1:14" ht="30" customHeight="1" x14ac:dyDescent="0.2">
      <c r="A32" s="7">
        <v>31</v>
      </c>
      <c r="B32" s="7">
        <v>38</v>
      </c>
      <c r="C32" s="8" t="s">
        <v>31</v>
      </c>
      <c r="D32" s="9">
        <v>7</v>
      </c>
      <c r="E32" s="9">
        <v>8.36</v>
      </c>
      <c r="F32" s="9">
        <v>7</v>
      </c>
      <c r="G32" s="10">
        <f t="shared" si="0"/>
        <v>9.76</v>
      </c>
      <c r="H32" s="11">
        <v>1.94</v>
      </c>
      <c r="I32" s="9">
        <v>7</v>
      </c>
      <c r="J32" s="9">
        <v>9.1999999999999993</v>
      </c>
      <c r="K32" s="9">
        <v>7</v>
      </c>
      <c r="L32" s="10">
        <f t="shared" si="1"/>
        <v>10.6</v>
      </c>
      <c r="M32" s="12">
        <f t="shared" si="2"/>
        <v>20.36</v>
      </c>
      <c r="N32" s="11">
        <v>2.4</v>
      </c>
    </row>
    <row r="33" spans="1:14" ht="30" customHeight="1" x14ac:dyDescent="0.2">
      <c r="A33" s="7">
        <v>32</v>
      </c>
      <c r="B33" s="7">
        <v>26</v>
      </c>
      <c r="C33" s="8" t="s">
        <v>100</v>
      </c>
      <c r="D33" s="9">
        <v>7</v>
      </c>
      <c r="E33" s="9">
        <v>9.94</v>
      </c>
      <c r="F33" s="9">
        <v>7</v>
      </c>
      <c r="G33" s="10">
        <f t="shared" si="0"/>
        <v>11.34</v>
      </c>
      <c r="H33" s="11">
        <v>2.84</v>
      </c>
      <c r="I33" s="9">
        <v>6</v>
      </c>
      <c r="J33" s="9">
        <v>7.76</v>
      </c>
      <c r="K33" s="9">
        <v>6</v>
      </c>
      <c r="L33" s="10">
        <f t="shared" si="1"/>
        <v>8.9600000000000009</v>
      </c>
      <c r="M33" s="12">
        <f t="shared" si="2"/>
        <v>20.3</v>
      </c>
      <c r="N33" s="11">
        <v>2.94</v>
      </c>
    </row>
    <row r="34" spans="1:14" ht="30" customHeight="1" x14ac:dyDescent="0.2">
      <c r="A34" s="7">
        <v>33</v>
      </c>
      <c r="B34" s="7">
        <v>15</v>
      </c>
      <c r="C34" s="8" t="s">
        <v>66</v>
      </c>
      <c r="D34" s="9">
        <v>7</v>
      </c>
      <c r="E34" s="9">
        <v>9.0399999999999991</v>
      </c>
      <c r="F34" s="9">
        <v>7</v>
      </c>
      <c r="G34" s="10">
        <f t="shared" ref="G34:G65" si="3">E34+F34*0.2</f>
        <v>10.44</v>
      </c>
      <c r="H34" s="11">
        <v>2.56</v>
      </c>
      <c r="I34" s="9">
        <v>7</v>
      </c>
      <c r="J34" s="9">
        <v>8.42</v>
      </c>
      <c r="K34" s="9">
        <v>7</v>
      </c>
      <c r="L34" s="10">
        <f t="shared" ref="L34:L65" si="4">J34+K34*0.2</f>
        <v>9.82</v>
      </c>
      <c r="M34" s="12">
        <f t="shared" ref="M34:M65" si="5">L34+G34</f>
        <v>20.259999999999998</v>
      </c>
      <c r="N34" s="11">
        <v>2.48</v>
      </c>
    </row>
    <row r="35" spans="1:14" ht="30" customHeight="1" x14ac:dyDescent="0.2">
      <c r="A35" s="7">
        <v>34</v>
      </c>
      <c r="B35" s="7">
        <v>25</v>
      </c>
      <c r="C35" s="8" t="s">
        <v>47</v>
      </c>
      <c r="D35" s="9">
        <v>7</v>
      </c>
      <c r="E35" s="9">
        <v>8.7200000000000006</v>
      </c>
      <c r="F35" s="9">
        <v>7</v>
      </c>
      <c r="G35" s="10">
        <f t="shared" si="3"/>
        <v>10.120000000000001</v>
      </c>
      <c r="H35" s="11">
        <v>2.12</v>
      </c>
      <c r="I35" s="9">
        <v>7</v>
      </c>
      <c r="J35" s="9">
        <v>8.6</v>
      </c>
      <c r="K35" s="9">
        <v>7</v>
      </c>
      <c r="L35" s="10">
        <f t="shared" si="4"/>
        <v>10</v>
      </c>
      <c r="M35" s="12">
        <f t="shared" si="5"/>
        <v>20.12</v>
      </c>
      <c r="N35" s="11">
        <v>2.06</v>
      </c>
    </row>
    <row r="36" spans="1:14" ht="30" customHeight="1" x14ac:dyDescent="0.2">
      <c r="A36" s="7">
        <v>35</v>
      </c>
      <c r="B36" s="7">
        <v>65</v>
      </c>
      <c r="C36" s="8" t="s">
        <v>116</v>
      </c>
      <c r="D36" s="9">
        <v>7</v>
      </c>
      <c r="E36" s="9">
        <v>8.58</v>
      </c>
      <c r="F36" s="9">
        <v>7</v>
      </c>
      <c r="G36" s="10">
        <f t="shared" si="3"/>
        <v>9.98</v>
      </c>
      <c r="H36" s="11">
        <v>2.5</v>
      </c>
      <c r="I36" s="9">
        <v>7</v>
      </c>
      <c r="J36" s="9">
        <v>8.6199999999999992</v>
      </c>
      <c r="K36" s="9">
        <v>7</v>
      </c>
      <c r="L36" s="10">
        <f t="shared" si="4"/>
        <v>10.02</v>
      </c>
      <c r="M36" s="12">
        <f t="shared" si="5"/>
        <v>20</v>
      </c>
      <c r="N36" s="11">
        <v>2.84</v>
      </c>
    </row>
    <row r="37" spans="1:14" ht="30" customHeight="1" x14ac:dyDescent="0.2">
      <c r="A37" s="7">
        <v>36</v>
      </c>
      <c r="B37" s="7">
        <v>44</v>
      </c>
      <c r="C37" s="8" t="s">
        <v>111</v>
      </c>
      <c r="D37" s="9">
        <v>7</v>
      </c>
      <c r="E37" s="9">
        <v>8.68</v>
      </c>
      <c r="F37" s="9">
        <v>7</v>
      </c>
      <c r="G37" s="10">
        <f t="shared" si="3"/>
        <v>10.08</v>
      </c>
      <c r="H37" s="11"/>
      <c r="I37" s="9">
        <v>7</v>
      </c>
      <c r="J37" s="9">
        <v>8.42</v>
      </c>
      <c r="K37" s="9">
        <v>7</v>
      </c>
      <c r="L37" s="10">
        <f t="shared" si="4"/>
        <v>9.82</v>
      </c>
      <c r="M37" s="12">
        <f t="shared" si="5"/>
        <v>19.899999999999999</v>
      </c>
      <c r="N37" s="11"/>
    </row>
    <row r="38" spans="1:14" ht="30" customHeight="1" x14ac:dyDescent="0.2">
      <c r="A38" s="7">
        <v>37</v>
      </c>
      <c r="B38" s="7">
        <v>35</v>
      </c>
      <c r="C38" s="8" t="s">
        <v>101</v>
      </c>
      <c r="D38" s="9">
        <v>6</v>
      </c>
      <c r="E38" s="9">
        <v>7.72</v>
      </c>
      <c r="F38" s="9">
        <v>6</v>
      </c>
      <c r="G38" s="10">
        <f t="shared" si="3"/>
        <v>8.92</v>
      </c>
      <c r="H38" s="11">
        <v>2.2799999999999998</v>
      </c>
      <c r="I38" s="9">
        <v>7</v>
      </c>
      <c r="J38" s="9">
        <v>9.48</v>
      </c>
      <c r="K38" s="9">
        <v>7</v>
      </c>
      <c r="L38" s="10">
        <f t="shared" si="4"/>
        <v>10.88</v>
      </c>
      <c r="M38" s="12">
        <f t="shared" si="5"/>
        <v>19.8</v>
      </c>
      <c r="N38" s="11"/>
    </row>
    <row r="39" spans="1:14" ht="30" customHeight="1" x14ac:dyDescent="0.2">
      <c r="A39" s="7">
        <v>38</v>
      </c>
      <c r="B39" s="7">
        <v>40</v>
      </c>
      <c r="C39" s="8" t="s">
        <v>35</v>
      </c>
      <c r="D39" s="9">
        <v>7</v>
      </c>
      <c r="E39" s="9">
        <v>8.1199999999999992</v>
      </c>
      <c r="F39" s="9">
        <v>7</v>
      </c>
      <c r="G39" s="10">
        <f t="shared" si="3"/>
        <v>9.52</v>
      </c>
      <c r="H39" s="11"/>
      <c r="I39" s="9">
        <v>7</v>
      </c>
      <c r="J39" s="9">
        <v>8.76</v>
      </c>
      <c r="K39" s="9">
        <v>7</v>
      </c>
      <c r="L39" s="10">
        <f t="shared" si="4"/>
        <v>10.16</v>
      </c>
      <c r="M39" s="12">
        <f t="shared" si="5"/>
        <v>19.68</v>
      </c>
      <c r="N39" s="11">
        <v>2.54</v>
      </c>
    </row>
    <row r="40" spans="1:14" ht="30" customHeight="1" x14ac:dyDescent="0.2">
      <c r="A40" s="7">
        <v>39</v>
      </c>
      <c r="B40" s="7">
        <v>57</v>
      </c>
      <c r="C40" s="8" t="s">
        <v>56</v>
      </c>
      <c r="D40" s="9">
        <v>7</v>
      </c>
      <c r="E40" s="9">
        <v>8.5</v>
      </c>
      <c r="F40" s="9">
        <v>7</v>
      </c>
      <c r="G40" s="10">
        <f t="shared" si="3"/>
        <v>9.9</v>
      </c>
      <c r="H40" s="11"/>
      <c r="I40" s="9">
        <v>7</v>
      </c>
      <c r="J40" s="9">
        <v>8.18</v>
      </c>
      <c r="K40" s="9">
        <v>7</v>
      </c>
      <c r="L40" s="10">
        <f t="shared" si="4"/>
        <v>9.58</v>
      </c>
      <c r="M40" s="12">
        <f t="shared" si="5"/>
        <v>19.48</v>
      </c>
      <c r="N40" s="11">
        <v>2.14</v>
      </c>
    </row>
    <row r="41" spans="1:14" ht="30" customHeight="1" x14ac:dyDescent="0.2">
      <c r="A41" s="7">
        <v>40</v>
      </c>
      <c r="B41" s="7">
        <v>20</v>
      </c>
      <c r="C41" s="8" t="s">
        <v>99</v>
      </c>
      <c r="D41" s="9">
        <v>7</v>
      </c>
      <c r="E41" s="9">
        <v>8.68</v>
      </c>
      <c r="F41" s="9">
        <v>7</v>
      </c>
      <c r="G41" s="10">
        <f t="shared" si="3"/>
        <v>10.08</v>
      </c>
      <c r="H41" s="11"/>
      <c r="I41" s="9">
        <v>7</v>
      </c>
      <c r="J41" s="9">
        <v>7.54</v>
      </c>
      <c r="K41" s="9">
        <v>7</v>
      </c>
      <c r="L41" s="10">
        <f t="shared" si="4"/>
        <v>8.94</v>
      </c>
      <c r="M41" s="12">
        <f t="shared" si="5"/>
        <v>19.02</v>
      </c>
      <c r="N41" s="11">
        <v>2.1</v>
      </c>
    </row>
    <row r="42" spans="1:14" ht="30" customHeight="1" x14ac:dyDescent="0.2">
      <c r="A42" s="7">
        <v>41</v>
      </c>
      <c r="B42" s="7">
        <v>58</v>
      </c>
      <c r="C42" s="8" t="s">
        <v>112</v>
      </c>
      <c r="D42" s="9">
        <v>7</v>
      </c>
      <c r="E42" s="9">
        <v>7.64</v>
      </c>
      <c r="F42" s="9">
        <v>7</v>
      </c>
      <c r="G42" s="10">
        <f t="shared" si="3"/>
        <v>9.0399999999999991</v>
      </c>
      <c r="H42" s="11"/>
      <c r="I42" s="9">
        <v>7</v>
      </c>
      <c r="J42" s="9">
        <v>8.24</v>
      </c>
      <c r="K42" s="9">
        <v>7</v>
      </c>
      <c r="L42" s="10">
        <f t="shared" si="4"/>
        <v>9.64</v>
      </c>
      <c r="M42" s="12">
        <f t="shared" si="5"/>
        <v>18.68</v>
      </c>
      <c r="N42" s="11">
        <v>2.52</v>
      </c>
    </row>
    <row r="43" spans="1:14" ht="30" customHeight="1" x14ac:dyDescent="0.2">
      <c r="A43" s="7">
        <v>42</v>
      </c>
      <c r="B43" s="7">
        <v>51</v>
      </c>
      <c r="C43" s="8" t="s">
        <v>46</v>
      </c>
      <c r="D43" s="9">
        <v>7</v>
      </c>
      <c r="E43" s="9">
        <v>7.82</v>
      </c>
      <c r="F43" s="9">
        <v>7</v>
      </c>
      <c r="G43" s="10">
        <f t="shared" si="3"/>
        <v>9.2200000000000006</v>
      </c>
      <c r="H43" s="11"/>
      <c r="I43" s="9">
        <v>7</v>
      </c>
      <c r="J43" s="9">
        <v>8.06</v>
      </c>
      <c r="K43" s="9">
        <v>7</v>
      </c>
      <c r="L43" s="10">
        <f t="shared" si="4"/>
        <v>9.4600000000000009</v>
      </c>
      <c r="M43" s="12">
        <f t="shared" si="5"/>
        <v>18.68</v>
      </c>
      <c r="N43" s="11">
        <v>2.2999999999999998</v>
      </c>
    </row>
    <row r="44" spans="1:14" ht="30" customHeight="1" x14ac:dyDescent="0.2">
      <c r="A44" s="7">
        <v>43</v>
      </c>
      <c r="B44" s="7">
        <v>30</v>
      </c>
      <c r="C44" s="8" t="s">
        <v>32</v>
      </c>
      <c r="D44" s="9">
        <v>3</v>
      </c>
      <c r="E44" s="9">
        <v>6.22</v>
      </c>
      <c r="F44" s="9">
        <v>3</v>
      </c>
      <c r="G44" s="10">
        <f t="shared" si="3"/>
        <v>6.82</v>
      </c>
      <c r="H44" s="11">
        <v>2.56</v>
      </c>
      <c r="I44" s="9">
        <v>7</v>
      </c>
      <c r="J44" s="9">
        <v>10.24</v>
      </c>
      <c r="K44" s="9">
        <v>7</v>
      </c>
      <c r="L44" s="10">
        <f t="shared" si="4"/>
        <v>11.64</v>
      </c>
      <c r="M44" s="12">
        <f t="shared" si="5"/>
        <v>18.46</v>
      </c>
      <c r="N44" s="11">
        <v>4.12</v>
      </c>
    </row>
    <row r="45" spans="1:14" ht="30" customHeight="1" x14ac:dyDescent="0.2">
      <c r="A45" s="7">
        <v>44</v>
      </c>
      <c r="B45" s="7">
        <v>64</v>
      </c>
      <c r="C45" s="8" t="s">
        <v>115</v>
      </c>
      <c r="D45" s="9">
        <v>4</v>
      </c>
      <c r="E45" s="9">
        <v>7.42</v>
      </c>
      <c r="F45" s="9">
        <v>4</v>
      </c>
      <c r="G45" s="10">
        <f t="shared" si="3"/>
        <v>8.2200000000000006</v>
      </c>
      <c r="H45" s="11">
        <v>3.04</v>
      </c>
      <c r="I45" s="9">
        <v>7</v>
      </c>
      <c r="J45" s="9">
        <v>8.84</v>
      </c>
      <c r="K45" s="9">
        <v>7</v>
      </c>
      <c r="L45" s="10">
        <f t="shared" si="4"/>
        <v>10.24</v>
      </c>
      <c r="M45" s="12">
        <f t="shared" si="5"/>
        <v>18.46</v>
      </c>
      <c r="N45" s="11">
        <v>2.64</v>
      </c>
    </row>
    <row r="46" spans="1:14" ht="30" customHeight="1" x14ac:dyDescent="0.2">
      <c r="A46" s="7">
        <v>45</v>
      </c>
      <c r="B46" s="7">
        <v>16</v>
      </c>
      <c r="C46" s="8" t="s">
        <v>63</v>
      </c>
      <c r="D46" s="9">
        <v>7</v>
      </c>
      <c r="E46" s="9">
        <v>7.38</v>
      </c>
      <c r="F46" s="9">
        <v>7</v>
      </c>
      <c r="G46" s="10">
        <f t="shared" si="3"/>
        <v>8.7799999999999994</v>
      </c>
      <c r="H46" s="11"/>
      <c r="I46" s="9">
        <v>7</v>
      </c>
      <c r="J46" s="9">
        <v>8.2799999999999994</v>
      </c>
      <c r="K46" s="9">
        <v>7</v>
      </c>
      <c r="L46" s="10">
        <f t="shared" si="4"/>
        <v>9.68</v>
      </c>
      <c r="M46" s="12">
        <f t="shared" si="5"/>
        <v>18.46</v>
      </c>
      <c r="N46" s="11">
        <v>1.98</v>
      </c>
    </row>
    <row r="47" spans="1:14" ht="30" customHeight="1" x14ac:dyDescent="0.2">
      <c r="A47" s="7">
        <v>46</v>
      </c>
      <c r="B47" s="7">
        <v>31</v>
      </c>
      <c r="C47" s="8" t="s">
        <v>108</v>
      </c>
      <c r="D47" s="9">
        <v>6</v>
      </c>
      <c r="E47" s="9">
        <v>6.48</v>
      </c>
      <c r="F47" s="9">
        <v>6</v>
      </c>
      <c r="G47" s="10">
        <f t="shared" si="3"/>
        <v>7.6800000000000006</v>
      </c>
      <c r="H47" s="11"/>
      <c r="I47" s="9">
        <v>7</v>
      </c>
      <c r="J47" s="9">
        <v>9.26</v>
      </c>
      <c r="K47" s="9">
        <v>7</v>
      </c>
      <c r="L47" s="10">
        <f t="shared" si="4"/>
        <v>10.66</v>
      </c>
      <c r="M47" s="12">
        <f t="shared" si="5"/>
        <v>18.34</v>
      </c>
      <c r="N47" s="11">
        <v>2.14</v>
      </c>
    </row>
    <row r="48" spans="1:14" ht="30" customHeight="1" x14ac:dyDescent="0.2">
      <c r="A48" s="7">
        <v>47</v>
      </c>
      <c r="B48" s="7">
        <v>22</v>
      </c>
      <c r="C48" s="8" t="s">
        <v>49</v>
      </c>
      <c r="D48" s="9">
        <v>7</v>
      </c>
      <c r="E48" s="9">
        <v>7.68</v>
      </c>
      <c r="F48" s="9">
        <v>7</v>
      </c>
      <c r="G48" s="10">
        <f t="shared" si="3"/>
        <v>9.08</v>
      </c>
      <c r="H48" s="11"/>
      <c r="I48" s="9">
        <v>7</v>
      </c>
      <c r="J48" s="9">
        <v>7.86</v>
      </c>
      <c r="K48" s="9">
        <v>7</v>
      </c>
      <c r="L48" s="10">
        <f t="shared" si="4"/>
        <v>9.26</v>
      </c>
      <c r="M48" s="12">
        <f t="shared" si="5"/>
        <v>18.34</v>
      </c>
      <c r="N48" s="11">
        <v>2.04</v>
      </c>
    </row>
    <row r="49" spans="1:14" ht="30" customHeight="1" x14ac:dyDescent="0.2">
      <c r="A49" s="7">
        <v>48</v>
      </c>
      <c r="B49" s="7">
        <v>10</v>
      </c>
      <c r="C49" s="8" t="s">
        <v>96</v>
      </c>
      <c r="D49" s="9">
        <v>7</v>
      </c>
      <c r="E49" s="9">
        <v>7.98</v>
      </c>
      <c r="F49" s="9">
        <v>7</v>
      </c>
      <c r="G49" s="10">
        <f t="shared" si="3"/>
        <v>9.3800000000000008</v>
      </c>
      <c r="H49" s="11"/>
      <c r="I49" s="9">
        <v>6</v>
      </c>
      <c r="J49" s="9">
        <v>7.64</v>
      </c>
      <c r="K49" s="9">
        <v>6</v>
      </c>
      <c r="L49" s="10">
        <f t="shared" si="4"/>
        <v>8.84</v>
      </c>
      <c r="M49" s="12">
        <f t="shared" si="5"/>
        <v>18.22</v>
      </c>
      <c r="N49" s="11">
        <v>2.08</v>
      </c>
    </row>
    <row r="50" spans="1:14" ht="30" customHeight="1" x14ac:dyDescent="0.2">
      <c r="A50" s="7">
        <v>49</v>
      </c>
      <c r="B50" s="7">
        <v>19</v>
      </c>
      <c r="C50" s="8" t="s">
        <v>53</v>
      </c>
      <c r="D50" s="9">
        <v>7</v>
      </c>
      <c r="E50" s="9">
        <v>6.88</v>
      </c>
      <c r="F50" s="9">
        <v>7</v>
      </c>
      <c r="G50" s="10">
        <f t="shared" si="3"/>
        <v>8.2799999999999994</v>
      </c>
      <c r="H50" s="11">
        <v>2.52</v>
      </c>
      <c r="I50" s="9">
        <v>7</v>
      </c>
      <c r="J50" s="9">
        <v>8.48</v>
      </c>
      <c r="K50" s="9">
        <v>7</v>
      </c>
      <c r="L50" s="10">
        <f t="shared" si="4"/>
        <v>9.8800000000000008</v>
      </c>
      <c r="M50" s="12">
        <f t="shared" si="5"/>
        <v>18.16</v>
      </c>
      <c r="N50" s="11">
        <v>2.2000000000000002</v>
      </c>
    </row>
    <row r="51" spans="1:14" ht="30" customHeight="1" x14ac:dyDescent="0.2">
      <c r="A51" s="7">
        <v>50</v>
      </c>
      <c r="B51" s="7">
        <v>37</v>
      </c>
      <c r="C51" s="8" t="s">
        <v>102</v>
      </c>
      <c r="D51" s="9">
        <v>7</v>
      </c>
      <c r="E51" s="9">
        <v>9.24</v>
      </c>
      <c r="F51" s="9">
        <v>7</v>
      </c>
      <c r="G51" s="10">
        <f t="shared" si="3"/>
        <v>10.64</v>
      </c>
      <c r="H51" s="11"/>
      <c r="I51" s="9">
        <v>6</v>
      </c>
      <c r="J51" s="9">
        <v>6.12</v>
      </c>
      <c r="K51" s="9">
        <v>6</v>
      </c>
      <c r="L51" s="10">
        <f t="shared" si="4"/>
        <v>7.32</v>
      </c>
      <c r="M51" s="12">
        <f t="shared" si="5"/>
        <v>17.96</v>
      </c>
      <c r="N51" s="11">
        <v>2.64</v>
      </c>
    </row>
    <row r="52" spans="1:14" ht="30" customHeight="1" x14ac:dyDescent="0.2">
      <c r="A52" s="7">
        <v>51</v>
      </c>
      <c r="B52" s="7">
        <v>36</v>
      </c>
      <c r="C52" s="8" t="s">
        <v>120</v>
      </c>
      <c r="D52" s="9">
        <v>5</v>
      </c>
      <c r="E52" s="9">
        <v>6.18</v>
      </c>
      <c r="F52" s="9">
        <v>5</v>
      </c>
      <c r="G52" s="10">
        <f t="shared" si="3"/>
        <v>7.18</v>
      </c>
      <c r="H52" s="11">
        <v>3.08</v>
      </c>
      <c r="I52" s="9">
        <v>7</v>
      </c>
      <c r="J52" s="9">
        <v>9.0399999999999991</v>
      </c>
      <c r="K52" s="9">
        <v>7</v>
      </c>
      <c r="L52" s="10">
        <f t="shared" si="4"/>
        <v>10.44</v>
      </c>
      <c r="M52" s="12">
        <f t="shared" si="5"/>
        <v>17.619999999999997</v>
      </c>
      <c r="N52" s="11">
        <v>2.44</v>
      </c>
    </row>
    <row r="53" spans="1:14" ht="30" customHeight="1" x14ac:dyDescent="0.2">
      <c r="A53" s="7">
        <v>52</v>
      </c>
      <c r="B53" s="7">
        <v>7</v>
      </c>
      <c r="C53" s="8" t="s">
        <v>105</v>
      </c>
      <c r="D53" s="9">
        <v>7</v>
      </c>
      <c r="E53" s="9">
        <v>7.38</v>
      </c>
      <c r="F53" s="9">
        <v>7</v>
      </c>
      <c r="G53" s="10">
        <f t="shared" si="3"/>
        <v>8.7799999999999994</v>
      </c>
      <c r="H53" s="11"/>
      <c r="I53" s="9">
        <v>7</v>
      </c>
      <c r="J53" s="9">
        <v>7.42</v>
      </c>
      <c r="K53" s="9">
        <v>7</v>
      </c>
      <c r="L53" s="10">
        <f t="shared" si="4"/>
        <v>8.82</v>
      </c>
      <c r="M53" s="12">
        <f t="shared" si="5"/>
        <v>17.600000000000001</v>
      </c>
      <c r="N53" s="11">
        <v>3.38</v>
      </c>
    </row>
    <row r="54" spans="1:14" ht="30" customHeight="1" x14ac:dyDescent="0.2">
      <c r="A54" s="7">
        <v>53</v>
      </c>
      <c r="B54" s="7">
        <v>42</v>
      </c>
      <c r="C54" s="8" t="s">
        <v>44</v>
      </c>
      <c r="D54" s="9">
        <v>7</v>
      </c>
      <c r="E54" s="9">
        <v>6.28</v>
      </c>
      <c r="F54" s="9">
        <v>7</v>
      </c>
      <c r="G54" s="10">
        <f t="shared" si="3"/>
        <v>7.6800000000000006</v>
      </c>
      <c r="H54" s="11"/>
      <c r="I54" s="9">
        <v>7</v>
      </c>
      <c r="J54" s="9">
        <v>8.26</v>
      </c>
      <c r="K54" s="9">
        <v>7</v>
      </c>
      <c r="L54" s="10">
        <f t="shared" si="4"/>
        <v>9.66</v>
      </c>
      <c r="M54" s="12">
        <f t="shared" si="5"/>
        <v>17.34</v>
      </c>
      <c r="N54" s="11"/>
    </row>
    <row r="55" spans="1:14" ht="30" customHeight="1" x14ac:dyDescent="0.2">
      <c r="A55" s="7">
        <v>54</v>
      </c>
      <c r="B55" s="7">
        <v>17</v>
      </c>
      <c r="C55" s="8" t="s">
        <v>107</v>
      </c>
      <c r="D55" s="9">
        <v>7</v>
      </c>
      <c r="E55" s="9">
        <v>7.18</v>
      </c>
      <c r="F55" s="9">
        <v>7</v>
      </c>
      <c r="G55" s="10">
        <f t="shared" si="3"/>
        <v>8.58</v>
      </c>
      <c r="H55" s="11"/>
      <c r="I55" s="9">
        <v>7</v>
      </c>
      <c r="J55" s="9">
        <v>7.24</v>
      </c>
      <c r="K55" s="9">
        <v>7</v>
      </c>
      <c r="L55" s="10">
        <f t="shared" si="4"/>
        <v>8.64</v>
      </c>
      <c r="M55" s="12">
        <f t="shared" si="5"/>
        <v>17.22</v>
      </c>
      <c r="N55" s="11">
        <v>1.96</v>
      </c>
    </row>
    <row r="56" spans="1:14" ht="30" customHeight="1" x14ac:dyDescent="0.2">
      <c r="A56" s="7">
        <v>55</v>
      </c>
      <c r="B56" s="7">
        <v>62</v>
      </c>
      <c r="C56" s="8" t="s">
        <v>114</v>
      </c>
      <c r="D56" s="9">
        <v>7</v>
      </c>
      <c r="E56" s="9">
        <v>7.54</v>
      </c>
      <c r="F56" s="9">
        <v>0</v>
      </c>
      <c r="G56" s="10">
        <f t="shared" si="3"/>
        <v>7.54</v>
      </c>
      <c r="H56" s="11">
        <v>2.68</v>
      </c>
      <c r="I56" s="9">
        <v>7</v>
      </c>
      <c r="J56" s="9">
        <v>8.06</v>
      </c>
      <c r="K56" s="9"/>
      <c r="L56" s="10">
        <f t="shared" si="4"/>
        <v>8.06</v>
      </c>
      <c r="M56" s="12">
        <f t="shared" si="5"/>
        <v>15.600000000000001</v>
      </c>
      <c r="N56" s="11">
        <v>2.1</v>
      </c>
    </row>
    <row r="57" spans="1:14" ht="30" customHeight="1" x14ac:dyDescent="0.2">
      <c r="A57" s="7">
        <v>56</v>
      </c>
      <c r="B57" s="7">
        <v>59</v>
      </c>
      <c r="C57" s="8" t="s">
        <v>72</v>
      </c>
      <c r="D57" s="9">
        <v>7</v>
      </c>
      <c r="E57" s="9">
        <v>8.18</v>
      </c>
      <c r="F57" s="9">
        <v>7</v>
      </c>
      <c r="G57" s="10">
        <f t="shared" si="3"/>
        <v>9.58</v>
      </c>
      <c r="H57" s="11"/>
      <c r="I57" s="9">
        <v>5</v>
      </c>
      <c r="J57" s="9">
        <v>4.8600000000000003</v>
      </c>
      <c r="K57" s="9">
        <v>5</v>
      </c>
      <c r="L57" s="10">
        <f t="shared" si="4"/>
        <v>5.86</v>
      </c>
      <c r="M57" s="12">
        <f t="shared" si="5"/>
        <v>15.440000000000001</v>
      </c>
      <c r="N57" s="11"/>
    </row>
    <row r="58" spans="1:14" ht="30" customHeight="1" x14ac:dyDescent="0.2">
      <c r="A58" s="7">
        <v>57</v>
      </c>
      <c r="B58" s="7">
        <v>55</v>
      </c>
      <c r="C58" s="8" t="s">
        <v>48</v>
      </c>
      <c r="D58" s="9">
        <v>7</v>
      </c>
      <c r="E58" s="9">
        <v>5.12</v>
      </c>
      <c r="F58" s="9">
        <v>6</v>
      </c>
      <c r="G58" s="10">
        <f t="shared" si="3"/>
        <v>6.32</v>
      </c>
      <c r="H58" s="11"/>
      <c r="I58" s="9">
        <v>7</v>
      </c>
      <c r="J58" s="9">
        <v>8.44</v>
      </c>
      <c r="K58" s="9"/>
      <c r="L58" s="10">
        <f t="shared" si="4"/>
        <v>8.44</v>
      </c>
      <c r="M58" s="12">
        <f t="shared" si="5"/>
        <v>14.76</v>
      </c>
      <c r="N58" s="11"/>
    </row>
    <row r="59" spans="1:14" ht="30" customHeight="1" x14ac:dyDescent="0.2">
      <c r="A59" s="7">
        <v>58</v>
      </c>
      <c r="B59" s="7">
        <v>12</v>
      </c>
      <c r="C59" s="8" t="s">
        <v>62</v>
      </c>
      <c r="D59" s="9">
        <v>6</v>
      </c>
      <c r="E59" s="9">
        <v>4.58</v>
      </c>
      <c r="F59" s="9">
        <v>6</v>
      </c>
      <c r="G59" s="10">
        <f t="shared" si="3"/>
        <v>5.78</v>
      </c>
      <c r="H59" s="11"/>
      <c r="I59" s="9">
        <v>7</v>
      </c>
      <c r="J59" s="9">
        <v>7.52</v>
      </c>
      <c r="K59" s="9">
        <v>7</v>
      </c>
      <c r="L59" s="10">
        <f t="shared" si="4"/>
        <v>8.92</v>
      </c>
      <c r="M59" s="12">
        <f t="shared" si="5"/>
        <v>14.7</v>
      </c>
      <c r="N59" s="11">
        <v>2.92</v>
      </c>
    </row>
    <row r="60" spans="1:14" ht="30" customHeight="1" x14ac:dyDescent="0.2">
      <c r="A60" s="7">
        <v>59</v>
      </c>
      <c r="B60" s="7">
        <v>14</v>
      </c>
      <c r="C60" s="8" t="s">
        <v>98</v>
      </c>
      <c r="D60" s="9">
        <v>7</v>
      </c>
      <c r="E60" s="9">
        <v>7.96</v>
      </c>
      <c r="F60" s="9"/>
      <c r="G60" s="10">
        <f t="shared" si="3"/>
        <v>7.96</v>
      </c>
      <c r="H60" s="11">
        <v>3.52</v>
      </c>
      <c r="I60" s="9">
        <v>6</v>
      </c>
      <c r="J60" s="9">
        <v>5.34</v>
      </c>
      <c r="K60" s="9"/>
      <c r="L60" s="10">
        <f t="shared" si="4"/>
        <v>5.34</v>
      </c>
      <c r="M60" s="12">
        <f t="shared" si="5"/>
        <v>13.3</v>
      </c>
      <c r="N60" s="11"/>
    </row>
    <row r="61" spans="1:14" ht="30" customHeight="1" x14ac:dyDescent="0.2">
      <c r="A61" s="7">
        <v>60</v>
      </c>
      <c r="B61" s="7">
        <v>4</v>
      </c>
      <c r="C61" s="8" t="s">
        <v>97</v>
      </c>
      <c r="D61" s="9">
        <v>5</v>
      </c>
      <c r="E61" s="9">
        <v>6.08</v>
      </c>
      <c r="F61" s="9">
        <v>5</v>
      </c>
      <c r="G61" s="10">
        <f t="shared" si="3"/>
        <v>7.08</v>
      </c>
      <c r="H61" s="11">
        <v>2.6</v>
      </c>
      <c r="I61" s="9">
        <v>7</v>
      </c>
      <c r="J61" s="9">
        <v>4.6399999999999997</v>
      </c>
      <c r="K61" s="9">
        <v>7</v>
      </c>
      <c r="L61" s="10">
        <f t="shared" si="4"/>
        <v>6.04</v>
      </c>
      <c r="M61" s="12">
        <f t="shared" si="5"/>
        <v>13.120000000000001</v>
      </c>
      <c r="N61" s="11"/>
    </row>
    <row r="62" spans="1:14" ht="30" customHeight="1" x14ac:dyDescent="0.2">
      <c r="A62" s="7">
        <v>61</v>
      </c>
      <c r="B62" s="7">
        <v>13</v>
      </c>
      <c r="C62" s="8" t="s">
        <v>110</v>
      </c>
      <c r="D62" s="9">
        <v>3</v>
      </c>
      <c r="E62" s="9">
        <v>5.96</v>
      </c>
      <c r="F62" s="9">
        <v>3</v>
      </c>
      <c r="G62" s="10">
        <f t="shared" si="3"/>
        <v>6.5600000000000005</v>
      </c>
      <c r="H62" s="11">
        <v>2.4</v>
      </c>
      <c r="I62" s="9">
        <v>4</v>
      </c>
      <c r="J62" s="9">
        <v>5.48</v>
      </c>
      <c r="K62" s="9">
        <v>4</v>
      </c>
      <c r="L62" s="10">
        <f t="shared" si="4"/>
        <v>6.28</v>
      </c>
      <c r="M62" s="12">
        <f t="shared" si="5"/>
        <v>12.84</v>
      </c>
      <c r="N62" s="11">
        <v>2.1</v>
      </c>
    </row>
    <row r="63" spans="1:14" ht="30" customHeight="1" x14ac:dyDescent="0.2">
      <c r="A63" s="7">
        <v>62</v>
      </c>
      <c r="B63" s="7">
        <v>61</v>
      </c>
      <c r="C63" s="8" t="s">
        <v>113</v>
      </c>
      <c r="D63" s="9">
        <v>7</v>
      </c>
      <c r="E63" s="9">
        <v>4.78</v>
      </c>
      <c r="F63" s="9">
        <v>7</v>
      </c>
      <c r="G63" s="10">
        <f t="shared" si="3"/>
        <v>6.1800000000000006</v>
      </c>
      <c r="H63" s="11"/>
      <c r="I63" s="9">
        <v>6</v>
      </c>
      <c r="J63" s="9">
        <v>4.82</v>
      </c>
      <c r="K63" s="9">
        <v>5</v>
      </c>
      <c r="L63" s="10">
        <f t="shared" si="4"/>
        <v>5.82</v>
      </c>
      <c r="M63" s="12">
        <f t="shared" si="5"/>
        <v>12</v>
      </c>
      <c r="N63" s="11"/>
    </row>
    <row r="64" spans="1:14" ht="30" customHeight="1" x14ac:dyDescent="0.2">
      <c r="A64" s="7">
        <v>63</v>
      </c>
      <c r="B64" s="7">
        <v>9</v>
      </c>
      <c r="C64" s="8" t="s">
        <v>41</v>
      </c>
      <c r="D64" s="9"/>
      <c r="E64" s="9"/>
      <c r="F64" s="9"/>
      <c r="G64" s="10">
        <f t="shared" si="3"/>
        <v>0</v>
      </c>
      <c r="H64" s="11"/>
      <c r="I64" s="9">
        <v>7</v>
      </c>
      <c r="J64" s="9">
        <v>5.92</v>
      </c>
      <c r="K64" s="9">
        <v>7</v>
      </c>
      <c r="L64" s="10">
        <f t="shared" si="4"/>
        <v>7.32</v>
      </c>
      <c r="M64" s="12">
        <f t="shared" si="5"/>
        <v>7.32</v>
      </c>
      <c r="N64" s="11"/>
    </row>
    <row r="65" spans="1:14" ht="30" customHeight="1" x14ac:dyDescent="0.2">
      <c r="A65" s="7">
        <v>64</v>
      </c>
      <c r="B65" s="7">
        <v>39</v>
      </c>
      <c r="C65" s="8" t="s">
        <v>69</v>
      </c>
      <c r="D65" s="9">
        <v>5</v>
      </c>
      <c r="E65" s="9">
        <v>3.78</v>
      </c>
      <c r="F65" s="9">
        <v>5</v>
      </c>
      <c r="G65" s="10">
        <f t="shared" si="3"/>
        <v>4.7799999999999994</v>
      </c>
      <c r="H65" s="11">
        <v>0.86</v>
      </c>
      <c r="I65" s="9">
        <v>1</v>
      </c>
      <c r="J65" s="9">
        <v>2.1</v>
      </c>
      <c r="K65" s="9">
        <v>1</v>
      </c>
      <c r="L65" s="10">
        <f t="shared" si="4"/>
        <v>2.3000000000000003</v>
      </c>
      <c r="M65" s="12">
        <f t="shared" si="5"/>
        <v>7.08</v>
      </c>
      <c r="N65" s="11"/>
    </row>
    <row r="66" spans="1:14" ht="30" customHeight="1" x14ac:dyDescent="0.2">
      <c r="A66" s="7">
        <v>65</v>
      </c>
      <c r="B66" s="7">
        <v>6</v>
      </c>
      <c r="C66" s="8" t="s">
        <v>52</v>
      </c>
      <c r="D66" s="9">
        <v>5</v>
      </c>
      <c r="E66" s="9">
        <v>5.44</v>
      </c>
      <c r="F66" s="9">
        <v>5</v>
      </c>
      <c r="G66" s="10">
        <f t="shared" ref="G66:G68" si="6">E66+F66*0.2</f>
        <v>6.44</v>
      </c>
      <c r="H66" s="11"/>
      <c r="I66" s="9"/>
      <c r="J66" s="9"/>
      <c r="K66" s="9"/>
      <c r="L66" s="10">
        <f t="shared" ref="L66:L68" si="7">J66+K66*0.2</f>
        <v>0</v>
      </c>
      <c r="M66" s="12">
        <f t="shared" ref="M66:M68" si="8">L66+G66</f>
        <v>6.44</v>
      </c>
      <c r="N66" s="11"/>
    </row>
    <row r="67" spans="1:14" ht="26.45" customHeight="1" x14ac:dyDescent="0.2">
      <c r="A67" s="7">
        <v>66</v>
      </c>
      <c r="B67" s="7">
        <v>56</v>
      </c>
      <c r="C67" s="8" t="s">
        <v>73</v>
      </c>
      <c r="G67" s="10">
        <f t="shared" si="6"/>
        <v>0</v>
      </c>
      <c r="H67" s="11"/>
      <c r="L67" s="10">
        <f t="shared" si="7"/>
        <v>0</v>
      </c>
      <c r="M67" s="12">
        <f t="shared" si="8"/>
        <v>0</v>
      </c>
      <c r="N67" s="11"/>
    </row>
    <row r="68" spans="1:14" ht="23.25" customHeight="1" x14ac:dyDescent="0.2">
      <c r="A68" s="7">
        <v>2</v>
      </c>
      <c r="B68" s="7"/>
      <c r="C68" s="8"/>
      <c r="D68" s="9"/>
      <c r="E68" s="9"/>
      <c r="F68" s="9"/>
      <c r="G68" s="10">
        <f t="shared" si="6"/>
        <v>0</v>
      </c>
      <c r="H68" s="13"/>
      <c r="I68" s="9"/>
      <c r="J68" s="9"/>
      <c r="K68" s="9"/>
      <c r="L68" s="10">
        <f t="shared" si="7"/>
        <v>0</v>
      </c>
      <c r="M68" s="12">
        <f t="shared" si="8"/>
        <v>0</v>
      </c>
      <c r="N68" s="11"/>
    </row>
    <row r="69" spans="1:14" ht="23.25" customHeight="1" x14ac:dyDescent="0.2">
      <c r="A69" s="7">
        <v>2</v>
      </c>
      <c r="C69" s="8"/>
    </row>
    <row r="70" spans="1:14" ht="23.25" customHeight="1" x14ac:dyDescent="0.2">
      <c r="C70" s="8"/>
    </row>
    <row r="71" spans="1:14" ht="23.25" customHeight="1" x14ac:dyDescent="0.2">
      <c r="C71" s="8"/>
    </row>
    <row r="72" spans="1:14" ht="23.25" customHeight="1" x14ac:dyDescent="0.2">
      <c r="C72" s="8"/>
    </row>
    <row r="73" spans="1:14" ht="23.25" customHeight="1" x14ac:dyDescent="0.2">
      <c r="C73" s="8"/>
    </row>
    <row r="74" spans="1:14" ht="23.25" customHeight="1" x14ac:dyDescent="0.2">
      <c r="C74" s="8"/>
    </row>
    <row r="75" spans="1:14" ht="23.25" customHeight="1" x14ac:dyDescent="0.2">
      <c r="C75" s="8"/>
    </row>
    <row r="76" spans="1:14" ht="23.25" customHeight="1" x14ac:dyDescent="0.2">
      <c r="C76" s="8"/>
    </row>
    <row r="77" spans="1:14" ht="23.25" customHeight="1" x14ac:dyDescent="0.2">
      <c r="C77" s="8"/>
    </row>
    <row r="78" spans="1:14" ht="23.25" customHeight="1" x14ac:dyDescent="0.2">
      <c r="C78" s="8"/>
    </row>
    <row r="79" spans="1:14" ht="23.25" customHeight="1" x14ac:dyDescent="0.2">
      <c r="C79" s="8"/>
    </row>
    <row r="80" spans="1:14" ht="23.25" customHeight="1" x14ac:dyDescent="0.2">
      <c r="C80" s="8"/>
    </row>
  </sheetData>
  <autoFilter ref="B1:B66" xr:uid="{00000000-0009-0000-0000-000008000000}">
    <sortState xmlns:xlrd2="http://schemas.microsoft.com/office/spreadsheetml/2017/richdata2" ref="A2:N68">
      <sortCondition ref="B1:B66"/>
    </sortState>
  </autoFilter>
  <sortState xmlns:xlrd2="http://schemas.microsoft.com/office/spreadsheetml/2017/richdata2" ref="A2:N80">
    <sortCondition descending="1" ref="M2:M80"/>
  </sortState>
  <phoneticPr fontId="0" type="noConversion"/>
  <printOptions horizontalCentered="1" headings="1" gridLines="1"/>
  <pageMargins left="0" right="0" top="1" bottom="0" header="0.5" footer="0.5"/>
  <pageSetup scale="64" fitToHeight="2" orientation="portrait" r:id="rId1"/>
  <headerFooter alignWithMargins="0">
    <oddHeader>&amp;CHIGH PLAINS ANGLARS FISHING DERBY 2016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6D6AC-7756-4944-88ED-037FAC9BAE8D}">
  <sheetPr codeName="Sheet2"/>
  <dimension ref="A1"/>
  <sheetViews>
    <sheetView workbookViewId="0">
      <selection activeCell="T40" sqref="T40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>
    <pageSetUpPr fitToPage="1"/>
  </sheetPr>
  <dimension ref="A1:H111"/>
  <sheetViews>
    <sheetView workbookViewId="0">
      <selection activeCell="I33" sqref="I33"/>
    </sheetView>
  </sheetViews>
  <sheetFormatPr defaultRowHeight="12.75" x14ac:dyDescent="0.2"/>
  <cols>
    <col min="1" max="1" width="11.7109375" style="18" customWidth="1"/>
    <col min="4" max="4" width="14" customWidth="1"/>
    <col min="6" max="6" width="19" customWidth="1"/>
  </cols>
  <sheetData>
    <row r="1" spans="1:8" x14ac:dyDescent="0.2">
      <c r="A1" s="18">
        <v>1</v>
      </c>
      <c r="B1" t="s">
        <v>74</v>
      </c>
      <c r="C1" s="4">
        <f>'2016'!L3+'2016'!L51+'2016'!L53</f>
        <v>30.060000000000002</v>
      </c>
    </row>
    <row r="2" spans="1:8" x14ac:dyDescent="0.2">
      <c r="A2" s="18">
        <v>2</v>
      </c>
      <c r="B2" t="s">
        <v>75</v>
      </c>
      <c r="C2">
        <f>'2016'!L25+'2016'!L32+'2016'!L37</f>
        <v>30.58</v>
      </c>
    </row>
    <row r="3" spans="1:8" x14ac:dyDescent="0.2">
      <c r="A3" s="18">
        <v>3</v>
      </c>
      <c r="B3" t="s">
        <v>76</v>
      </c>
      <c r="C3">
        <f>'2016'!L7+'2016'!L35+'2016'!L40</f>
        <v>29.54</v>
      </c>
      <c r="D3" s="4"/>
    </row>
    <row r="4" spans="1:8" x14ac:dyDescent="0.2">
      <c r="A4" s="18">
        <v>4</v>
      </c>
      <c r="B4" t="s">
        <v>77</v>
      </c>
      <c r="C4" s="4">
        <f>'2016'!L38+'2016'!L26+'2016'!L16</f>
        <v>32.340000000000003</v>
      </c>
    </row>
    <row r="5" spans="1:8" x14ac:dyDescent="0.2">
      <c r="A5" s="18">
        <v>5</v>
      </c>
      <c r="B5" t="s">
        <v>78</v>
      </c>
      <c r="C5" s="4">
        <f>'2016'!L8+'2016'!L22+'2016'!L36</f>
        <v>30.78</v>
      </c>
    </row>
    <row r="6" spans="1:8" x14ac:dyDescent="0.2">
      <c r="A6" s="18">
        <v>6</v>
      </c>
      <c r="B6" t="s">
        <v>79</v>
      </c>
      <c r="C6" s="15">
        <f>'2016'!L5+'2016'!L31+'2016'!L65</f>
        <v>25.02</v>
      </c>
    </row>
    <row r="7" spans="1:8" x14ac:dyDescent="0.2">
      <c r="A7" s="18">
        <v>7</v>
      </c>
      <c r="B7" s="16" t="s">
        <v>80</v>
      </c>
      <c r="C7" s="4">
        <f>'2016'!L11+'2016'!L39+'2016'!L54</f>
        <v>30.040000000000003</v>
      </c>
      <c r="H7" s="3"/>
    </row>
    <row r="8" spans="1:8" x14ac:dyDescent="0.2">
      <c r="A8" s="18">
        <v>8</v>
      </c>
      <c r="B8" t="s">
        <v>81</v>
      </c>
      <c r="C8" s="4">
        <f>'2016'!L57+'2016'!L44+'2016'!L21</f>
        <v>29.98</v>
      </c>
    </row>
    <row r="9" spans="1:8" x14ac:dyDescent="0.2">
      <c r="A9" s="18">
        <v>9</v>
      </c>
      <c r="B9" t="s">
        <v>82</v>
      </c>
      <c r="C9" s="4">
        <f>'2016'!L6+'2016'!L18+'2016'!L50</f>
        <v>31.92</v>
      </c>
      <c r="D9" s="4"/>
    </row>
    <row r="10" spans="1:8" x14ac:dyDescent="0.2">
      <c r="A10" s="18">
        <v>10</v>
      </c>
      <c r="B10" t="s">
        <v>83</v>
      </c>
      <c r="C10" s="15">
        <f>'2016'!L14+'2016'!L10+'2016'!L62</f>
        <v>29.020000000000003</v>
      </c>
    </row>
    <row r="11" spans="1:8" x14ac:dyDescent="0.2">
      <c r="A11" s="18">
        <v>11</v>
      </c>
      <c r="B11" t="s">
        <v>84</v>
      </c>
      <c r="C11" s="4">
        <f>'2016'!L48+'2016'!L29+'2016'!L19</f>
        <v>29.380000000000003</v>
      </c>
    </row>
    <row r="12" spans="1:8" x14ac:dyDescent="0.2">
      <c r="A12" s="18">
        <v>12</v>
      </c>
      <c r="B12" t="s">
        <v>85</v>
      </c>
      <c r="C12">
        <f>'2016'!L12+'2016'!L17+'2016'!L43</f>
        <v>32.299999999999997</v>
      </c>
    </row>
    <row r="13" spans="1:8" x14ac:dyDescent="0.2">
      <c r="A13" s="18">
        <v>13</v>
      </c>
      <c r="B13" t="s">
        <v>86</v>
      </c>
      <c r="C13" s="4">
        <f>'2016'!L2+'2016'!L28+'2016'!L66</f>
        <v>23.34</v>
      </c>
    </row>
    <row r="14" spans="1:8" x14ac:dyDescent="0.2">
      <c r="A14" s="18">
        <v>14</v>
      </c>
      <c r="B14" t="s">
        <v>87</v>
      </c>
      <c r="C14" s="4">
        <f>'2016'!L61+'2016'!L30+'2016'!L9</f>
        <v>29.18</v>
      </c>
      <c r="D14" s="4"/>
    </row>
    <row r="15" spans="1:8" x14ac:dyDescent="0.2">
      <c r="A15" s="18">
        <v>15</v>
      </c>
      <c r="B15" t="s">
        <v>88</v>
      </c>
      <c r="C15">
        <f>'2016'!L20+'2016'!L42+'2016'!L67</f>
        <v>19.380000000000003</v>
      </c>
    </row>
    <row r="16" spans="1:8" x14ac:dyDescent="0.2">
      <c r="A16" s="18">
        <v>16</v>
      </c>
      <c r="B16" t="s">
        <v>89</v>
      </c>
      <c r="C16" s="4">
        <f>'2016'!L63+'2016'!L55+'2016'!L23</f>
        <v>24.64</v>
      </c>
    </row>
    <row r="17" spans="1:5" x14ac:dyDescent="0.2">
      <c r="A17" s="18">
        <v>17</v>
      </c>
      <c r="B17" t="s">
        <v>90</v>
      </c>
      <c r="C17" s="4">
        <f>'2016'!L15+'2016'!L60+'2016'!L64</f>
        <v>23.08</v>
      </c>
      <c r="D17" s="4"/>
    </row>
    <row r="18" spans="1:5" x14ac:dyDescent="0.2">
      <c r="A18" s="18">
        <v>18</v>
      </c>
      <c r="B18" t="s">
        <v>91</v>
      </c>
      <c r="C18" s="15">
        <f>'2016'!L47+'2016'!L49+'2016'!L58</f>
        <v>27.939999999999998</v>
      </c>
    </row>
    <row r="19" spans="1:5" x14ac:dyDescent="0.2">
      <c r="A19" s="18">
        <v>19</v>
      </c>
      <c r="B19" t="s">
        <v>92</v>
      </c>
      <c r="C19" s="4">
        <f>'2016'!L27+'2016'!L33+'2016'!L45</f>
        <v>29.28</v>
      </c>
    </row>
    <row r="20" spans="1:5" x14ac:dyDescent="0.2">
      <c r="A20" s="18">
        <v>20</v>
      </c>
      <c r="B20" t="s">
        <v>93</v>
      </c>
      <c r="C20">
        <f>'2016'!L13+'2016'!L24+'2016'!L59</f>
        <v>31.46</v>
      </c>
    </row>
    <row r="21" spans="1:5" x14ac:dyDescent="0.2">
      <c r="A21" s="18">
        <v>21</v>
      </c>
      <c r="B21" t="s">
        <v>94</v>
      </c>
      <c r="C21" s="4">
        <f>'2016'!L56+'2016'!L41+'2016'!L34</f>
        <v>26.82</v>
      </c>
    </row>
    <row r="22" spans="1:5" x14ac:dyDescent="0.2">
      <c r="A22" s="18">
        <v>22</v>
      </c>
      <c r="B22" t="s">
        <v>95</v>
      </c>
      <c r="C22" s="4">
        <f>'2016'!L52+'2016'!L46+'2016'!L4</f>
        <v>31.5</v>
      </c>
      <c r="D22" s="4"/>
    </row>
    <row r="23" spans="1:5" x14ac:dyDescent="0.2">
      <c r="A23" s="17" t="s">
        <v>59</v>
      </c>
      <c r="B23" s="1" t="s">
        <v>27</v>
      </c>
      <c r="C23" s="1" t="s">
        <v>28</v>
      </c>
      <c r="D23" s="1" t="s">
        <v>57</v>
      </c>
      <c r="E23" s="1" t="s">
        <v>58</v>
      </c>
    </row>
    <row r="25" spans="1:5" x14ac:dyDescent="0.2">
      <c r="C25" s="5"/>
    </row>
    <row r="26" spans="1:5" x14ac:dyDescent="0.2">
      <c r="C26" s="4"/>
    </row>
    <row r="28" spans="1:5" x14ac:dyDescent="0.2">
      <c r="C28" s="4"/>
    </row>
    <row r="29" spans="1:5" x14ac:dyDescent="0.2">
      <c r="A29" s="1"/>
      <c r="C29" s="4"/>
      <c r="D29" s="4"/>
    </row>
    <row r="30" spans="1:5" x14ac:dyDescent="0.2">
      <c r="C30" s="4"/>
    </row>
    <row r="31" spans="1:5" x14ac:dyDescent="0.2">
      <c r="A31" s="1"/>
    </row>
    <row r="32" spans="1:5" x14ac:dyDescent="0.2">
      <c r="C32" s="4"/>
    </row>
    <row r="33" spans="1:4" x14ac:dyDescent="0.2">
      <c r="A33" s="1"/>
      <c r="C33" s="4"/>
      <c r="D33" s="4"/>
    </row>
    <row r="34" spans="1:4" x14ac:dyDescent="0.2">
      <c r="C34" s="5"/>
    </row>
    <row r="35" spans="1:4" x14ac:dyDescent="0.2">
      <c r="A35" s="1"/>
      <c r="C35" s="4"/>
    </row>
    <row r="37" spans="1:4" x14ac:dyDescent="0.2">
      <c r="A37" s="1"/>
      <c r="C37" s="4"/>
    </row>
    <row r="38" spans="1:4" x14ac:dyDescent="0.2">
      <c r="C38" s="4"/>
      <c r="D38" s="4"/>
    </row>
    <row r="39" spans="1:4" x14ac:dyDescent="0.2">
      <c r="A39" s="1"/>
      <c r="C39" s="5"/>
    </row>
    <row r="40" spans="1:4" x14ac:dyDescent="0.2">
      <c r="C40" s="4"/>
    </row>
    <row r="41" spans="1:4" x14ac:dyDescent="0.2">
      <c r="A41" s="1"/>
    </row>
    <row r="42" spans="1:4" x14ac:dyDescent="0.2">
      <c r="C42" s="4"/>
    </row>
    <row r="43" spans="1:4" x14ac:dyDescent="0.2">
      <c r="A43" s="1"/>
      <c r="C43" s="4"/>
      <c r="D43" s="4"/>
    </row>
    <row r="44" spans="1:4" x14ac:dyDescent="0.2">
      <c r="C44" s="5"/>
    </row>
    <row r="45" spans="1:4" x14ac:dyDescent="0.2">
      <c r="A45" s="1"/>
      <c r="C45" s="4"/>
    </row>
    <row r="47" spans="1:4" x14ac:dyDescent="0.2">
      <c r="C47" s="4"/>
    </row>
    <row r="48" spans="1:4" x14ac:dyDescent="0.2">
      <c r="C48" s="4"/>
      <c r="D48" s="4"/>
    </row>
    <row r="49" spans="3:4" x14ac:dyDescent="0.2">
      <c r="C49" s="5"/>
    </row>
    <row r="50" spans="3:4" x14ac:dyDescent="0.2">
      <c r="C50" s="4"/>
    </row>
    <row r="52" spans="3:4" x14ac:dyDescent="0.2">
      <c r="C52" s="4"/>
    </row>
    <row r="53" spans="3:4" x14ac:dyDescent="0.2">
      <c r="C53" s="4"/>
      <c r="D53" s="4"/>
    </row>
    <row r="54" spans="3:4" x14ac:dyDescent="0.2">
      <c r="C54" s="5"/>
    </row>
    <row r="55" spans="3:4" x14ac:dyDescent="0.2">
      <c r="C55" s="4"/>
    </row>
    <row r="57" spans="3:4" x14ac:dyDescent="0.2">
      <c r="C57" s="4"/>
    </row>
    <row r="58" spans="3:4" x14ac:dyDescent="0.2">
      <c r="C58" s="4"/>
      <c r="D58" s="4"/>
    </row>
    <row r="59" spans="3:4" x14ac:dyDescent="0.2">
      <c r="C59" s="5"/>
    </row>
    <row r="60" spans="3:4" x14ac:dyDescent="0.2">
      <c r="C60" s="4"/>
    </row>
    <row r="62" spans="3:4" x14ac:dyDescent="0.2">
      <c r="C62" s="4"/>
    </row>
    <row r="63" spans="3:4" x14ac:dyDescent="0.2">
      <c r="C63" s="4"/>
      <c r="D63" s="4"/>
    </row>
    <row r="64" spans="3:4" x14ac:dyDescent="0.2">
      <c r="C64" s="14"/>
    </row>
    <row r="65" spans="3:4" x14ac:dyDescent="0.2">
      <c r="C65" s="4"/>
    </row>
    <row r="67" spans="3:4" x14ac:dyDescent="0.2">
      <c r="C67" s="4"/>
    </row>
    <row r="68" spans="3:4" x14ac:dyDescent="0.2">
      <c r="C68" s="4"/>
      <c r="D68" s="4"/>
    </row>
    <row r="69" spans="3:4" x14ac:dyDescent="0.2">
      <c r="C69" s="5"/>
    </row>
    <row r="70" spans="3:4" x14ac:dyDescent="0.2">
      <c r="C70" s="4"/>
    </row>
    <row r="72" spans="3:4" x14ac:dyDescent="0.2">
      <c r="C72" s="4"/>
    </row>
    <row r="73" spans="3:4" x14ac:dyDescent="0.2">
      <c r="C73" s="4"/>
      <c r="D73" s="4"/>
    </row>
    <row r="74" spans="3:4" x14ac:dyDescent="0.2">
      <c r="C74" s="5"/>
    </row>
    <row r="75" spans="3:4" x14ac:dyDescent="0.2">
      <c r="C75" s="4"/>
    </row>
    <row r="77" spans="3:4" x14ac:dyDescent="0.2">
      <c r="C77" s="4"/>
    </row>
    <row r="78" spans="3:4" x14ac:dyDescent="0.2">
      <c r="C78" s="4"/>
      <c r="D78" s="4"/>
    </row>
    <row r="79" spans="3:4" x14ac:dyDescent="0.2">
      <c r="C79" s="5"/>
    </row>
    <row r="80" spans="3:4" x14ac:dyDescent="0.2">
      <c r="C80" s="4"/>
    </row>
    <row r="82" spans="3:4" x14ac:dyDescent="0.2">
      <c r="C82" s="4"/>
    </row>
    <row r="83" spans="3:4" x14ac:dyDescent="0.2">
      <c r="C83" s="4"/>
      <c r="D83" s="4"/>
    </row>
    <row r="84" spans="3:4" x14ac:dyDescent="0.2">
      <c r="C84" s="5"/>
    </row>
    <row r="85" spans="3:4" x14ac:dyDescent="0.2">
      <c r="C85" s="4"/>
    </row>
    <row r="87" spans="3:4" x14ac:dyDescent="0.2">
      <c r="C87" s="4"/>
    </row>
    <row r="88" spans="3:4" x14ac:dyDescent="0.2">
      <c r="C88" s="4"/>
      <c r="D88" s="4"/>
    </row>
    <row r="89" spans="3:4" x14ac:dyDescent="0.2">
      <c r="C89" s="5"/>
    </row>
    <row r="90" spans="3:4" x14ac:dyDescent="0.2">
      <c r="C90" s="4"/>
    </row>
    <row r="92" spans="3:4" x14ac:dyDescent="0.2">
      <c r="C92" s="4"/>
    </row>
    <row r="93" spans="3:4" x14ac:dyDescent="0.2">
      <c r="C93" s="4"/>
      <c r="D93" s="4"/>
    </row>
    <row r="94" spans="3:4" x14ac:dyDescent="0.2">
      <c r="C94" s="5"/>
    </row>
    <row r="95" spans="3:4" x14ac:dyDescent="0.2">
      <c r="C95" s="4"/>
    </row>
    <row r="97" spans="1:7" x14ac:dyDescent="0.2">
      <c r="C97" s="4"/>
    </row>
    <row r="98" spans="1:7" x14ac:dyDescent="0.2">
      <c r="C98" s="4"/>
      <c r="D98" s="4"/>
    </row>
    <row r="99" spans="1:7" x14ac:dyDescent="0.2">
      <c r="C99" s="15"/>
    </row>
    <row r="100" spans="1:7" x14ac:dyDescent="0.2">
      <c r="C100" s="14"/>
    </row>
    <row r="101" spans="1:7" x14ac:dyDescent="0.2">
      <c r="C101" s="4"/>
    </row>
    <row r="102" spans="1:7" x14ac:dyDescent="0.2">
      <c r="C102" s="4"/>
    </row>
    <row r="103" spans="1:7" x14ac:dyDescent="0.2">
      <c r="A103" s="1"/>
      <c r="C103" s="4"/>
      <c r="D103" s="4"/>
      <c r="F103" s="2"/>
      <c r="G103" s="2"/>
    </row>
    <row r="104" spans="1:7" x14ac:dyDescent="0.2">
      <c r="C104" s="5"/>
    </row>
    <row r="105" spans="1:7" x14ac:dyDescent="0.2">
      <c r="C105" s="4"/>
    </row>
    <row r="107" spans="1:7" x14ac:dyDescent="0.2">
      <c r="C107" s="4"/>
    </row>
    <row r="108" spans="1:7" x14ac:dyDescent="0.2">
      <c r="A108" s="1"/>
      <c r="C108" s="4"/>
    </row>
    <row r="110" spans="1:7" x14ac:dyDescent="0.2">
      <c r="C110" s="4"/>
    </row>
    <row r="111" spans="1:7" x14ac:dyDescent="0.2">
      <c r="A111" s="1"/>
    </row>
  </sheetData>
  <phoneticPr fontId="0" type="noConversion"/>
  <pageMargins left="0.75" right="0.75" top="1" bottom="1" header="0.5" footer="0.5"/>
  <pageSetup paperSize="5" orientation="portrait" r:id="rId1"/>
  <headerFooter alignWithMargins="0">
    <oddHeader>&amp;C2015 CALCUTTA RESULTS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R77"/>
  <sheetViews>
    <sheetView workbookViewId="0">
      <selection sqref="A1:R250"/>
    </sheetView>
  </sheetViews>
  <sheetFormatPr defaultRowHeight="12.75" x14ac:dyDescent="0.2"/>
  <cols>
    <col min="3" max="3" width="27.140625" bestFit="1" customWidth="1"/>
    <col min="14" max="14" width="13.42578125" bestFit="1" customWidth="1"/>
  </cols>
  <sheetData>
    <row r="1" spans="1:1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36</v>
      </c>
      <c r="J1" t="s">
        <v>8</v>
      </c>
      <c r="K1" t="s">
        <v>5</v>
      </c>
      <c r="L1" t="s">
        <v>9</v>
      </c>
      <c r="M1" t="s">
        <v>10</v>
      </c>
      <c r="N1" t="s">
        <v>11</v>
      </c>
      <c r="O1" t="s">
        <v>164</v>
      </c>
    </row>
    <row r="2" spans="1:18" x14ac:dyDescent="0.2">
      <c r="A2">
        <v>1</v>
      </c>
      <c r="B2">
        <v>10</v>
      </c>
      <c r="C2" t="s">
        <v>440</v>
      </c>
      <c r="D2">
        <v>5</v>
      </c>
      <c r="E2">
        <v>7.25</v>
      </c>
      <c r="F2">
        <v>5</v>
      </c>
      <c r="G2">
        <v>8.25</v>
      </c>
      <c r="H2">
        <v>2.36</v>
      </c>
    </row>
    <row r="3" spans="1:18" x14ac:dyDescent="0.2">
      <c r="A3">
        <v>2</v>
      </c>
      <c r="B3">
        <v>44</v>
      </c>
      <c r="C3" t="s">
        <v>345</v>
      </c>
      <c r="D3">
        <v>5</v>
      </c>
      <c r="E3">
        <v>5.96</v>
      </c>
      <c r="F3">
        <v>5</v>
      </c>
      <c r="G3">
        <v>6.96</v>
      </c>
      <c r="H3">
        <v>2.2000000000000002</v>
      </c>
    </row>
    <row r="4" spans="1:18" x14ac:dyDescent="0.2">
      <c r="A4">
        <v>3</v>
      </c>
      <c r="B4">
        <v>51</v>
      </c>
      <c r="C4" t="s">
        <v>320</v>
      </c>
      <c r="D4">
        <v>4</v>
      </c>
      <c r="E4">
        <v>5.54</v>
      </c>
      <c r="F4">
        <v>4</v>
      </c>
      <c r="G4">
        <v>6.34</v>
      </c>
      <c r="H4">
        <v>2.1800000000000002</v>
      </c>
    </row>
    <row r="5" spans="1:18" x14ac:dyDescent="0.2">
      <c r="A5">
        <v>4</v>
      </c>
      <c r="B5">
        <v>63</v>
      </c>
      <c r="C5" t="s">
        <v>459</v>
      </c>
      <c r="D5">
        <v>4</v>
      </c>
      <c r="E5">
        <v>5.41</v>
      </c>
      <c r="F5">
        <v>4</v>
      </c>
      <c r="G5">
        <v>6.21</v>
      </c>
      <c r="H5">
        <v>2.11</v>
      </c>
    </row>
    <row r="6" spans="1:18" x14ac:dyDescent="0.2">
      <c r="A6">
        <v>5</v>
      </c>
      <c r="B6">
        <v>15</v>
      </c>
      <c r="C6" t="s">
        <v>323</v>
      </c>
      <c r="D6">
        <v>3</v>
      </c>
      <c r="E6">
        <v>5.4</v>
      </c>
      <c r="F6">
        <v>3</v>
      </c>
      <c r="G6">
        <v>6</v>
      </c>
      <c r="H6">
        <v>2.35</v>
      </c>
    </row>
    <row r="7" spans="1:18" x14ac:dyDescent="0.2">
      <c r="A7">
        <v>6</v>
      </c>
      <c r="B7">
        <v>23</v>
      </c>
      <c r="C7" t="s">
        <v>391</v>
      </c>
      <c r="D7">
        <v>4</v>
      </c>
      <c r="E7">
        <v>5.05</v>
      </c>
      <c r="F7">
        <v>4</v>
      </c>
      <c r="G7">
        <v>5.85</v>
      </c>
      <c r="H7">
        <v>1.79</v>
      </c>
    </row>
    <row r="8" spans="1:18" x14ac:dyDescent="0.2">
      <c r="A8">
        <v>7</v>
      </c>
      <c r="B8">
        <v>28</v>
      </c>
      <c r="C8" t="s">
        <v>326</v>
      </c>
      <c r="D8">
        <v>3</v>
      </c>
      <c r="E8">
        <v>5.2</v>
      </c>
      <c r="F8">
        <v>3</v>
      </c>
      <c r="G8">
        <v>5.8</v>
      </c>
      <c r="H8">
        <v>2.27</v>
      </c>
    </row>
    <row r="9" spans="1:18" x14ac:dyDescent="0.2">
      <c r="A9">
        <v>8</v>
      </c>
      <c r="B9">
        <v>9</v>
      </c>
      <c r="C9" t="s">
        <v>238</v>
      </c>
      <c r="D9">
        <v>3</v>
      </c>
      <c r="E9">
        <v>4.99</v>
      </c>
      <c r="F9">
        <v>3</v>
      </c>
      <c r="G9">
        <v>5.59</v>
      </c>
      <c r="H9">
        <v>2.1</v>
      </c>
      <c r="Q9" t="s">
        <v>372</v>
      </c>
    </row>
    <row r="10" spans="1:18" x14ac:dyDescent="0.2">
      <c r="A10">
        <v>9</v>
      </c>
      <c r="B10">
        <v>18</v>
      </c>
      <c r="C10" t="s">
        <v>363</v>
      </c>
      <c r="D10">
        <v>2</v>
      </c>
      <c r="E10">
        <v>5.16</v>
      </c>
      <c r="F10">
        <v>2</v>
      </c>
      <c r="G10">
        <v>5.56</v>
      </c>
      <c r="H10">
        <v>2.81</v>
      </c>
    </row>
    <row r="11" spans="1:18" x14ac:dyDescent="0.2">
      <c r="A11">
        <v>10</v>
      </c>
      <c r="B11">
        <v>45</v>
      </c>
      <c r="C11" t="s">
        <v>253</v>
      </c>
      <c r="D11">
        <v>3</v>
      </c>
      <c r="E11">
        <v>4.93</v>
      </c>
      <c r="F11">
        <v>3</v>
      </c>
      <c r="G11">
        <v>5.53</v>
      </c>
      <c r="H11">
        <v>2.0499999999999998</v>
      </c>
    </row>
    <row r="12" spans="1:18" x14ac:dyDescent="0.2">
      <c r="A12">
        <v>11</v>
      </c>
      <c r="B12">
        <v>31</v>
      </c>
      <c r="C12" t="s">
        <v>297</v>
      </c>
      <c r="D12">
        <v>2</v>
      </c>
      <c r="E12">
        <v>4.8600000000000003</v>
      </c>
      <c r="F12">
        <v>2</v>
      </c>
      <c r="G12">
        <v>5.26</v>
      </c>
      <c r="H12">
        <v>2.67</v>
      </c>
    </row>
    <row r="13" spans="1:18" x14ac:dyDescent="0.2">
      <c r="A13">
        <v>12</v>
      </c>
      <c r="B13">
        <v>46</v>
      </c>
      <c r="C13" t="s">
        <v>448</v>
      </c>
      <c r="D13">
        <v>2</v>
      </c>
      <c r="E13">
        <v>4.7</v>
      </c>
      <c r="F13">
        <v>2</v>
      </c>
      <c r="G13">
        <v>5.0999999999999996</v>
      </c>
      <c r="H13">
        <v>2.5299999999999998</v>
      </c>
    </row>
    <row r="14" spans="1:18" x14ac:dyDescent="0.2">
      <c r="A14">
        <v>13</v>
      </c>
      <c r="B14">
        <v>55</v>
      </c>
      <c r="C14" t="s">
        <v>352</v>
      </c>
      <c r="D14">
        <v>3</v>
      </c>
      <c r="E14">
        <v>4.49</v>
      </c>
      <c r="F14">
        <v>3</v>
      </c>
      <c r="G14">
        <v>5.09</v>
      </c>
      <c r="H14">
        <v>2.0499999999999998</v>
      </c>
      <c r="Q14" t="s">
        <v>372</v>
      </c>
    </row>
    <row r="15" spans="1:18" x14ac:dyDescent="0.2">
      <c r="A15">
        <v>14</v>
      </c>
      <c r="B15">
        <v>52</v>
      </c>
      <c r="C15" t="s">
        <v>211</v>
      </c>
      <c r="D15">
        <v>2</v>
      </c>
      <c r="E15">
        <v>4.5599999999999996</v>
      </c>
      <c r="F15">
        <v>2</v>
      </c>
      <c r="G15">
        <v>4.96</v>
      </c>
      <c r="H15">
        <v>2.42</v>
      </c>
      <c r="Q15" t="s">
        <v>372</v>
      </c>
      <c r="R15" t="s">
        <v>372</v>
      </c>
    </row>
    <row r="16" spans="1:18" x14ac:dyDescent="0.2">
      <c r="A16">
        <v>15</v>
      </c>
      <c r="B16">
        <v>39</v>
      </c>
      <c r="C16" t="s">
        <v>307</v>
      </c>
      <c r="D16">
        <v>2</v>
      </c>
      <c r="E16">
        <v>4.5199999999999996</v>
      </c>
      <c r="F16">
        <v>2</v>
      </c>
      <c r="G16">
        <v>4.92</v>
      </c>
      <c r="H16">
        <v>2.35</v>
      </c>
      <c r="Q16" t="s">
        <v>372</v>
      </c>
    </row>
    <row r="17" spans="1:18" x14ac:dyDescent="0.2">
      <c r="A17">
        <v>16</v>
      </c>
      <c r="B17">
        <v>24</v>
      </c>
      <c r="C17" t="s">
        <v>310</v>
      </c>
      <c r="D17">
        <v>2</v>
      </c>
      <c r="E17">
        <v>4.45</v>
      </c>
      <c r="F17">
        <v>2</v>
      </c>
      <c r="G17">
        <v>4.8499999999999996</v>
      </c>
      <c r="H17">
        <v>2.2400000000000002</v>
      </c>
      <c r="Q17" t="s">
        <v>372</v>
      </c>
    </row>
    <row r="18" spans="1:18" x14ac:dyDescent="0.2">
      <c r="A18">
        <v>17</v>
      </c>
      <c r="B18">
        <v>22</v>
      </c>
      <c r="C18" t="s">
        <v>287</v>
      </c>
      <c r="D18">
        <v>2</v>
      </c>
      <c r="E18">
        <v>4.3899999999999997</v>
      </c>
      <c r="F18">
        <v>2</v>
      </c>
      <c r="G18">
        <v>4.79</v>
      </c>
      <c r="H18">
        <v>2.2999999999999998</v>
      </c>
    </row>
    <row r="19" spans="1:18" x14ac:dyDescent="0.2">
      <c r="A19">
        <v>18</v>
      </c>
      <c r="B19">
        <v>34</v>
      </c>
      <c r="C19" t="s">
        <v>258</v>
      </c>
      <c r="D19">
        <v>2</v>
      </c>
      <c r="E19">
        <v>4.3899999999999997</v>
      </c>
      <c r="F19">
        <v>2</v>
      </c>
      <c r="G19">
        <v>4.79</v>
      </c>
      <c r="H19">
        <v>2.23</v>
      </c>
      <c r="Q19" t="s">
        <v>372</v>
      </c>
    </row>
    <row r="20" spans="1:18" x14ac:dyDescent="0.2">
      <c r="A20">
        <v>19</v>
      </c>
      <c r="B20">
        <v>21</v>
      </c>
      <c r="C20" t="s">
        <v>210</v>
      </c>
      <c r="D20">
        <v>2</v>
      </c>
      <c r="E20">
        <v>4.3899999999999997</v>
      </c>
      <c r="F20">
        <v>2</v>
      </c>
      <c r="G20">
        <v>4.79</v>
      </c>
      <c r="H20">
        <v>2.2599999999999998</v>
      </c>
      <c r="Q20" t="s">
        <v>372</v>
      </c>
    </row>
    <row r="21" spans="1:18" x14ac:dyDescent="0.2">
      <c r="A21">
        <v>20</v>
      </c>
      <c r="B21">
        <v>25</v>
      </c>
      <c r="C21" t="s">
        <v>284</v>
      </c>
      <c r="D21">
        <v>2</v>
      </c>
      <c r="E21">
        <v>4.3099999999999996</v>
      </c>
      <c r="F21">
        <v>2</v>
      </c>
      <c r="G21">
        <v>4.71</v>
      </c>
      <c r="H21">
        <v>2.1</v>
      </c>
      <c r="Q21" t="s">
        <v>372</v>
      </c>
    </row>
    <row r="22" spans="1:18" x14ac:dyDescent="0.2">
      <c r="A22">
        <v>21</v>
      </c>
      <c r="B22">
        <v>8</v>
      </c>
      <c r="C22" t="s">
        <v>197</v>
      </c>
      <c r="D22">
        <v>2</v>
      </c>
      <c r="E22">
        <v>4.3</v>
      </c>
      <c r="F22">
        <v>2</v>
      </c>
      <c r="G22">
        <v>4.7</v>
      </c>
      <c r="H22">
        <v>2.2200000000000002</v>
      </c>
      <c r="Q22" t="s">
        <v>372</v>
      </c>
      <c r="R22" t="s">
        <v>372</v>
      </c>
    </row>
    <row r="23" spans="1:18" x14ac:dyDescent="0.2">
      <c r="A23">
        <v>22</v>
      </c>
      <c r="B23">
        <v>5</v>
      </c>
      <c r="C23" t="s">
        <v>438</v>
      </c>
      <c r="D23">
        <v>2</v>
      </c>
      <c r="E23">
        <v>4.29</v>
      </c>
      <c r="F23">
        <v>2</v>
      </c>
      <c r="G23">
        <v>4.6900000000000004</v>
      </c>
      <c r="H23">
        <v>2.3199999999999998</v>
      </c>
      <c r="Q23" t="s">
        <v>372</v>
      </c>
    </row>
    <row r="24" spans="1:18" x14ac:dyDescent="0.2">
      <c r="A24">
        <v>23</v>
      </c>
      <c r="B24">
        <v>26</v>
      </c>
      <c r="C24" t="s">
        <v>444</v>
      </c>
      <c r="D24">
        <v>2</v>
      </c>
      <c r="E24">
        <v>4.24</v>
      </c>
      <c r="F24">
        <v>2</v>
      </c>
      <c r="G24">
        <v>4.6399999999999997</v>
      </c>
      <c r="H24">
        <v>2.2400000000000002</v>
      </c>
    </row>
    <row r="25" spans="1:18" x14ac:dyDescent="0.2">
      <c r="A25">
        <v>24</v>
      </c>
      <c r="B25">
        <v>30</v>
      </c>
      <c r="C25" t="s">
        <v>219</v>
      </c>
      <c r="D25">
        <v>2</v>
      </c>
      <c r="E25">
        <v>4.1900000000000004</v>
      </c>
      <c r="F25">
        <v>2</v>
      </c>
      <c r="G25">
        <v>4.59</v>
      </c>
      <c r="H25">
        <v>2.37</v>
      </c>
    </row>
    <row r="26" spans="1:18" x14ac:dyDescent="0.2">
      <c r="A26">
        <v>25</v>
      </c>
      <c r="B26">
        <v>3</v>
      </c>
      <c r="C26" t="s">
        <v>471</v>
      </c>
      <c r="D26">
        <v>2</v>
      </c>
      <c r="E26">
        <v>4.1399999999999997</v>
      </c>
      <c r="F26">
        <v>2</v>
      </c>
      <c r="G26">
        <v>4.54</v>
      </c>
      <c r="H26">
        <v>2.2799999999999998</v>
      </c>
      <c r="Q26" t="s">
        <v>372</v>
      </c>
    </row>
    <row r="27" spans="1:18" x14ac:dyDescent="0.2">
      <c r="A27">
        <v>26</v>
      </c>
      <c r="B27">
        <v>2</v>
      </c>
      <c r="C27" t="s">
        <v>397</v>
      </c>
      <c r="D27">
        <v>2</v>
      </c>
      <c r="E27">
        <v>4.12</v>
      </c>
      <c r="F27">
        <v>2</v>
      </c>
      <c r="G27">
        <v>4.5199999999999996</v>
      </c>
      <c r="H27">
        <v>2.12</v>
      </c>
    </row>
    <row r="28" spans="1:18" x14ac:dyDescent="0.2">
      <c r="A28">
        <v>27</v>
      </c>
      <c r="B28">
        <v>36</v>
      </c>
      <c r="C28" t="s">
        <v>386</v>
      </c>
      <c r="D28">
        <v>2</v>
      </c>
      <c r="E28">
        <v>4.1100000000000003</v>
      </c>
      <c r="F28">
        <v>2</v>
      </c>
      <c r="G28">
        <v>4.51</v>
      </c>
      <c r="H28">
        <v>2.23</v>
      </c>
      <c r="Q28" t="s">
        <v>372</v>
      </c>
    </row>
    <row r="29" spans="1:18" x14ac:dyDescent="0.2">
      <c r="A29">
        <v>28</v>
      </c>
      <c r="B29">
        <v>17</v>
      </c>
      <c r="C29" t="s">
        <v>226</v>
      </c>
      <c r="D29">
        <v>2</v>
      </c>
      <c r="E29">
        <v>4.0999999999999996</v>
      </c>
      <c r="F29">
        <v>2</v>
      </c>
      <c r="G29">
        <v>4.5</v>
      </c>
      <c r="H29">
        <v>2.29</v>
      </c>
      <c r="Q29" t="s">
        <v>372</v>
      </c>
    </row>
    <row r="30" spans="1:18" x14ac:dyDescent="0.2">
      <c r="A30">
        <v>29</v>
      </c>
      <c r="B30">
        <v>62</v>
      </c>
      <c r="C30" t="s">
        <v>458</v>
      </c>
      <c r="D30">
        <v>2</v>
      </c>
      <c r="E30">
        <v>4.0999999999999996</v>
      </c>
      <c r="F30">
        <v>2</v>
      </c>
      <c r="G30">
        <v>4.5</v>
      </c>
      <c r="H30">
        <v>2.1</v>
      </c>
    </row>
    <row r="31" spans="1:18" x14ac:dyDescent="0.2">
      <c r="A31">
        <v>30</v>
      </c>
      <c r="B31">
        <v>66</v>
      </c>
      <c r="C31" t="s">
        <v>461</v>
      </c>
      <c r="D31">
        <v>2</v>
      </c>
      <c r="E31">
        <v>4.0599999999999996</v>
      </c>
      <c r="F31">
        <v>2</v>
      </c>
      <c r="G31">
        <v>4.46</v>
      </c>
      <c r="H31">
        <v>2.13</v>
      </c>
      <c r="Q31" t="s">
        <v>372</v>
      </c>
    </row>
    <row r="32" spans="1:18" x14ac:dyDescent="0.2">
      <c r="A32">
        <v>31</v>
      </c>
      <c r="B32">
        <v>42</v>
      </c>
      <c r="C32" t="s">
        <v>411</v>
      </c>
      <c r="D32">
        <v>2</v>
      </c>
      <c r="E32">
        <v>4.01</v>
      </c>
      <c r="F32">
        <v>2</v>
      </c>
      <c r="G32">
        <v>4.41</v>
      </c>
      <c r="H32">
        <v>2.11</v>
      </c>
    </row>
    <row r="33" spans="1:18" x14ac:dyDescent="0.2">
      <c r="A33">
        <v>32</v>
      </c>
      <c r="B33">
        <v>59</v>
      </c>
      <c r="C33" t="s">
        <v>404</v>
      </c>
      <c r="D33">
        <v>2</v>
      </c>
      <c r="E33">
        <v>4.0149999999999997</v>
      </c>
      <c r="F33">
        <v>2</v>
      </c>
      <c r="G33">
        <v>4.41</v>
      </c>
      <c r="H33">
        <v>2.2000000000000002</v>
      </c>
      <c r="Q33" t="s">
        <v>372</v>
      </c>
      <c r="R33" t="s">
        <v>372</v>
      </c>
    </row>
    <row r="34" spans="1:18" x14ac:dyDescent="0.2">
      <c r="A34">
        <v>33</v>
      </c>
      <c r="B34">
        <v>14</v>
      </c>
      <c r="C34" t="s">
        <v>379</v>
      </c>
      <c r="D34">
        <v>2</v>
      </c>
      <c r="E34">
        <v>3.87</v>
      </c>
      <c r="F34">
        <v>2</v>
      </c>
      <c r="G34">
        <v>4.2699999999999996</v>
      </c>
      <c r="H34">
        <v>1.96</v>
      </c>
      <c r="Q34" t="s">
        <v>372</v>
      </c>
      <c r="R34" t="s">
        <v>372</v>
      </c>
    </row>
    <row r="35" spans="1:18" x14ac:dyDescent="0.2">
      <c r="A35">
        <v>34</v>
      </c>
      <c r="B35">
        <v>12</v>
      </c>
      <c r="C35" t="s">
        <v>393</v>
      </c>
      <c r="D35">
        <v>2</v>
      </c>
      <c r="E35">
        <v>3.8</v>
      </c>
      <c r="F35">
        <v>2</v>
      </c>
      <c r="G35">
        <v>4.2</v>
      </c>
      <c r="H35">
        <v>1.86</v>
      </c>
      <c r="Q35" t="s">
        <v>372</v>
      </c>
    </row>
    <row r="36" spans="1:18" x14ac:dyDescent="0.2">
      <c r="A36">
        <v>35</v>
      </c>
      <c r="B36">
        <v>72</v>
      </c>
      <c r="C36" t="s">
        <v>466</v>
      </c>
      <c r="D36">
        <v>2</v>
      </c>
      <c r="E36">
        <v>3.77</v>
      </c>
      <c r="F36">
        <v>2</v>
      </c>
      <c r="G36">
        <v>4.17</v>
      </c>
      <c r="H36">
        <v>2.0299999999999998</v>
      </c>
      <c r="Q36" t="s">
        <v>372</v>
      </c>
    </row>
    <row r="37" spans="1:18" x14ac:dyDescent="0.2">
      <c r="A37">
        <v>36</v>
      </c>
      <c r="B37">
        <v>38</v>
      </c>
      <c r="C37" t="s">
        <v>225</v>
      </c>
      <c r="D37">
        <v>2</v>
      </c>
      <c r="E37">
        <v>3.77</v>
      </c>
      <c r="F37">
        <v>2</v>
      </c>
      <c r="G37">
        <v>4.17</v>
      </c>
      <c r="H37">
        <v>2.0099999999999998</v>
      </c>
    </row>
    <row r="38" spans="1:18" x14ac:dyDescent="0.2">
      <c r="A38">
        <v>37</v>
      </c>
      <c r="B38">
        <v>49</v>
      </c>
      <c r="C38" t="s">
        <v>451</v>
      </c>
      <c r="D38">
        <v>2</v>
      </c>
      <c r="E38">
        <v>3.72</v>
      </c>
      <c r="F38">
        <v>2</v>
      </c>
      <c r="G38">
        <v>4.12</v>
      </c>
      <c r="H38">
        <v>2</v>
      </c>
      <c r="Q38" t="s">
        <v>372</v>
      </c>
      <c r="R38" t="s">
        <v>372</v>
      </c>
    </row>
    <row r="39" spans="1:18" x14ac:dyDescent="0.2">
      <c r="A39">
        <v>38</v>
      </c>
      <c r="B39">
        <v>70</v>
      </c>
      <c r="C39" t="s">
        <v>464</v>
      </c>
      <c r="D39">
        <v>2</v>
      </c>
      <c r="E39">
        <v>3.7</v>
      </c>
      <c r="F39">
        <v>2</v>
      </c>
      <c r="G39">
        <v>4.0999999999999996</v>
      </c>
      <c r="H39">
        <v>2.04</v>
      </c>
      <c r="Q39" t="s">
        <v>372</v>
      </c>
      <c r="R39" t="s">
        <v>372</v>
      </c>
    </row>
    <row r="40" spans="1:18" x14ac:dyDescent="0.2">
      <c r="A40">
        <v>39</v>
      </c>
      <c r="B40">
        <v>4</v>
      </c>
      <c r="C40" t="s">
        <v>387</v>
      </c>
      <c r="D40">
        <v>2</v>
      </c>
      <c r="E40">
        <v>3.68</v>
      </c>
      <c r="F40">
        <v>2</v>
      </c>
      <c r="G40">
        <v>4.08</v>
      </c>
      <c r="H40">
        <v>1.96</v>
      </c>
      <c r="Q40" t="s">
        <v>372</v>
      </c>
      <c r="R40" t="s">
        <v>372</v>
      </c>
    </row>
    <row r="41" spans="1:18" x14ac:dyDescent="0.2">
      <c r="A41">
        <v>40</v>
      </c>
      <c r="B41">
        <v>16</v>
      </c>
      <c r="C41" t="s">
        <v>442</v>
      </c>
      <c r="D41">
        <v>2</v>
      </c>
      <c r="E41">
        <v>3.67</v>
      </c>
      <c r="F41">
        <v>2</v>
      </c>
      <c r="G41">
        <v>4.07</v>
      </c>
      <c r="H41">
        <v>1.89</v>
      </c>
      <c r="Q41" t="s">
        <v>372</v>
      </c>
      <c r="R41" t="s">
        <v>372</v>
      </c>
    </row>
    <row r="42" spans="1:18" x14ac:dyDescent="0.2">
      <c r="A42">
        <v>41</v>
      </c>
      <c r="B42">
        <v>60</v>
      </c>
      <c r="C42" t="s">
        <v>456</v>
      </c>
      <c r="D42">
        <v>2</v>
      </c>
      <c r="E42">
        <v>3.66</v>
      </c>
      <c r="F42">
        <v>2</v>
      </c>
      <c r="G42">
        <v>4.0599999999999996</v>
      </c>
      <c r="H42">
        <v>1.99</v>
      </c>
      <c r="Q42" t="s">
        <v>372</v>
      </c>
      <c r="R42" t="s">
        <v>372</v>
      </c>
    </row>
    <row r="43" spans="1:18" x14ac:dyDescent="0.2">
      <c r="A43">
        <v>42</v>
      </c>
      <c r="B43">
        <v>6</v>
      </c>
      <c r="C43" t="s">
        <v>439</v>
      </c>
      <c r="D43">
        <v>2</v>
      </c>
      <c r="E43">
        <v>3.62</v>
      </c>
      <c r="F43">
        <v>2</v>
      </c>
      <c r="G43">
        <v>4.0199999999999996</v>
      </c>
      <c r="H43">
        <v>2.46</v>
      </c>
      <c r="Q43" t="s">
        <v>372</v>
      </c>
      <c r="R43" t="s">
        <v>372</v>
      </c>
    </row>
    <row r="44" spans="1:18" x14ac:dyDescent="0.2">
      <c r="A44">
        <v>43</v>
      </c>
      <c r="B44">
        <v>7</v>
      </c>
      <c r="C44" t="s">
        <v>246</v>
      </c>
      <c r="D44">
        <v>2</v>
      </c>
      <c r="E44">
        <v>3.58</v>
      </c>
      <c r="F44">
        <v>2</v>
      </c>
      <c r="G44">
        <v>3.98</v>
      </c>
      <c r="H44">
        <v>1.92</v>
      </c>
      <c r="Q44" t="s">
        <v>372</v>
      </c>
      <c r="R44" t="s">
        <v>372</v>
      </c>
    </row>
    <row r="45" spans="1:18" x14ac:dyDescent="0.2">
      <c r="A45">
        <v>44</v>
      </c>
      <c r="B45">
        <v>19</v>
      </c>
      <c r="C45" t="s">
        <v>443</v>
      </c>
      <c r="D45">
        <v>2</v>
      </c>
      <c r="E45">
        <v>3.5</v>
      </c>
      <c r="F45">
        <v>2</v>
      </c>
      <c r="G45">
        <v>3.9</v>
      </c>
      <c r="H45">
        <v>1.79</v>
      </c>
      <c r="Q45" t="s">
        <v>372</v>
      </c>
      <c r="R45" t="s">
        <v>372</v>
      </c>
    </row>
    <row r="46" spans="1:18" x14ac:dyDescent="0.2">
      <c r="A46">
        <v>45</v>
      </c>
      <c r="B46">
        <v>68</v>
      </c>
      <c r="C46" t="s">
        <v>462</v>
      </c>
      <c r="D46">
        <v>2</v>
      </c>
      <c r="E46">
        <v>3.48</v>
      </c>
      <c r="F46">
        <v>2</v>
      </c>
      <c r="G46">
        <v>3.88</v>
      </c>
      <c r="H46">
        <v>1.89</v>
      </c>
      <c r="Q46" t="s">
        <v>372</v>
      </c>
      <c r="R46" t="s">
        <v>372</v>
      </c>
    </row>
    <row r="47" spans="1:18" x14ac:dyDescent="0.2">
      <c r="A47">
        <v>46</v>
      </c>
      <c r="B47">
        <v>74</v>
      </c>
      <c r="C47" t="s">
        <v>468</v>
      </c>
      <c r="D47">
        <v>2</v>
      </c>
      <c r="E47">
        <v>3.46</v>
      </c>
      <c r="F47">
        <v>2</v>
      </c>
      <c r="G47">
        <v>3.86</v>
      </c>
      <c r="H47">
        <v>1.8</v>
      </c>
      <c r="Q47" t="s">
        <v>372</v>
      </c>
      <c r="R47" t="s">
        <v>372</v>
      </c>
    </row>
    <row r="48" spans="1:18" x14ac:dyDescent="0.2">
      <c r="A48">
        <v>47</v>
      </c>
      <c r="B48">
        <v>73</v>
      </c>
      <c r="C48" t="s">
        <v>467</v>
      </c>
      <c r="D48">
        <v>1</v>
      </c>
      <c r="E48">
        <v>2.46</v>
      </c>
      <c r="F48">
        <v>1</v>
      </c>
      <c r="G48">
        <v>2.66</v>
      </c>
      <c r="H48">
        <v>2.46</v>
      </c>
      <c r="Q48" t="s">
        <v>372</v>
      </c>
      <c r="R48" t="s">
        <v>372</v>
      </c>
    </row>
    <row r="49" spans="1:18" x14ac:dyDescent="0.2">
      <c r="A49">
        <v>48</v>
      </c>
      <c r="B49">
        <v>53</v>
      </c>
      <c r="C49" t="s">
        <v>367</v>
      </c>
      <c r="D49">
        <v>1</v>
      </c>
      <c r="E49">
        <v>2.2999999999999998</v>
      </c>
      <c r="F49">
        <v>1</v>
      </c>
      <c r="G49">
        <v>2.5</v>
      </c>
      <c r="H49">
        <v>2.2999999999999998</v>
      </c>
      <c r="Q49" t="s">
        <v>372</v>
      </c>
      <c r="R49" t="s">
        <v>372</v>
      </c>
    </row>
    <row r="50" spans="1:18" x14ac:dyDescent="0.2">
      <c r="A50">
        <v>49</v>
      </c>
      <c r="B50">
        <v>33</v>
      </c>
      <c r="C50" t="s">
        <v>445</v>
      </c>
      <c r="D50">
        <v>1</v>
      </c>
      <c r="E50">
        <v>2.0099999999999998</v>
      </c>
      <c r="F50">
        <v>1</v>
      </c>
      <c r="G50">
        <v>2.21</v>
      </c>
      <c r="H50">
        <v>2.0099999999999998</v>
      </c>
      <c r="Q50" t="s">
        <v>372</v>
      </c>
      <c r="R50" t="s">
        <v>372</v>
      </c>
    </row>
    <row r="51" spans="1:18" x14ac:dyDescent="0.2">
      <c r="A51">
        <v>50</v>
      </c>
      <c r="B51">
        <v>41</v>
      </c>
      <c r="C51" t="s">
        <v>447</v>
      </c>
      <c r="D51">
        <v>1</v>
      </c>
      <c r="E51">
        <v>1.95</v>
      </c>
      <c r="F51">
        <v>1</v>
      </c>
      <c r="G51">
        <v>2.15</v>
      </c>
      <c r="H51">
        <v>1.95</v>
      </c>
      <c r="Q51" t="s">
        <v>372</v>
      </c>
      <c r="R51" t="s">
        <v>372</v>
      </c>
    </row>
    <row r="52" spans="1:18" x14ac:dyDescent="0.2">
      <c r="A52">
        <v>51</v>
      </c>
      <c r="B52">
        <v>32</v>
      </c>
      <c r="C52" t="s">
        <v>245</v>
      </c>
      <c r="D52">
        <v>1</v>
      </c>
      <c r="E52">
        <v>1.85</v>
      </c>
      <c r="F52">
        <v>1</v>
      </c>
      <c r="G52">
        <v>2.0499999999999998</v>
      </c>
      <c r="H52">
        <v>1.85</v>
      </c>
      <c r="Q52" t="s">
        <v>372</v>
      </c>
    </row>
    <row r="53" spans="1:18" x14ac:dyDescent="0.2">
      <c r="A53">
        <v>52</v>
      </c>
      <c r="B53">
        <v>48</v>
      </c>
      <c r="C53" t="s">
        <v>450</v>
      </c>
      <c r="D53">
        <v>1</v>
      </c>
      <c r="E53">
        <v>1.83</v>
      </c>
      <c r="F53">
        <v>1</v>
      </c>
      <c r="G53">
        <v>2.0299999999999998</v>
      </c>
      <c r="H53">
        <v>1.83</v>
      </c>
    </row>
    <row r="54" spans="1:18" x14ac:dyDescent="0.2">
      <c r="A54">
        <v>53</v>
      </c>
      <c r="B54">
        <v>1</v>
      </c>
      <c r="C54" t="s">
        <v>470</v>
      </c>
      <c r="D54">
        <v>1</v>
      </c>
      <c r="E54">
        <v>1.78</v>
      </c>
      <c r="F54">
        <v>1</v>
      </c>
      <c r="G54">
        <v>1.98</v>
      </c>
      <c r="H54">
        <v>1.78</v>
      </c>
      <c r="O54" t="s">
        <v>473</v>
      </c>
      <c r="Q54" t="s">
        <v>372</v>
      </c>
    </row>
    <row r="55" spans="1:18" x14ac:dyDescent="0.2">
      <c r="A55">
        <v>54</v>
      </c>
      <c r="B55">
        <v>40</v>
      </c>
      <c r="C55" t="s">
        <v>370</v>
      </c>
      <c r="D55">
        <v>1</v>
      </c>
      <c r="E55">
        <v>1.71</v>
      </c>
      <c r="F55">
        <v>1</v>
      </c>
      <c r="G55">
        <v>1.91</v>
      </c>
      <c r="H55">
        <v>1.71</v>
      </c>
    </row>
    <row r="56" spans="1:18" x14ac:dyDescent="0.2">
      <c r="A56">
        <v>55</v>
      </c>
      <c r="B56">
        <v>67</v>
      </c>
      <c r="C56" t="s">
        <v>410</v>
      </c>
      <c r="D56">
        <v>1</v>
      </c>
      <c r="E56">
        <v>1.66</v>
      </c>
      <c r="F56">
        <v>1</v>
      </c>
      <c r="G56">
        <v>1.86</v>
      </c>
      <c r="H56">
        <v>1.66</v>
      </c>
      <c r="Q56" t="s">
        <v>372</v>
      </c>
    </row>
    <row r="57" spans="1:18" x14ac:dyDescent="0.2">
      <c r="A57">
        <v>56</v>
      </c>
      <c r="B57">
        <v>75</v>
      </c>
      <c r="C57" t="s">
        <v>472</v>
      </c>
      <c r="D57">
        <v>1</v>
      </c>
      <c r="E57">
        <v>1.64</v>
      </c>
      <c r="F57">
        <v>1</v>
      </c>
      <c r="G57">
        <v>1.84</v>
      </c>
      <c r="H57">
        <v>1.64</v>
      </c>
    </row>
    <row r="58" spans="1:18" x14ac:dyDescent="0.2">
      <c r="A58">
        <v>57</v>
      </c>
      <c r="B58">
        <v>50</v>
      </c>
      <c r="C58" t="s">
        <v>308</v>
      </c>
      <c r="D58">
        <v>1</v>
      </c>
      <c r="E58">
        <v>1.64</v>
      </c>
      <c r="F58">
        <v>1</v>
      </c>
      <c r="G58">
        <v>1.84</v>
      </c>
      <c r="H58">
        <v>1.64</v>
      </c>
      <c r="Q58" t="s">
        <v>372</v>
      </c>
      <c r="R58" t="s">
        <v>372</v>
      </c>
    </row>
    <row r="59" spans="1:18" x14ac:dyDescent="0.2">
      <c r="A59">
        <v>58</v>
      </c>
      <c r="B59">
        <v>27</v>
      </c>
      <c r="C59" t="s">
        <v>384</v>
      </c>
      <c r="D59">
        <v>1</v>
      </c>
      <c r="E59">
        <v>0.56000000000000005</v>
      </c>
      <c r="F59">
        <v>1</v>
      </c>
      <c r="G59">
        <v>0.76</v>
      </c>
      <c r="H59">
        <v>0.56000000000000005</v>
      </c>
      <c r="Q59" t="s">
        <v>372</v>
      </c>
      <c r="R59" t="s">
        <v>372</v>
      </c>
    </row>
    <row r="60" spans="1:18" x14ac:dyDescent="0.2">
      <c r="A60">
        <v>59</v>
      </c>
      <c r="B60">
        <v>69</v>
      </c>
      <c r="C60" t="s">
        <v>463</v>
      </c>
      <c r="D60">
        <v>0</v>
      </c>
      <c r="E60">
        <v>0</v>
      </c>
      <c r="F60">
        <v>0</v>
      </c>
      <c r="G60">
        <v>0</v>
      </c>
      <c r="H60">
        <v>0</v>
      </c>
      <c r="Q60" t="s">
        <v>372</v>
      </c>
    </row>
    <row r="61" spans="1:18" x14ac:dyDescent="0.2">
      <c r="A61">
        <v>59</v>
      </c>
      <c r="B61">
        <v>35</v>
      </c>
      <c r="C61" t="s">
        <v>263</v>
      </c>
      <c r="D61">
        <v>0</v>
      </c>
      <c r="E61">
        <v>0</v>
      </c>
      <c r="F61">
        <v>0</v>
      </c>
      <c r="G61">
        <v>0</v>
      </c>
      <c r="H61">
        <v>0</v>
      </c>
      <c r="Q61" t="s">
        <v>372</v>
      </c>
      <c r="R61" t="s">
        <v>372</v>
      </c>
    </row>
    <row r="62" spans="1:18" x14ac:dyDescent="0.2">
      <c r="A62">
        <v>59</v>
      </c>
      <c r="B62">
        <v>13</v>
      </c>
      <c r="C62" t="s">
        <v>441</v>
      </c>
      <c r="D62">
        <v>0</v>
      </c>
      <c r="E62">
        <v>0</v>
      </c>
      <c r="F62">
        <v>0</v>
      </c>
      <c r="G62">
        <v>0</v>
      </c>
      <c r="H62">
        <v>0</v>
      </c>
      <c r="Q62" t="s">
        <v>372</v>
      </c>
    </row>
    <row r="63" spans="1:18" x14ac:dyDescent="0.2">
      <c r="A63">
        <v>59</v>
      </c>
      <c r="B63">
        <v>29</v>
      </c>
      <c r="C63" t="s">
        <v>234</v>
      </c>
      <c r="D63">
        <v>0</v>
      </c>
      <c r="E63">
        <v>0</v>
      </c>
      <c r="F63">
        <v>0</v>
      </c>
      <c r="G63">
        <v>0</v>
      </c>
      <c r="H63">
        <v>0</v>
      </c>
      <c r="Q63" t="s">
        <v>372</v>
      </c>
      <c r="R63" t="s">
        <v>372</v>
      </c>
    </row>
    <row r="64" spans="1:18" x14ac:dyDescent="0.2">
      <c r="A64">
        <v>59</v>
      </c>
      <c r="B64">
        <v>61</v>
      </c>
      <c r="C64" t="s">
        <v>457</v>
      </c>
      <c r="D64">
        <v>0</v>
      </c>
      <c r="E64">
        <v>0</v>
      </c>
      <c r="F64">
        <v>0</v>
      </c>
      <c r="G64">
        <v>0</v>
      </c>
      <c r="H64">
        <v>0</v>
      </c>
    </row>
    <row r="65" spans="1:18" x14ac:dyDescent="0.2">
      <c r="A65">
        <v>59</v>
      </c>
      <c r="B65">
        <v>43</v>
      </c>
      <c r="C65" t="s">
        <v>388</v>
      </c>
      <c r="D65">
        <v>0</v>
      </c>
      <c r="E65">
        <v>0</v>
      </c>
      <c r="F65">
        <v>0</v>
      </c>
      <c r="G65">
        <v>0</v>
      </c>
      <c r="H65">
        <v>0</v>
      </c>
      <c r="Q65" t="s">
        <v>372</v>
      </c>
      <c r="R65" t="s">
        <v>372</v>
      </c>
    </row>
    <row r="66" spans="1:18" x14ac:dyDescent="0.2">
      <c r="A66">
        <v>59</v>
      </c>
      <c r="B66">
        <v>20</v>
      </c>
      <c r="C66" t="s">
        <v>330</v>
      </c>
      <c r="D66">
        <v>0</v>
      </c>
      <c r="E66">
        <v>0</v>
      </c>
      <c r="F66">
        <v>0</v>
      </c>
      <c r="G66">
        <v>0</v>
      </c>
      <c r="H66">
        <v>0</v>
      </c>
      <c r="Q66" t="s">
        <v>372</v>
      </c>
      <c r="R66" t="s">
        <v>372</v>
      </c>
    </row>
    <row r="67" spans="1:18" x14ac:dyDescent="0.2">
      <c r="A67">
        <v>59</v>
      </c>
      <c r="B67">
        <v>56</v>
      </c>
      <c r="C67" t="s">
        <v>453</v>
      </c>
      <c r="D67">
        <v>0</v>
      </c>
      <c r="E67">
        <v>0</v>
      </c>
      <c r="F67">
        <v>0</v>
      </c>
      <c r="G67">
        <v>0</v>
      </c>
      <c r="H67">
        <v>0</v>
      </c>
      <c r="Q67" t="s">
        <v>372</v>
      </c>
    </row>
    <row r="68" spans="1:18" x14ac:dyDescent="0.2">
      <c r="A68">
        <v>59</v>
      </c>
      <c r="B68">
        <v>57</v>
      </c>
      <c r="C68" t="s">
        <v>454</v>
      </c>
      <c r="D68">
        <v>0</v>
      </c>
      <c r="E68">
        <v>0</v>
      </c>
      <c r="F68">
        <v>0</v>
      </c>
      <c r="G68">
        <v>0</v>
      </c>
      <c r="H68">
        <v>0</v>
      </c>
      <c r="Q68" t="s">
        <v>372</v>
      </c>
      <c r="R68" t="s">
        <v>372</v>
      </c>
    </row>
    <row r="69" spans="1:18" x14ac:dyDescent="0.2">
      <c r="A69">
        <v>59</v>
      </c>
      <c r="B69">
        <v>11</v>
      </c>
      <c r="C69" t="s">
        <v>392</v>
      </c>
      <c r="D69">
        <v>0</v>
      </c>
      <c r="E69">
        <v>0</v>
      </c>
      <c r="F69">
        <v>0</v>
      </c>
      <c r="G69">
        <v>0</v>
      </c>
      <c r="H69">
        <v>0</v>
      </c>
      <c r="Q69" t="s">
        <v>372</v>
      </c>
    </row>
    <row r="70" spans="1:18" x14ac:dyDescent="0.2">
      <c r="A70">
        <v>59</v>
      </c>
      <c r="B70">
        <v>37</v>
      </c>
      <c r="C70" t="s">
        <v>446</v>
      </c>
      <c r="D70">
        <v>0</v>
      </c>
      <c r="E70">
        <v>0</v>
      </c>
      <c r="F70">
        <v>0</v>
      </c>
      <c r="G70">
        <v>0</v>
      </c>
      <c r="H70">
        <v>0</v>
      </c>
      <c r="Q70" t="s">
        <v>372</v>
      </c>
    </row>
    <row r="71" spans="1:18" x14ac:dyDescent="0.2">
      <c r="A71">
        <v>59</v>
      </c>
      <c r="B71">
        <v>47</v>
      </c>
      <c r="C71" t="s">
        <v>449</v>
      </c>
      <c r="D71">
        <v>0</v>
      </c>
      <c r="E71">
        <v>0</v>
      </c>
      <c r="F71">
        <v>0</v>
      </c>
      <c r="G71">
        <v>0</v>
      </c>
      <c r="H71">
        <v>0</v>
      </c>
      <c r="Q71" t="s">
        <v>372</v>
      </c>
    </row>
    <row r="72" spans="1:18" x14ac:dyDescent="0.2">
      <c r="A72">
        <v>59</v>
      </c>
      <c r="B72">
        <v>54</v>
      </c>
      <c r="C72" t="s">
        <v>452</v>
      </c>
      <c r="D72">
        <v>0</v>
      </c>
      <c r="E72">
        <v>0</v>
      </c>
      <c r="F72">
        <v>0</v>
      </c>
      <c r="G72">
        <v>0</v>
      </c>
      <c r="H72">
        <v>0</v>
      </c>
      <c r="Q72" t="s">
        <v>372</v>
      </c>
      <c r="R72" t="s">
        <v>372</v>
      </c>
    </row>
    <row r="73" spans="1:18" x14ac:dyDescent="0.2">
      <c r="A73">
        <v>59</v>
      </c>
      <c r="B73">
        <v>58</v>
      </c>
      <c r="C73" t="s">
        <v>455</v>
      </c>
      <c r="D73">
        <v>0</v>
      </c>
      <c r="E73">
        <v>0</v>
      </c>
      <c r="F73">
        <v>0</v>
      </c>
      <c r="G73">
        <v>0</v>
      </c>
      <c r="H73">
        <v>0</v>
      </c>
      <c r="Q73" t="s">
        <v>372</v>
      </c>
      <c r="R73" t="s">
        <v>372</v>
      </c>
    </row>
    <row r="74" spans="1:18" x14ac:dyDescent="0.2">
      <c r="A74">
        <v>59</v>
      </c>
      <c r="B74">
        <v>64</v>
      </c>
      <c r="C74" t="s">
        <v>460</v>
      </c>
      <c r="D74">
        <v>0</v>
      </c>
      <c r="E74">
        <v>0</v>
      </c>
      <c r="F74">
        <v>0</v>
      </c>
      <c r="G74">
        <v>0</v>
      </c>
      <c r="H74">
        <v>0</v>
      </c>
      <c r="Q74" t="s">
        <v>372</v>
      </c>
    </row>
    <row r="75" spans="1:18" x14ac:dyDescent="0.2">
      <c r="A75">
        <v>59</v>
      </c>
      <c r="B75">
        <v>65</v>
      </c>
      <c r="C75" t="s">
        <v>469</v>
      </c>
      <c r="D75">
        <v>0</v>
      </c>
      <c r="E75">
        <v>0</v>
      </c>
      <c r="F75">
        <v>0</v>
      </c>
      <c r="G75">
        <v>0</v>
      </c>
      <c r="H75">
        <v>0</v>
      </c>
      <c r="Q75" t="s">
        <v>372</v>
      </c>
    </row>
    <row r="76" spans="1:18" x14ac:dyDescent="0.2">
      <c r="A76">
        <v>59</v>
      </c>
      <c r="B76">
        <v>71</v>
      </c>
      <c r="C76" t="s">
        <v>465</v>
      </c>
      <c r="D76">
        <v>0</v>
      </c>
      <c r="E76">
        <v>0</v>
      </c>
      <c r="F76">
        <v>0</v>
      </c>
      <c r="G76">
        <v>0</v>
      </c>
      <c r="H76">
        <v>0</v>
      </c>
      <c r="Q76" t="s">
        <v>372</v>
      </c>
      <c r="R76" t="s">
        <v>372</v>
      </c>
    </row>
    <row r="77" spans="1:18" x14ac:dyDescent="0.2">
      <c r="D77">
        <v>0</v>
      </c>
      <c r="E77">
        <v>0</v>
      </c>
      <c r="F77">
        <v>0</v>
      </c>
      <c r="G77">
        <v>0</v>
      </c>
      <c r="H77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7984539-D58F-4F1E-A1F4-A01583998F25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Calcutta (2)</vt:lpstr>
      <vt:lpstr>Instructions</vt:lpstr>
      <vt:lpstr>Control Page</vt:lpstr>
      <vt:lpstr>Calcutta</vt:lpstr>
      <vt:lpstr>Most Improved</vt:lpstr>
      <vt:lpstr>Ticket</vt:lpstr>
      <vt:lpstr>Stats</vt:lpstr>
      <vt:lpstr>2022</vt:lpstr>
      <vt:lpstr>2022 (2)</vt:lpstr>
      <vt:lpstr>2021</vt:lpstr>
      <vt:lpstr>2020</vt:lpstr>
      <vt:lpstr>Template</vt:lpstr>
      <vt:lpstr>2019</vt:lpstr>
      <vt:lpstr>2018</vt:lpstr>
      <vt:lpstr>2017</vt:lpstr>
      <vt:lpstr>2016</vt:lpstr>
      <vt:lpstr>Images</vt:lpstr>
      <vt:lpstr>Sheet4</vt:lpstr>
      <vt:lpstr>Backup</vt:lpstr>
      <vt:lpstr>'2017'!Print_Area</vt:lpstr>
      <vt:lpstr>'2018'!Print_Area</vt:lpstr>
      <vt:lpstr>'2019'!Print_Area</vt:lpstr>
      <vt:lpstr>'2020'!Print_Area</vt:lpstr>
      <vt:lpstr>'2021'!Print_Area</vt:lpstr>
      <vt:lpstr>'2022'!Print_Area</vt:lpstr>
      <vt:lpstr>'2022 (2)'!Print_Area</vt:lpstr>
      <vt:lpstr>Calcutta!Print_Area</vt:lpstr>
      <vt:lpstr>'Calcutta (2)'!Print_Area</vt:lpstr>
      <vt:lpstr>'Control Page'!Print_Area</vt:lpstr>
      <vt:lpstr>Template!Print_Area</vt:lpstr>
      <vt:lpstr>Ticket!Print_Area</vt:lpstr>
      <vt:lpstr>'2016'!Print_Titles</vt:lpstr>
      <vt:lpstr>'Control Page'!Print_Titles</vt:lpstr>
      <vt:lpstr>Sheet4!Print_Titles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Fishing Tourney</dc:title>
  <dc:creator>Cheryl Williams</dc:creator>
  <cp:lastModifiedBy>Josh</cp:lastModifiedBy>
  <cp:lastPrinted>2023-03-17T17:56:39Z</cp:lastPrinted>
  <dcterms:created xsi:type="dcterms:W3CDTF">2007-05-07T23:25:14Z</dcterms:created>
  <dcterms:modified xsi:type="dcterms:W3CDTF">2023-03-17T21:14:10Z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286e9cda-edea-4b6d-9eb2-b8a5ddbe71ea</vt:lpwstr>
  </property>
</Properties>
</file>